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Zones" sheetId="2" state="visible" r:id="rId4"/>
    <sheet name="Emplacements" sheetId="3" state="visible" r:id="rId5"/>
    <sheet name="Produits" sheetId="4" state="visible" r:id="rId6"/>
    <sheet name="Stock" sheetId="5" state="visible" r:id="rId7"/>
    <sheet name="Recherche" sheetId="6" state="visible" r:id="rId8"/>
    <sheet name="Étiquettes" sheetId="7" state="visible" r:id="rId9"/>
  </sheets>
  <definedNames>
    <definedName function="false" hidden="true" localSheetId="2" name="_xlnm._FilterDatabase" vbProcedure="false">Emplacements!$A$1:$J$1001</definedName>
    <definedName function="false" hidden="false" localSheetId="6" name="_xlnm.Print_Area" vbProcedure="false">Étiquettes!$A$1:$C$204</definedName>
    <definedName function="false" hidden="true" localSheetId="3" name="_xlnm._FilterDatabase" vbProcedure="false">Produits!$A$1:$L$1001</definedName>
    <definedName function="false" hidden="true" localSheetId="4" name="_xlnm._FilterDatabase" vbProcedure="false">Stock!$A$1:$K$2001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Calculé automatiquement : Zone + Étagère(2 chiffres) - Niveau - Position(2 chiffres).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Mettre le code article officiel CAMEG. Les codes EX-… sont des exemples.</t>
        </r>
      </text>
    </comment>
    <comment ref="H1" authorId="0">
      <text>
        <r>
          <rPr>
            <sz val="10"/>
            <rFont val="Arial"/>
            <family val="2"/>
          </rPr>
          <t xml:space="preserve">Lettre de zone où le produit DOIT être stocké (F pour la chaîne de froid, etc.).</t>
        </r>
      </text>
    </comment>
    <comment ref="I1" authorId="0">
      <text>
        <r>
          <rPr>
            <sz val="10"/>
            <rFont val="Arial"/>
            <family val="2"/>
          </rPr>
          <t xml:space="preserve">Emplacement fixe habituel du produit (casier de prélèvement). Les autres lots peuvent être ailleurs : voir onglet Stock.</t>
        </r>
      </text>
    </comment>
    <comment ref="K1" authorId="0">
      <text>
        <r>
          <rPr>
            <sz val="10"/>
            <rFont val="Arial"/>
            <family val="2"/>
          </rPr>
          <t xml:space="preserve">A = produits qui représentent ~80 % de la valeur consommée, B = ~15 %, C = ~5 %. Mettre les A près de la sortie.</t>
        </r>
      </text>
    </comment>
    <comment ref="L1" authorId="0">
      <text>
        <r>
          <rPr>
            <sz val="10"/>
            <rFont val="Arial"/>
            <family val="2"/>
          </rPr>
          <t xml:space="preserve">V = vital, E = essentiel, N = non essentiel (classification OMS/MSH).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Une ligne = un lot à un emplacement. Si un lot est réparti sur 2 emplacements → 2 lignes.</t>
        </r>
      </text>
    </comment>
    <comment ref="K1" authorId="0">
      <text>
        <r>
          <rPr>
            <sz val="10"/>
            <rFont val="Arial"/>
            <family val="2"/>
          </rPr>
          <t xml:space="preserve">Colonne technique utilisée par l'onglet Recherche. Ne pas modifier.</t>
        </r>
      </text>
    </comment>
  </commentList>
</comments>
</file>

<file path=xl/sharedStrings.xml><?xml version="1.0" encoding="utf-8"?>
<sst xmlns="http://schemas.openxmlformats.org/spreadsheetml/2006/main" count="410" uniqueCount="216">
  <si>
    <t xml:space="preserve">Système de codification des emplacements – Magasin CAMEG Atakpamé</t>
  </si>
  <si>
    <t xml:space="preserve">Modèle (squelette) à adapter. Objectif : que chaque produit ait une adresse unique et que n'importe qui puisse le retrouver.</t>
  </si>
  <si>
    <t xml:space="preserve">1. Format du code d'emplacement</t>
  </si>
  <si>
    <t xml:space="preserve">Format</t>
  </si>
  <si>
    <t xml:space="preserve">ZONE + ÉTAGÈRE  -  NIVEAU  -  POSITION        exemple :  A03-2-04</t>
  </si>
  <si>
    <t xml:space="preserve">Zone (1 lettre)</t>
  </si>
  <si>
    <t xml:space="preserve">Type de stockage : A = général, F = froid +2/+8 °C, S = sécurisé, N = inflammables, P = palettes/vrac, Q = quarantaine, R = réception, E = expédition (voir onglet Zones)</t>
  </si>
  <si>
    <t xml:space="preserve">Étagère (2 chiffres)</t>
  </si>
  <si>
    <t xml:space="preserve">Numéro de l'étagère / rack dans la zone : 01, 02 … 99. Reprendre si possible la numérotation déjà peinte sur les étagères (colonne « Ancien code »).</t>
  </si>
  <si>
    <t xml:space="preserve">Niveau (1 chiffre)</t>
  </si>
  <si>
    <t xml:space="preserve">1 = niveau le plus bas (sol), puis 2, 3, 4 … en montant.</t>
  </si>
  <si>
    <t xml:space="preserve">Position (2 chiffres)</t>
  </si>
  <si>
    <t xml:space="preserve">Case / casier de gauche à droite quand on fait face à l'étagère : 01, 02, 03 …</t>
  </si>
  <si>
    <t xml:space="preserve">Lecture</t>
  </si>
  <si>
    <t xml:space="preserve">A03-2-04 = zone stock général, étagère 03, 2e niveau en partant du bas, 4e case depuis la gauche.</t>
  </si>
  <si>
    <t xml:space="preserve">2. Règles d'or</t>
  </si>
  <si>
    <t xml:space="preserve">Un code = un endroit</t>
  </si>
  <si>
    <t xml:space="preserve">Jamais deux emplacements avec le même code ; on ne réutilise pas un code supprimé pour un autre endroit.</t>
  </si>
  <si>
    <t xml:space="preserve">Longueur fixe</t>
  </si>
  <si>
    <t xml:space="preserve">Toujours 01, 02… (avec le zéro) pour que le tri alphabétique suive l'ordre physique dans le magasin.</t>
  </si>
  <si>
    <t xml:space="preserve">Code produit ≠ code emplacement</t>
  </si>
  <si>
    <t xml:space="preserve">Le code article ne contient PAS l'emplacement. Le lien se fait dans les onglets Produits (emplacement principal) et Stock (où se trouve chaque lot).</t>
  </si>
  <si>
    <t xml:space="preserve">Étiqueter physiquement</t>
  </si>
  <si>
    <t xml:space="preserve">Chaque case doit porter son code (onglet Étiquettes à imprimer). Un code qui n'est pas affiché sur l'étagère ne sert à rien.</t>
  </si>
  <si>
    <t xml:space="preserve">FEFO</t>
  </si>
  <si>
    <t xml:space="preserve">Premier périmé, premier sorti : sur un même emplacement, le lot qui périme le plus tôt devant. L'onglet Stock signale les lots proches de la péremption.</t>
  </si>
  <si>
    <t xml:space="preserve">Mettre à jour</t>
  </si>
  <si>
    <t xml:space="preserve">Tout déplacement de produit = mise à jour de l'onglet Stock le jour même, sinon le système ment.</t>
  </si>
  <si>
    <t xml:space="preserve">3. Comment remplir ce classeur</t>
  </si>
  <si>
    <t xml:space="preserve">Ordre</t>
  </si>
  <si>
    <t xml:space="preserve">① Zones (vérifier)  →  ② Emplacements (inventaire des étagères)  →  ③ Produits  →  ④ Stock (où est chaque lot)  →  ⑤ Recherche / Étiquettes</t>
  </si>
  <si>
    <t xml:space="preserve">Cellules jaunes</t>
  </si>
  <si>
    <t xml:space="preserve">À remplir / modifier par vous.</t>
  </si>
  <si>
    <t xml:space="preserve">Cellules grises</t>
  </si>
  <si>
    <t xml:space="preserve">Formules automatiques : ne pas taper dedans.</t>
  </si>
  <si>
    <t xml:space="preserve">Texte bleu</t>
  </si>
  <si>
    <t xml:space="preserve">Données d'EXEMPLE (codes EX-…, emplacements fictifs) : à effacer et remplacer par les vraies données du magasin.</t>
  </si>
  <si>
    <t xml:space="preserve">Recherche</t>
  </si>
  <si>
    <t xml:space="preserve">Onglet Recherche : taper une partie du nom (ex. « amox ») ou un code dans la case jaune → la liste des emplacements s'affiche.</t>
  </si>
  <si>
    <t xml:space="preserve">Codes articles</t>
  </si>
  <si>
    <t xml:space="preserve">Utiliser les codes articles officiels de la CAMEG s'ils existent (catalogue / logiciel de gestion). Ne pas en inventer de nouveaux si un code existe déjà.</t>
  </si>
  <si>
    <t xml:space="preserve">4. Références utilisées</t>
  </si>
  <si>
    <t xml:space="preserve">• USAID | DELIVER PROJECT – The Logistics Handbook (2011) et Guidelines for the Storage of Essential Medicines and Other Health Commodities (JSI/USAID, 2003).</t>
  </si>
  <si>
    <t xml:space="preserve">• OMS – Bonnes pratiques de stockage et de distribution des produits médicaux (WHO TRS n° 1025, annexe 7, 2020).</t>
  </si>
  <si>
    <t xml:space="preserve">• MSH – MDS-3 : Managing Access to Medicines and Health Technologies (2012), chapitres sur la gestion des magasins.</t>
  </si>
  <si>
    <t xml:space="preserve">• GS1 – identification des lieux (GLN) et codes-barres des médicaments, pour une évolution future vers le scan.</t>
  </si>
  <si>
    <t xml:space="preserve">Note : il n'existe pas de norme internationale imposant un format de code d'emplacement ; le format Zone-Allée/Étagère-Niveau-Position est la convention utilisée par la plupart des entrepôts et logiciels (WMS).</t>
  </si>
  <si>
    <t xml:space="preserve">Modèle généré le 06/10/2026.</t>
  </si>
  <si>
    <t xml:space="preserve">Code zone</t>
  </si>
  <si>
    <t xml:space="preserve">Libellé</t>
  </si>
  <si>
    <t xml:space="preserve">Conditions de stockage</t>
  </si>
  <si>
    <t xml:space="preserve">Exemples de produits</t>
  </si>
  <si>
    <t xml:space="preserve">A</t>
  </si>
  <si>
    <t xml:space="preserve">Stock général</t>
  </si>
  <si>
    <t xml:space="preserve">Température ambiante contrôlée (selon étiquette, en général &lt; 25 °C ou &lt; 30 °C), au sec, à l'abri de la lumière, hors sol</t>
  </si>
  <si>
    <t xml:space="preserve">Comprimés, gélules, sirops, pommades</t>
  </si>
  <si>
    <t xml:space="preserve">F</t>
  </si>
  <si>
    <t xml:space="preserve">Chaîne de froid</t>
  </si>
  <si>
    <t xml:space="preserve">+2 °C à +8 °C, relevé de température 2 fois/jour</t>
  </si>
  <si>
    <t xml:space="preserve">Ocytocine, insulines, certains vaccins et réactifs</t>
  </si>
  <si>
    <t xml:space="preserve">S</t>
  </si>
  <si>
    <t xml:space="preserve">Sécurisé</t>
  </si>
  <si>
    <t xml:space="preserve">Armoire ou local fermé à clé, accès limité, registre</t>
  </si>
  <si>
    <t xml:space="preserve">Stupéfiants, psychotropes, produits de grande valeur</t>
  </si>
  <si>
    <t xml:space="preserve">N</t>
  </si>
  <si>
    <t xml:space="preserve">Inflammables</t>
  </si>
  <si>
    <t xml:space="preserve">Local séparé et ventilé, loin des sources de chaleur</t>
  </si>
  <si>
    <t xml:space="preserve">Alcool, éther, produits à base de solvants</t>
  </si>
  <si>
    <t xml:space="preserve">P</t>
  </si>
  <si>
    <t xml:space="preserve">Palettes / vrac</t>
  </si>
  <si>
    <t xml:space="preserve">Sur palettes, jamais à même le sol, hauteur de gerbage respectée</t>
  </si>
  <si>
    <t xml:space="preserve">Perfusions, SRO en cartons, gros volumes</t>
  </si>
  <si>
    <t xml:space="preserve">Q</t>
  </si>
  <si>
    <t xml:space="preserve">Quarantaine</t>
  </si>
  <si>
    <t xml:space="preserve">Séparée et signalée (« NE PAS DISTRIBUER »)</t>
  </si>
  <si>
    <t xml:space="preserve">Périmés, endommagés, retours, lots rappelés ou en attente de contrôle</t>
  </si>
  <si>
    <t xml:space="preserve">R</t>
  </si>
  <si>
    <t xml:space="preserve">Réception</t>
  </si>
  <si>
    <t xml:space="preserve">Zone tampon à l'entrée, contrôle avant rangement</t>
  </si>
  <si>
    <t xml:space="preserve">Livraisons en cours de vérification</t>
  </si>
  <si>
    <t xml:space="preserve">E</t>
  </si>
  <si>
    <t xml:space="preserve">Expédition</t>
  </si>
  <si>
    <t xml:space="preserve">Zone de préparation des commandes</t>
  </si>
  <si>
    <t xml:space="preserve">Commandes préparées en attente d'enlèvement</t>
  </si>
  <si>
    <t xml:space="preserve">Lettres I et O volontairement évitées (confusion avec 1 et 0). Ajouter une zone si besoin dans les lignes jaunes vides.</t>
  </si>
  <si>
    <t xml:space="preserve">Code emplacement</t>
  </si>
  <si>
    <t xml:space="preserve">Zone</t>
  </si>
  <si>
    <t xml:space="preserve">N° étagère</t>
  </si>
  <si>
    <t xml:space="preserve">Niveau
(1 = bas)</t>
  </si>
  <si>
    <t xml:space="preserve">Position
(gauche→droite)</t>
  </si>
  <si>
    <t xml:space="preserve">Libellé zone</t>
  </si>
  <si>
    <t xml:space="preserve">Ancien code
(peint sur l'étagère)</t>
  </si>
  <si>
    <t xml:space="preserve">Type de support</t>
  </si>
  <si>
    <t xml:space="preserve">Statut</t>
  </si>
  <si>
    <t xml:space="preserve">Remarque</t>
  </si>
  <si>
    <t xml:space="preserve">E1</t>
  </si>
  <si>
    <t xml:space="preserve">Étagère métallique</t>
  </si>
  <si>
    <t xml:space="preserve">Actif</t>
  </si>
  <si>
    <t xml:space="preserve">E2</t>
  </si>
  <si>
    <t xml:space="preserve">Frigo 1</t>
  </si>
  <si>
    <t xml:space="preserve">Réfrigérateur</t>
  </si>
  <si>
    <t xml:space="preserve">Armoire</t>
  </si>
  <si>
    <t xml:space="preserve">Armoire à clé</t>
  </si>
  <si>
    <t xml:space="preserve">Étagère local ventilé</t>
  </si>
  <si>
    <t xml:space="preserve">Palette</t>
  </si>
  <si>
    <t xml:space="preserve">Étagère</t>
  </si>
  <si>
    <t xml:space="preserve">Sol (zone tampon)</t>
  </si>
  <si>
    <t xml:space="preserve">Table de préparation</t>
  </si>
  <si>
    <t xml:space="preserve">Code article</t>
  </si>
  <si>
    <t xml:space="preserve">DCI (nom générique)</t>
  </si>
  <si>
    <t xml:space="preserve">Dosage</t>
  </si>
  <si>
    <t xml:space="preserve">Forme</t>
  </si>
  <si>
    <t xml:space="preserve">Conditionnement</t>
  </si>
  <si>
    <t xml:space="preserve">Désignation complète</t>
  </si>
  <si>
    <t xml:space="preserve">Classe thérapeutique</t>
  </si>
  <si>
    <t xml:space="preserve">Zone requise</t>
  </si>
  <si>
    <t xml:space="preserve">Emplacement principal</t>
  </si>
  <si>
    <t xml:space="preserve">Contrôle emplacement</t>
  </si>
  <si>
    <t xml:space="preserve">Classe ABC</t>
  </si>
  <si>
    <t xml:space="preserve">VEN</t>
  </si>
  <si>
    <t xml:space="preserve">EX-0001</t>
  </si>
  <si>
    <t xml:space="preserve">Paracétamol</t>
  </si>
  <si>
    <t xml:space="preserve">500 mg</t>
  </si>
  <si>
    <t xml:space="preserve">comprimé</t>
  </si>
  <si>
    <t xml:space="preserve">boîte de 1000</t>
  </si>
  <si>
    <t xml:space="preserve">Antalgique</t>
  </si>
  <si>
    <t xml:space="preserve">A01-1-01</t>
  </si>
  <si>
    <t xml:space="preserve">EX-0002</t>
  </si>
  <si>
    <t xml:space="preserve">Amoxicilline</t>
  </si>
  <si>
    <t xml:space="preserve">gélule</t>
  </si>
  <si>
    <t xml:space="preserve">Anti-infectieux</t>
  </si>
  <si>
    <t xml:space="preserve">A01-1-02</t>
  </si>
  <si>
    <t xml:space="preserve">V</t>
  </si>
  <si>
    <t xml:space="preserve">EX-0003</t>
  </si>
  <si>
    <t xml:space="preserve">Artéméther + Luméfantrine</t>
  </si>
  <si>
    <t xml:space="preserve">20/120 mg</t>
  </si>
  <si>
    <t xml:space="preserve">boîte de 30 x 24 cp</t>
  </si>
  <si>
    <t xml:space="preserve">Antipaludique</t>
  </si>
  <si>
    <t xml:space="preserve">A01-1-03</t>
  </si>
  <si>
    <t xml:space="preserve">EX-0004</t>
  </si>
  <si>
    <t xml:space="preserve">Fer + Acide folique</t>
  </si>
  <si>
    <t xml:space="preserve">200/0,4 mg</t>
  </si>
  <si>
    <t xml:space="preserve">Antianémique</t>
  </si>
  <si>
    <t xml:space="preserve">A02-1-01</t>
  </si>
  <si>
    <t xml:space="preserve">B</t>
  </si>
  <si>
    <t xml:space="preserve">EX-0005</t>
  </si>
  <si>
    <t xml:space="preserve">Gants d'examen</t>
  </si>
  <si>
    <t xml:space="preserve">taille M</t>
  </si>
  <si>
    <t xml:space="preserve">non stériles</t>
  </si>
  <si>
    <t xml:space="preserve">boîte de 100</t>
  </si>
  <si>
    <t xml:space="preserve">Consommable</t>
  </si>
  <si>
    <t xml:space="preserve">A02-2-01</t>
  </si>
  <si>
    <t xml:space="preserve">C</t>
  </si>
  <si>
    <t xml:space="preserve">EX-0006</t>
  </si>
  <si>
    <t xml:space="preserve">Sels de réhydratation orale</t>
  </si>
  <si>
    <t xml:space="preserve">20,5 g</t>
  </si>
  <si>
    <t xml:space="preserve">sachet</t>
  </si>
  <si>
    <t xml:space="preserve">carton de 100</t>
  </si>
  <si>
    <t xml:space="preserve">Réhydratation</t>
  </si>
  <si>
    <t xml:space="preserve">P01-1-01</t>
  </si>
  <si>
    <t xml:space="preserve">EX-0007</t>
  </si>
  <si>
    <t xml:space="preserve">Chlorure de sodium</t>
  </si>
  <si>
    <t xml:space="preserve">0,9 % 500 ml</t>
  </si>
  <si>
    <t xml:space="preserve">perfusion</t>
  </si>
  <si>
    <t xml:space="preserve">carton de 20</t>
  </si>
  <si>
    <t xml:space="preserve">Soluté</t>
  </si>
  <si>
    <t xml:space="preserve">P01-1-02</t>
  </si>
  <si>
    <t xml:space="preserve">EX-0008</t>
  </si>
  <si>
    <t xml:space="preserve">Ocytocine</t>
  </si>
  <si>
    <t xml:space="preserve">10 UI/ml</t>
  </si>
  <si>
    <t xml:space="preserve">injectable</t>
  </si>
  <si>
    <t xml:space="preserve">boîte de 100 amp.</t>
  </si>
  <si>
    <t xml:space="preserve">Ocytocique</t>
  </si>
  <si>
    <t xml:space="preserve">F01-1-01</t>
  </si>
  <si>
    <t xml:space="preserve">EX-0009</t>
  </si>
  <si>
    <t xml:space="preserve">Diazépam</t>
  </si>
  <si>
    <t xml:space="preserve">10 mg/2 ml</t>
  </si>
  <si>
    <t xml:space="preserve">Psychotrope</t>
  </si>
  <si>
    <t xml:space="preserve">S01-1-01</t>
  </si>
  <si>
    <t xml:space="preserve">EX-0010</t>
  </si>
  <si>
    <t xml:space="preserve">Alcool éthylique</t>
  </si>
  <si>
    <t xml:space="preserve">70 %</t>
  </si>
  <si>
    <t xml:space="preserve">solution</t>
  </si>
  <si>
    <t xml:space="preserve">flacon de 1 L</t>
  </si>
  <si>
    <t xml:space="preserve">Antiseptique</t>
  </si>
  <si>
    <t xml:space="preserve">N01-1-01</t>
  </si>
  <si>
    <t xml:space="preserve">Emplacement</t>
  </si>
  <si>
    <t xml:space="preserve">Désignation</t>
  </si>
  <si>
    <t xml:space="preserve">N° de lot</t>
  </si>
  <si>
    <t xml:space="preserve">Date de péremption</t>
  </si>
  <si>
    <t xml:space="preserve">Quantité
(unités)</t>
  </si>
  <si>
    <t xml:space="preserve">Date dernier
comptage</t>
  </si>
  <si>
    <t xml:space="preserve">Mois avant
péremption</t>
  </si>
  <si>
    <t xml:space="preserve">Alerte</t>
  </si>
  <si>
    <t xml:space="preserve">(technique)
n° recherche</t>
  </si>
  <si>
    <t xml:space="preserve">PCM2405</t>
  </si>
  <si>
    <t xml:space="preserve">PCM2502</t>
  </si>
  <si>
    <t xml:space="preserve">AMX2311</t>
  </si>
  <si>
    <t xml:space="preserve">ALU2408</t>
  </si>
  <si>
    <t xml:space="preserve">FAF2410</t>
  </si>
  <si>
    <t xml:space="preserve">GTM2501</t>
  </si>
  <si>
    <t xml:space="preserve">SRO2406</t>
  </si>
  <si>
    <t xml:space="preserve">NAC2409</t>
  </si>
  <si>
    <t xml:space="preserve">OXY2503</t>
  </si>
  <si>
    <t xml:space="preserve">DZP2402</t>
  </si>
  <si>
    <t xml:space="preserve">ALC2501</t>
  </si>
  <si>
    <t xml:space="preserve">Q01-1-01</t>
  </si>
  <si>
    <t xml:space="preserve">AMX2209</t>
  </si>
  <si>
    <t xml:space="preserve">Où se trouve le produit ?</t>
  </si>
  <si>
    <t xml:space="preserve">Tapez un nom, un code ou un lot :</t>
  </si>
  <si>
    <t xml:space="preserve">amox</t>
  </si>
  <si>
    <t xml:space="preserve">Laisser vide pour tout afficher. Les 40 premiers résultats sont affichés ; utiliser le filtre de l'onglet Stock pour plus.</t>
  </si>
  <si>
    <t xml:space="preserve">N°</t>
  </si>
  <si>
    <t xml:space="preserve">Péremption</t>
  </si>
  <si>
    <t xml:space="preserve">Quantité</t>
  </si>
  <si>
    <t xml:space="preserve">Étiquettes d'emplacement à imprimer (2 par ligne) – générées depuis l'onglet Emplacements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</si>
</sst>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Consolas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8"/>
      <color rgb="FF80808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4E79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EDEDE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1" customFormat="false" ht="25.5" hidden="false" customHeight="true" outlineLevel="0" collapsed="false">
      <c r="B1" s="1" t="s">
        <v>0</v>
      </c>
    </row>
    <row r="2" customFormat="false" ht="27.75" hidden="false" customHeight="true" outlineLevel="0" collapsed="false">
      <c r="B2" s="2" t="s">
        <v>1</v>
      </c>
      <c r="C2" s="2"/>
    </row>
    <row r="4" customFormat="false" ht="19.5" hidden="false" customHeight="tru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</row>
    <row r="6" customFormat="false" ht="27.75" hidden="false" customHeight="true" outlineLevel="0" collapsed="false">
      <c r="B6" s="4" t="s">
        <v>5</v>
      </c>
      <c r="C6" s="6" t="s">
        <v>6</v>
      </c>
    </row>
    <row r="7" customFormat="false" ht="27.75" hidden="false" customHeight="true" outlineLevel="0" collapsed="false">
      <c r="B7" s="4" t="s">
        <v>7</v>
      </c>
      <c r="C7" s="6" t="s">
        <v>8</v>
      </c>
    </row>
    <row r="8" customFormat="false" ht="15" hidden="false" customHeight="true" outlineLevel="0" collapsed="false">
      <c r="B8" s="4" t="s">
        <v>9</v>
      </c>
      <c r="C8" s="6" t="s">
        <v>10</v>
      </c>
    </row>
    <row r="9" customFormat="false" ht="15" hidden="false" customHeight="true" outlineLevel="0" collapsed="false">
      <c r="B9" s="4" t="s">
        <v>11</v>
      </c>
      <c r="C9" s="6" t="s">
        <v>12</v>
      </c>
    </row>
    <row r="10" customFormat="false" ht="27.75" hidden="false" customHeight="true" outlineLevel="0" collapsed="false">
      <c r="B10" s="4" t="s">
        <v>13</v>
      </c>
      <c r="C10" s="6" t="s">
        <v>14</v>
      </c>
    </row>
    <row r="12" customFormat="false" ht="19.5" hidden="false" customHeight="true" outlineLevel="0" collapsed="false">
      <c r="B12" s="3" t="s">
        <v>15</v>
      </c>
    </row>
    <row r="13" customFormat="false" ht="27.75" hidden="false" customHeight="true" outlineLevel="0" collapsed="false">
      <c r="B13" s="4" t="s">
        <v>16</v>
      </c>
      <c r="C13" s="6" t="s">
        <v>17</v>
      </c>
    </row>
    <row r="14" customFormat="false" ht="27.75" hidden="false" customHeight="true" outlineLevel="0" collapsed="false">
      <c r="B14" s="4" t="s">
        <v>18</v>
      </c>
      <c r="C14" s="6" t="s">
        <v>19</v>
      </c>
    </row>
    <row r="15" customFormat="false" ht="27.75" hidden="false" customHeight="true" outlineLevel="0" collapsed="false">
      <c r="B15" s="4" t="s">
        <v>20</v>
      </c>
      <c r="C15" s="6" t="s">
        <v>21</v>
      </c>
    </row>
    <row r="16" customFormat="false" ht="27.75" hidden="false" customHeight="true" outlineLevel="0" collapsed="false">
      <c r="B16" s="4" t="s">
        <v>22</v>
      </c>
      <c r="C16" s="6" t="s">
        <v>23</v>
      </c>
    </row>
    <row r="17" customFormat="false" ht="27.75" hidden="false" customHeight="true" outlineLevel="0" collapsed="false">
      <c r="B17" s="4" t="s">
        <v>24</v>
      </c>
      <c r="C17" s="6" t="s">
        <v>25</v>
      </c>
    </row>
    <row r="18" customFormat="false" ht="27.75" hidden="false" customHeight="true" outlineLevel="0" collapsed="false">
      <c r="B18" s="4" t="s">
        <v>26</v>
      </c>
      <c r="C18" s="6" t="s">
        <v>27</v>
      </c>
    </row>
    <row r="20" customFormat="false" ht="19.5" hidden="false" customHeight="true" outlineLevel="0" collapsed="false">
      <c r="B20" s="3" t="s">
        <v>28</v>
      </c>
    </row>
    <row r="21" customFormat="false" ht="27.75" hidden="false" customHeight="true" outlineLevel="0" collapsed="false">
      <c r="B21" s="4" t="s">
        <v>29</v>
      </c>
      <c r="C21" s="6" t="s">
        <v>30</v>
      </c>
    </row>
    <row r="22" customFormat="false" ht="15" hidden="false" customHeight="true" outlineLevel="0" collapsed="false">
      <c r="B22" s="4" t="s">
        <v>31</v>
      </c>
      <c r="C22" s="7" t="s">
        <v>32</v>
      </c>
    </row>
    <row r="23" customFormat="false" ht="15" hidden="false" customHeight="true" outlineLevel="0" collapsed="false">
      <c r="B23" s="4" t="s">
        <v>33</v>
      </c>
      <c r="C23" s="8" t="s">
        <v>34</v>
      </c>
    </row>
    <row r="24" customFormat="false" ht="27.75" hidden="false" customHeight="true" outlineLevel="0" collapsed="false">
      <c r="B24" s="4" t="s">
        <v>35</v>
      </c>
      <c r="C24" s="9" t="s">
        <v>36</v>
      </c>
    </row>
    <row r="25" customFormat="false" ht="27.75" hidden="false" customHeight="true" outlineLevel="0" collapsed="false">
      <c r="B25" s="4" t="s">
        <v>37</v>
      </c>
      <c r="C25" s="6" t="s">
        <v>38</v>
      </c>
    </row>
    <row r="26" customFormat="false" ht="27.75" hidden="false" customHeight="true" outlineLevel="0" collapsed="false">
      <c r="B26" s="4" t="s">
        <v>39</v>
      </c>
      <c r="C26" s="6" t="s">
        <v>40</v>
      </c>
    </row>
    <row r="28" customFormat="false" ht="19.5" hidden="false" customHeight="true" outlineLevel="0" collapsed="false">
      <c r="B28" s="3" t="s">
        <v>41</v>
      </c>
    </row>
    <row r="29" customFormat="false" ht="27.75" hidden="false" customHeight="true" outlineLevel="0" collapsed="false">
      <c r="B29" s="2" t="s">
        <v>42</v>
      </c>
      <c r="C29" s="2"/>
    </row>
    <row r="30" customFormat="false" ht="15" hidden="false" customHeight="true" outlineLevel="0" collapsed="false">
      <c r="B30" s="2" t="s">
        <v>43</v>
      </c>
      <c r="C30" s="2"/>
    </row>
    <row r="31" customFormat="false" ht="15" hidden="false" customHeight="true" outlineLevel="0" collapsed="false">
      <c r="B31" s="2" t="s">
        <v>44</v>
      </c>
      <c r="C31" s="2"/>
    </row>
    <row r="32" customFormat="false" ht="15" hidden="false" customHeight="true" outlineLevel="0" collapsed="false">
      <c r="B32" s="2" t="s">
        <v>45</v>
      </c>
      <c r="C32" s="2"/>
    </row>
    <row r="33" customFormat="false" ht="27.75" hidden="false" customHeight="true" outlineLevel="0" collapsed="false">
      <c r="B33" s="2" t="s">
        <v>46</v>
      </c>
      <c r="C33" s="2"/>
    </row>
    <row r="35" customFormat="false" ht="15" hidden="false" customHeight="true" outlineLevel="0" collapsed="false">
      <c r="B35" s="2" t="s">
        <v>47</v>
      </c>
      <c r="C35" s="2"/>
    </row>
  </sheetData>
  <mergeCells count="7">
    <mergeCell ref="B2:C2"/>
    <mergeCell ref="B29:C29"/>
    <mergeCell ref="B30:C30"/>
    <mergeCell ref="B31:C31"/>
    <mergeCell ref="B32:C32"/>
    <mergeCell ref="B33:C33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4" min="3" style="0" width="48"/>
  </cols>
  <sheetData>
    <row r="1" customFormat="false" ht="31.5" hidden="false" customHeight="true" outlineLevel="0" collapsed="false">
      <c r="A1" s="10" t="s">
        <v>48</v>
      </c>
      <c r="B1" s="10" t="s">
        <v>49</v>
      </c>
      <c r="C1" s="10" t="s">
        <v>50</v>
      </c>
      <c r="D1" s="10" t="s">
        <v>51</v>
      </c>
    </row>
    <row r="2" customFormat="false" ht="30" hidden="false" customHeight="true" outlineLevel="0" collapsed="false">
      <c r="A2" s="11" t="s">
        <v>52</v>
      </c>
      <c r="B2" s="7" t="s">
        <v>53</v>
      </c>
      <c r="C2" s="7" t="s">
        <v>54</v>
      </c>
      <c r="D2" s="7" t="s">
        <v>55</v>
      </c>
    </row>
    <row r="3" customFormat="false" ht="30" hidden="false" customHeight="true" outlineLevel="0" collapsed="false">
      <c r="A3" s="11" t="s">
        <v>56</v>
      </c>
      <c r="B3" s="7" t="s">
        <v>57</v>
      </c>
      <c r="C3" s="7" t="s">
        <v>58</v>
      </c>
      <c r="D3" s="7" t="s">
        <v>59</v>
      </c>
    </row>
    <row r="4" customFormat="false" ht="30" hidden="false" customHeight="true" outlineLevel="0" collapsed="false">
      <c r="A4" s="11" t="s">
        <v>60</v>
      </c>
      <c r="B4" s="7" t="s">
        <v>61</v>
      </c>
      <c r="C4" s="7" t="s">
        <v>62</v>
      </c>
      <c r="D4" s="7" t="s">
        <v>63</v>
      </c>
    </row>
    <row r="5" customFormat="false" ht="30" hidden="false" customHeight="true" outlineLevel="0" collapsed="false">
      <c r="A5" s="11" t="s">
        <v>64</v>
      </c>
      <c r="B5" s="7" t="s">
        <v>65</v>
      </c>
      <c r="C5" s="7" t="s">
        <v>66</v>
      </c>
      <c r="D5" s="7" t="s">
        <v>67</v>
      </c>
    </row>
    <row r="6" customFormat="false" ht="30" hidden="false" customHeight="true" outlineLevel="0" collapsed="false">
      <c r="A6" s="11" t="s">
        <v>68</v>
      </c>
      <c r="B6" s="7" t="s">
        <v>69</v>
      </c>
      <c r="C6" s="7" t="s">
        <v>70</v>
      </c>
      <c r="D6" s="7" t="s">
        <v>71</v>
      </c>
    </row>
    <row r="7" customFormat="false" ht="30" hidden="false" customHeight="true" outlineLevel="0" collapsed="false">
      <c r="A7" s="11" t="s">
        <v>72</v>
      </c>
      <c r="B7" s="7" t="s">
        <v>73</v>
      </c>
      <c r="C7" s="7" t="s">
        <v>74</v>
      </c>
      <c r="D7" s="7" t="s">
        <v>75</v>
      </c>
    </row>
    <row r="8" customFormat="false" ht="30" hidden="false" customHeight="true" outlineLevel="0" collapsed="false">
      <c r="A8" s="11" t="s">
        <v>76</v>
      </c>
      <c r="B8" s="7" t="s">
        <v>77</v>
      </c>
      <c r="C8" s="7" t="s">
        <v>78</v>
      </c>
      <c r="D8" s="7" t="s">
        <v>79</v>
      </c>
    </row>
    <row r="9" customFormat="false" ht="30" hidden="false" customHeight="true" outlineLevel="0" collapsed="false">
      <c r="A9" s="11" t="s">
        <v>80</v>
      </c>
      <c r="B9" s="7" t="s">
        <v>81</v>
      </c>
      <c r="C9" s="7" t="s">
        <v>82</v>
      </c>
      <c r="D9" s="7" t="s">
        <v>83</v>
      </c>
    </row>
    <row r="10" customFormat="false" ht="15" hidden="false" customHeight="false" outlineLevel="0" collapsed="false">
      <c r="A10" s="12"/>
      <c r="B10" s="12"/>
      <c r="C10" s="12"/>
      <c r="D10" s="12"/>
    </row>
    <row r="11" customFormat="false" ht="15" hidden="false" customHeight="false" outlineLevel="0" collapsed="false">
      <c r="A11" s="12"/>
      <c r="B11" s="12"/>
      <c r="C11" s="12"/>
      <c r="D11" s="12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2"/>
      <c r="B13" s="12"/>
      <c r="C13" s="12"/>
      <c r="D13" s="12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2"/>
      <c r="B15" s="12"/>
      <c r="C15" s="12"/>
      <c r="D15" s="12"/>
    </row>
    <row r="17" customFormat="false" ht="15" hidden="false" customHeight="false" outlineLevel="0" collapsed="false">
      <c r="A17" s="1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0" t="s">
        <v>92</v>
      </c>
      <c r="I1" s="10" t="s">
        <v>93</v>
      </c>
      <c r="J1" s="10" t="s">
        <v>94</v>
      </c>
    </row>
    <row r="2" customFormat="false" ht="15" hidden="false" customHeight="false" outlineLevel="0" collapsed="false">
      <c r="A2" s="14" t="str">
        <f aca="false">IF(OR(B2="",C2="",D2="",E2=""),"",UPPER(B2)&amp;TEXT(C2,"00")&amp;"-"&amp;D2&amp;"-"&amp;TEXT(E2,"00"))</f>
        <v>A01-1-01</v>
      </c>
      <c r="B2" s="15" t="s">
        <v>52</v>
      </c>
      <c r="C2" s="15" t="n">
        <v>1</v>
      </c>
      <c r="D2" s="15" t="n">
        <v>1</v>
      </c>
      <c r="E2" s="15" t="n">
        <v>1</v>
      </c>
      <c r="F2" s="16" t="str">
        <f aca="false">IF(B2="","",IFERROR(INDEX(Zones!$B$2:$B$15,MATCH(B2,Zones!$A$2:$A$15,0)),"⚠ zone inconnue"))</f>
        <v>Stock général</v>
      </c>
      <c r="G2" s="15" t="s">
        <v>95</v>
      </c>
      <c r="H2" s="15" t="s">
        <v>96</v>
      </c>
      <c r="I2" s="15" t="s">
        <v>97</v>
      </c>
      <c r="J2" s="12"/>
    </row>
    <row r="3" customFormat="false" ht="15" hidden="false" customHeight="false" outlineLevel="0" collapsed="false">
      <c r="A3" s="14" t="str">
        <f aca="false">IF(OR(B3="",C3="",D3="",E3=""),"",UPPER(B3)&amp;TEXT(C3,"00")&amp;"-"&amp;D3&amp;"-"&amp;TEXT(E3,"00"))</f>
        <v>A01-1-02</v>
      </c>
      <c r="B3" s="15" t="s">
        <v>52</v>
      </c>
      <c r="C3" s="15" t="n">
        <v>1</v>
      </c>
      <c r="D3" s="15" t="n">
        <v>1</v>
      </c>
      <c r="E3" s="15" t="n">
        <v>2</v>
      </c>
      <c r="F3" s="16" t="str">
        <f aca="false">IF(B3="","",IFERROR(INDEX(Zones!$B$2:$B$15,MATCH(B3,Zones!$A$2:$A$15,0)),"⚠ zone inconnue"))</f>
        <v>Stock général</v>
      </c>
      <c r="G3" s="15" t="s">
        <v>95</v>
      </c>
      <c r="H3" s="15" t="s">
        <v>96</v>
      </c>
      <c r="I3" s="15" t="s">
        <v>97</v>
      </c>
      <c r="J3" s="12"/>
    </row>
    <row r="4" customFormat="false" ht="15" hidden="false" customHeight="false" outlineLevel="0" collapsed="false">
      <c r="A4" s="14" t="str">
        <f aca="false">IF(OR(B4="",C4="",D4="",E4=""),"",UPPER(B4)&amp;TEXT(C4,"00")&amp;"-"&amp;D4&amp;"-"&amp;TEXT(E4,"00"))</f>
        <v>A01-1-03</v>
      </c>
      <c r="B4" s="15" t="s">
        <v>52</v>
      </c>
      <c r="C4" s="15" t="n">
        <v>1</v>
      </c>
      <c r="D4" s="15" t="n">
        <v>1</v>
      </c>
      <c r="E4" s="15" t="n">
        <v>3</v>
      </c>
      <c r="F4" s="16" t="str">
        <f aca="false">IF(B4="","",IFERROR(INDEX(Zones!$B$2:$B$15,MATCH(B4,Zones!$A$2:$A$15,0)),"⚠ zone inconnue"))</f>
        <v>Stock général</v>
      </c>
      <c r="G4" s="15" t="s">
        <v>95</v>
      </c>
      <c r="H4" s="15" t="s">
        <v>96</v>
      </c>
      <c r="I4" s="15" t="s">
        <v>97</v>
      </c>
      <c r="J4" s="12"/>
    </row>
    <row r="5" customFormat="false" ht="15" hidden="false" customHeight="false" outlineLevel="0" collapsed="false">
      <c r="A5" s="14" t="str">
        <f aca="false">IF(OR(B5="",C5="",D5="",E5=""),"",UPPER(B5)&amp;TEXT(C5,"00")&amp;"-"&amp;D5&amp;"-"&amp;TEXT(E5,"00"))</f>
        <v>A01-2-01</v>
      </c>
      <c r="B5" s="15" t="s">
        <v>52</v>
      </c>
      <c r="C5" s="15" t="n">
        <v>1</v>
      </c>
      <c r="D5" s="15" t="n">
        <v>2</v>
      </c>
      <c r="E5" s="15" t="n">
        <v>1</v>
      </c>
      <c r="F5" s="16" t="str">
        <f aca="false">IF(B5="","",IFERROR(INDEX(Zones!$B$2:$B$15,MATCH(B5,Zones!$A$2:$A$15,0)),"⚠ zone inconnue"))</f>
        <v>Stock général</v>
      </c>
      <c r="G5" s="15" t="s">
        <v>95</v>
      </c>
      <c r="H5" s="15" t="s">
        <v>96</v>
      </c>
      <c r="I5" s="15" t="s">
        <v>97</v>
      </c>
      <c r="J5" s="12"/>
    </row>
    <row r="6" customFormat="false" ht="15" hidden="false" customHeight="false" outlineLevel="0" collapsed="false">
      <c r="A6" s="14" t="str">
        <f aca="false">IF(OR(B6="",C6="",D6="",E6=""),"",UPPER(B6)&amp;TEXT(C6,"00")&amp;"-"&amp;D6&amp;"-"&amp;TEXT(E6,"00"))</f>
        <v>A01-2-02</v>
      </c>
      <c r="B6" s="15" t="s">
        <v>52</v>
      </c>
      <c r="C6" s="15" t="n">
        <v>1</v>
      </c>
      <c r="D6" s="15" t="n">
        <v>2</v>
      </c>
      <c r="E6" s="15" t="n">
        <v>2</v>
      </c>
      <c r="F6" s="16" t="str">
        <f aca="false">IF(B6="","",IFERROR(INDEX(Zones!$B$2:$B$15,MATCH(B6,Zones!$A$2:$A$15,0)),"⚠ zone inconnue"))</f>
        <v>Stock général</v>
      </c>
      <c r="G6" s="15" t="s">
        <v>95</v>
      </c>
      <c r="H6" s="15" t="s">
        <v>96</v>
      </c>
      <c r="I6" s="15" t="s">
        <v>97</v>
      </c>
      <c r="J6" s="12"/>
    </row>
    <row r="7" customFormat="false" ht="15" hidden="false" customHeight="false" outlineLevel="0" collapsed="false">
      <c r="A7" s="14" t="str">
        <f aca="false">IF(OR(B7="",C7="",D7="",E7=""),"",UPPER(B7)&amp;TEXT(C7,"00")&amp;"-"&amp;D7&amp;"-"&amp;TEXT(E7,"00"))</f>
        <v>A01-2-03</v>
      </c>
      <c r="B7" s="15" t="s">
        <v>52</v>
      </c>
      <c r="C7" s="15" t="n">
        <v>1</v>
      </c>
      <c r="D7" s="15" t="n">
        <v>2</v>
      </c>
      <c r="E7" s="15" t="n">
        <v>3</v>
      </c>
      <c r="F7" s="16" t="str">
        <f aca="false">IF(B7="","",IFERROR(INDEX(Zones!$B$2:$B$15,MATCH(B7,Zones!$A$2:$A$15,0)),"⚠ zone inconnue"))</f>
        <v>Stock général</v>
      </c>
      <c r="G7" s="15" t="s">
        <v>95</v>
      </c>
      <c r="H7" s="15" t="s">
        <v>96</v>
      </c>
      <c r="I7" s="15" t="s">
        <v>97</v>
      </c>
      <c r="J7" s="12"/>
    </row>
    <row r="8" customFormat="false" ht="15" hidden="false" customHeight="false" outlineLevel="0" collapsed="false">
      <c r="A8" s="14" t="str">
        <f aca="false">IF(OR(B8="",C8="",D8="",E8=""),"",UPPER(B8)&amp;TEXT(C8,"00")&amp;"-"&amp;D8&amp;"-"&amp;TEXT(E8,"00"))</f>
        <v>A01-3-01</v>
      </c>
      <c r="B8" s="15" t="s">
        <v>52</v>
      </c>
      <c r="C8" s="15" t="n">
        <v>1</v>
      </c>
      <c r="D8" s="15" t="n">
        <v>3</v>
      </c>
      <c r="E8" s="15" t="n">
        <v>1</v>
      </c>
      <c r="F8" s="16" t="str">
        <f aca="false">IF(B8="","",IFERROR(INDEX(Zones!$B$2:$B$15,MATCH(B8,Zones!$A$2:$A$15,0)),"⚠ zone inconnue"))</f>
        <v>Stock général</v>
      </c>
      <c r="G8" s="15" t="s">
        <v>95</v>
      </c>
      <c r="H8" s="15" t="s">
        <v>96</v>
      </c>
      <c r="I8" s="15" t="s">
        <v>97</v>
      </c>
      <c r="J8" s="12"/>
    </row>
    <row r="9" customFormat="false" ht="15" hidden="false" customHeight="false" outlineLevel="0" collapsed="false">
      <c r="A9" s="14" t="str">
        <f aca="false">IF(OR(B9="",C9="",D9="",E9=""),"",UPPER(B9)&amp;TEXT(C9,"00")&amp;"-"&amp;D9&amp;"-"&amp;TEXT(E9,"00"))</f>
        <v>A01-3-02</v>
      </c>
      <c r="B9" s="15" t="s">
        <v>52</v>
      </c>
      <c r="C9" s="15" t="n">
        <v>1</v>
      </c>
      <c r="D9" s="15" t="n">
        <v>3</v>
      </c>
      <c r="E9" s="15" t="n">
        <v>2</v>
      </c>
      <c r="F9" s="16" t="str">
        <f aca="false">IF(B9="","",IFERROR(INDEX(Zones!$B$2:$B$15,MATCH(B9,Zones!$A$2:$A$15,0)),"⚠ zone inconnue"))</f>
        <v>Stock général</v>
      </c>
      <c r="G9" s="15" t="s">
        <v>95</v>
      </c>
      <c r="H9" s="15" t="s">
        <v>96</v>
      </c>
      <c r="I9" s="15" t="s">
        <v>97</v>
      </c>
      <c r="J9" s="12"/>
    </row>
    <row r="10" customFormat="false" ht="15" hidden="false" customHeight="false" outlineLevel="0" collapsed="false">
      <c r="A10" s="14" t="str">
        <f aca="false">IF(OR(B10="",C10="",D10="",E10=""),"",UPPER(B10)&amp;TEXT(C10,"00")&amp;"-"&amp;D10&amp;"-"&amp;TEXT(E10,"00"))</f>
        <v>A01-3-03</v>
      </c>
      <c r="B10" s="15" t="s">
        <v>52</v>
      </c>
      <c r="C10" s="15" t="n">
        <v>1</v>
      </c>
      <c r="D10" s="15" t="n">
        <v>3</v>
      </c>
      <c r="E10" s="15" t="n">
        <v>3</v>
      </c>
      <c r="F10" s="16" t="str">
        <f aca="false">IF(B10="","",IFERROR(INDEX(Zones!$B$2:$B$15,MATCH(B10,Zones!$A$2:$A$15,0)),"⚠ zone inconnue"))</f>
        <v>Stock général</v>
      </c>
      <c r="G10" s="15" t="s">
        <v>95</v>
      </c>
      <c r="H10" s="15" t="s">
        <v>96</v>
      </c>
      <c r="I10" s="15" t="s">
        <v>97</v>
      </c>
      <c r="J10" s="12"/>
    </row>
    <row r="11" customFormat="false" ht="15" hidden="false" customHeight="false" outlineLevel="0" collapsed="false">
      <c r="A11" s="14" t="str">
        <f aca="false">IF(OR(B11="",C11="",D11="",E11=""),"",UPPER(B11)&amp;TEXT(C11,"00")&amp;"-"&amp;D11&amp;"-"&amp;TEXT(E11,"00"))</f>
        <v>A01-4-01</v>
      </c>
      <c r="B11" s="15" t="s">
        <v>52</v>
      </c>
      <c r="C11" s="15" t="n">
        <v>1</v>
      </c>
      <c r="D11" s="15" t="n">
        <v>4</v>
      </c>
      <c r="E11" s="15" t="n">
        <v>1</v>
      </c>
      <c r="F11" s="16" t="str">
        <f aca="false">IF(B11="","",IFERROR(INDEX(Zones!$B$2:$B$15,MATCH(B11,Zones!$A$2:$A$15,0)),"⚠ zone inconnue"))</f>
        <v>Stock général</v>
      </c>
      <c r="G11" s="15" t="s">
        <v>95</v>
      </c>
      <c r="H11" s="15" t="s">
        <v>96</v>
      </c>
      <c r="I11" s="15" t="s">
        <v>97</v>
      </c>
      <c r="J11" s="12"/>
    </row>
    <row r="12" customFormat="false" ht="15" hidden="false" customHeight="false" outlineLevel="0" collapsed="false">
      <c r="A12" s="14" t="str">
        <f aca="false">IF(OR(B12="",C12="",D12="",E12=""),"",UPPER(B12)&amp;TEXT(C12,"00")&amp;"-"&amp;D12&amp;"-"&amp;TEXT(E12,"00"))</f>
        <v>A01-4-02</v>
      </c>
      <c r="B12" s="15" t="s">
        <v>52</v>
      </c>
      <c r="C12" s="15" t="n">
        <v>1</v>
      </c>
      <c r="D12" s="15" t="n">
        <v>4</v>
      </c>
      <c r="E12" s="15" t="n">
        <v>2</v>
      </c>
      <c r="F12" s="16" t="str">
        <f aca="false">IF(B12="","",IFERROR(INDEX(Zones!$B$2:$B$15,MATCH(B12,Zones!$A$2:$A$15,0)),"⚠ zone inconnue"))</f>
        <v>Stock général</v>
      </c>
      <c r="G12" s="15" t="s">
        <v>95</v>
      </c>
      <c r="H12" s="15" t="s">
        <v>96</v>
      </c>
      <c r="I12" s="15" t="s">
        <v>97</v>
      </c>
      <c r="J12" s="12"/>
    </row>
    <row r="13" customFormat="false" ht="15" hidden="false" customHeight="false" outlineLevel="0" collapsed="false">
      <c r="A13" s="14" t="str">
        <f aca="false">IF(OR(B13="",C13="",D13="",E13=""),"",UPPER(B13)&amp;TEXT(C13,"00")&amp;"-"&amp;D13&amp;"-"&amp;TEXT(E13,"00"))</f>
        <v>A01-4-03</v>
      </c>
      <c r="B13" s="15" t="s">
        <v>52</v>
      </c>
      <c r="C13" s="15" t="n">
        <v>1</v>
      </c>
      <c r="D13" s="15" t="n">
        <v>4</v>
      </c>
      <c r="E13" s="15" t="n">
        <v>3</v>
      </c>
      <c r="F13" s="16" t="str">
        <f aca="false">IF(B13="","",IFERROR(INDEX(Zones!$B$2:$B$15,MATCH(B13,Zones!$A$2:$A$15,0)),"⚠ zone inconnue"))</f>
        <v>Stock général</v>
      </c>
      <c r="G13" s="15" t="s">
        <v>95</v>
      </c>
      <c r="H13" s="15" t="s">
        <v>96</v>
      </c>
      <c r="I13" s="15" t="s">
        <v>97</v>
      </c>
      <c r="J13" s="12"/>
    </row>
    <row r="14" customFormat="false" ht="15" hidden="false" customHeight="false" outlineLevel="0" collapsed="false">
      <c r="A14" s="14" t="str">
        <f aca="false">IF(OR(B14="",C14="",D14="",E14=""),"",UPPER(B14)&amp;TEXT(C14,"00")&amp;"-"&amp;D14&amp;"-"&amp;TEXT(E14,"00"))</f>
        <v>A02-1-01</v>
      </c>
      <c r="B14" s="15" t="s">
        <v>52</v>
      </c>
      <c r="C14" s="15" t="n">
        <v>2</v>
      </c>
      <c r="D14" s="15" t="n">
        <v>1</v>
      </c>
      <c r="E14" s="15" t="n">
        <v>1</v>
      </c>
      <c r="F14" s="16" t="str">
        <f aca="false">IF(B14="","",IFERROR(INDEX(Zones!$B$2:$B$15,MATCH(B14,Zones!$A$2:$A$15,0)),"⚠ zone inconnue"))</f>
        <v>Stock général</v>
      </c>
      <c r="G14" s="15" t="s">
        <v>98</v>
      </c>
      <c r="H14" s="15" t="s">
        <v>96</v>
      </c>
      <c r="I14" s="15" t="s">
        <v>97</v>
      </c>
      <c r="J14" s="12"/>
    </row>
    <row r="15" customFormat="false" ht="15" hidden="false" customHeight="false" outlineLevel="0" collapsed="false">
      <c r="A15" s="14" t="str">
        <f aca="false">IF(OR(B15="",C15="",D15="",E15=""),"",UPPER(B15)&amp;TEXT(C15,"00")&amp;"-"&amp;D15&amp;"-"&amp;TEXT(E15,"00"))</f>
        <v>A02-1-02</v>
      </c>
      <c r="B15" s="15" t="s">
        <v>52</v>
      </c>
      <c r="C15" s="15" t="n">
        <v>2</v>
      </c>
      <c r="D15" s="15" t="n">
        <v>1</v>
      </c>
      <c r="E15" s="15" t="n">
        <v>2</v>
      </c>
      <c r="F15" s="16" t="str">
        <f aca="false">IF(B15="","",IFERROR(INDEX(Zones!$B$2:$B$15,MATCH(B15,Zones!$A$2:$A$15,0)),"⚠ zone inconnue"))</f>
        <v>Stock général</v>
      </c>
      <c r="G15" s="15" t="s">
        <v>98</v>
      </c>
      <c r="H15" s="15" t="s">
        <v>96</v>
      </c>
      <c r="I15" s="15" t="s">
        <v>97</v>
      </c>
      <c r="J15" s="12"/>
    </row>
    <row r="16" customFormat="false" ht="15" hidden="false" customHeight="false" outlineLevel="0" collapsed="false">
      <c r="A16" s="14" t="str">
        <f aca="false">IF(OR(B16="",C16="",D16="",E16=""),"",UPPER(B16)&amp;TEXT(C16,"00")&amp;"-"&amp;D16&amp;"-"&amp;TEXT(E16,"00"))</f>
        <v>A02-1-03</v>
      </c>
      <c r="B16" s="15" t="s">
        <v>52</v>
      </c>
      <c r="C16" s="15" t="n">
        <v>2</v>
      </c>
      <c r="D16" s="15" t="n">
        <v>1</v>
      </c>
      <c r="E16" s="15" t="n">
        <v>3</v>
      </c>
      <c r="F16" s="16" t="str">
        <f aca="false">IF(B16="","",IFERROR(INDEX(Zones!$B$2:$B$15,MATCH(B16,Zones!$A$2:$A$15,0)),"⚠ zone inconnue"))</f>
        <v>Stock général</v>
      </c>
      <c r="G16" s="15" t="s">
        <v>98</v>
      </c>
      <c r="H16" s="15" t="s">
        <v>96</v>
      </c>
      <c r="I16" s="15" t="s">
        <v>97</v>
      </c>
      <c r="J16" s="12"/>
    </row>
    <row r="17" customFormat="false" ht="15" hidden="false" customHeight="false" outlineLevel="0" collapsed="false">
      <c r="A17" s="14" t="str">
        <f aca="false">IF(OR(B17="",C17="",D17="",E17=""),"",UPPER(B17)&amp;TEXT(C17,"00")&amp;"-"&amp;D17&amp;"-"&amp;TEXT(E17,"00"))</f>
        <v>A02-2-01</v>
      </c>
      <c r="B17" s="15" t="s">
        <v>52</v>
      </c>
      <c r="C17" s="15" t="n">
        <v>2</v>
      </c>
      <c r="D17" s="15" t="n">
        <v>2</v>
      </c>
      <c r="E17" s="15" t="n">
        <v>1</v>
      </c>
      <c r="F17" s="16" t="str">
        <f aca="false">IF(B17="","",IFERROR(INDEX(Zones!$B$2:$B$15,MATCH(B17,Zones!$A$2:$A$15,0)),"⚠ zone inconnue"))</f>
        <v>Stock général</v>
      </c>
      <c r="G17" s="15" t="s">
        <v>98</v>
      </c>
      <c r="H17" s="15" t="s">
        <v>96</v>
      </c>
      <c r="I17" s="15" t="s">
        <v>97</v>
      </c>
      <c r="J17" s="12"/>
    </row>
    <row r="18" customFormat="false" ht="15" hidden="false" customHeight="false" outlineLevel="0" collapsed="false">
      <c r="A18" s="14" t="str">
        <f aca="false">IF(OR(B18="",C18="",D18="",E18=""),"",UPPER(B18)&amp;TEXT(C18,"00")&amp;"-"&amp;D18&amp;"-"&amp;TEXT(E18,"00"))</f>
        <v>A02-2-02</v>
      </c>
      <c r="B18" s="15" t="s">
        <v>52</v>
      </c>
      <c r="C18" s="15" t="n">
        <v>2</v>
      </c>
      <c r="D18" s="15" t="n">
        <v>2</v>
      </c>
      <c r="E18" s="15" t="n">
        <v>2</v>
      </c>
      <c r="F18" s="16" t="str">
        <f aca="false">IF(B18="","",IFERROR(INDEX(Zones!$B$2:$B$15,MATCH(B18,Zones!$A$2:$A$15,0)),"⚠ zone inconnue"))</f>
        <v>Stock général</v>
      </c>
      <c r="G18" s="15" t="s">
        <v>98</v>
      </c>
      <c r="H18" s="15" t="s">
        <v>96</v>
      </c>
      <c r="I18" s="15" t="s">
        <v>97</v>
      </c>
      <c r="J18" s="12"/>
    </row>
    <row r="19" customFormat="false" ht="15" hidden="false" customHeight="false" outlineLevel="0" collapsed="false">
      <c r="A19" s="14" t="str">
        <f aca="false">IF(OR(B19="",C19="",D19="",E19=""),"",UPPER(B19)&amp;TEXT(C19,"00")&amp;"-"&amp;D19&amp;"-"&amp;TEXT(E19,"00"))</f>
        <v>A02-2-03</v>
      </c>
      <c r="B19" s="15" t="s">
        <v>52</v>
      </c>
      <c r="C19" s="15" t="n">
        <v>2</v>
      </c>
      <c r="D19" s="15" t="n">
        <v>2</v>
      </c>
      <c r="E19" s="15" t="n">
        <v>3</v>
      </c>
      <c r="F19" s="16" t="str">
        <f aca="false">IF(B19="","",IFERROR(INDEX(Zones!$B$2:$B$15,MATCH(B19,Zones!$A$2:$A$15,0)),"⚠ zone inconnue"))</f>
        <v>Stock général</v>
      </c>
      <c r="G19" s="15" t="s">
        <v>98</v>
      </c>
      <c r="H19" s="15" t="s">
        <v>96</v>
      </c>
      <c r="I19" s="15" t="s">
        <v>97</v>
      </c>
      <c r="J19" s="12"/>
    </row>
    <row r="20" customFormat="false" ht="15" hidden="false" customHeight="false" outlineLevel="0" collapsed="false">
      <c r="A20" s="14" t="str">
        <f aca="false">IF(OR(B20="",C20="",D20="",E20=""),"",UPPER(B20)&amp;TEXT(C20,"00")&amp;"-"&amp;D20&amp;"-"&amp;TEXT(E20,"00"))</f>
        <v>A02-3-01</v>
      </c>
      <c r="B20" s="15" t="s">
        <v>52</v>
      </c>
      <c r="C20" s="15" t="n">
        <v>2</v>
      </c>
      <c r="D20" s="15" t="n">
        <v>3</v>
      </c>
      <c r="E20" s="15" t="n">
        <v>1</v>
      </c>
      <c r="F20" s="16" t="str">
        <f aca="false">IF(B20="","",IFERROR(INDEX(Zones!$B$2:$B$15,MATCH(B20,Zones!$A$2:$A$15,0)),"⚠ zone inconnue"))</f>
        <v>Stock général</v>
      </c>
      <c r="G20" s="15" t="s">
        <v>98</v>
      </c>
      <c r="H20" s="15" t="s">
        <v>96</v>
      </c>
      <c r="I20" s="15" t="s">
        <v>97</v>
      </c>
      <c r="J20" s="12"/>
    </row>
    <row r="21" customFormat="false" ht="15" hidden="false" customHeight="false" outlineLevel="0" collapsed="false">
      <c r="A21" s="14" t="str">
        <f aca="false">IF(OR(B21="",C21="",D21="",E21=""),"",UPPER(B21)&amp;TEXT(C21,"00")&amp;"-"&amp;D21&amp;"-"&amp;TEXT(E21,"00"))</f>
        <v>A02-3-02</v>
      </c>
      <c r="B21" s="15" t="s">
        <v>52</v>
      </c>
      <c r="C21" s="15" t="n">
        <v>2</v>
      </c>
      <c r="D21" s="15" t="n">
        <v>3</v>
      </c>
      <c r="E21" s="15" t="n">
        <v>2</v>
      </c>
      <c r="F21" s="16" t="str">
        <f aca="false">IF(B21="","",IFERROR(INDEX(Zones!$B$2:$B$15,MATCH(B21,Zones!$A$2:$A$15,0)),"⚠ zone inconnue"))</f>
        <v>Stock général</v>
      </c>
      <c r="G21" s="15" t="s">
        <v>98</v>
      </c>
      <c r="H21" s="15" t="s">
        <v>96</v>
      </c>
      <c r="I21" s="15" t="s">
        <v>97</v>
      </c>
      <c r="J21" s="12"/>
    </row>
    <row r="22" customFormat="false" ht="15" hidden="false" customHeight="false" outlineLevel="0" collapsed="false">
      <c r="A22" s="14" t="str">
        <f aca="false">IF(OR(B22="",C22="",D22="",E22=""),"",UPPER(B22)&amp;TEXT(C22,"00")&amp;"-"&amp;D22&amp;"-"&amp;TEXT(E22,"00"))</f>
        <v>A02-3-03</v>
      </c>
      <c r="B22" s="15" t="s">
        <v>52</v>
      </c>
      <c r="C22" s="15" t="n">
        <v>2</v>
      </c>
      <c r="D22" s="15" t="n">
        <v>3</v>
      </c>
      <c r="E22" s="15" t="n">
        <v>3</v>
      </c>
      <c r="F22" s="16" t="str">
        <f aca="false">IF(B22="","",IFERROR(INDEX(Zones!$B$2:$B$15,MATCH(B22,Zones!$A$2:$A$15,0)),"⚠ zone inconnue"))</f>
        <v>Stock général</v>
      </c>
      <c r="G22" s="15" t="s">
        <v>98</v>
      </c>
      <c r="H22" s="15" t="s">
        <v>96</v>
      </c>
      <c r="I22" s="15" t="s">
        <v>97</v>
      </c>
      <c r="J22" s="12"/>
    </row>
    <row r="23" customFormat="false" ht="15" hidden="false" customHeight="false" outlineLevel="0" collapsed="false">
      <c r="A23" s="14" t="str">
        <f aca="false">IF(OR(B23="",C23="",D23="",E23=""),"",UPPER(B23)&amp;TEXT(C23,"00")&amp;"-"&amp;D23&amp;"-"&amp;TEXT(E23,"00"))</f>
        <v>A02-4-01</v>
      </c>
      <c r="B23" s="15" t="s">
        <v>52</v>
      </c>
      <c r="C23" s="15" t="n">
        <v>2</v>
      </c>
      <c r="D23" s="15" t="n">
        <v>4</v>
      </c>
      <c r="E23" s="15" t="n">
        <v>1</v>
      </c>
      <c r="F23" s="16" t="str">
        <f aca="false">IF(B23="","",IFERROR(INDEX(Zones!$B$2:$B$15,MATCH(B23,Zones!$A$2:$A$15,0)),"⚠ zone inconnue"))</f>
        <v>Stock général</v>
      </c>
      <c r="G23" s="15" t="s">
        <v>98</v>
      </c>
      <c r="H23" s="15" t="s">
        <v>96</v>
      </c>
      <c r="I23" s="15" t="s">
        <v>97</v>
      </c>
      <c r="J23" s="12"/>
    </row>
    <row r="24" customFormat="false" ht="15" hidden="false" customHeight="false" outlineLevel="0" collapsed="false">
      <c r="A24" s="14" t="str">
        <f aca="false">IF(OR(B24="",C24="",D24="",E24=""),"",UPPER(B24)&amp;TEXT(C24,"00")&amp;"-"&amp;D24&amp;"-"&amp;TEXT(E24,"00"))</f>
        <v>A02-4-02</v>
      </c>
      <c r="B24" s="15" t="s">
        <v>52</v>
      </c>
      <c r="C24" s="15" t="n">
        <v>2</v>
      </c>
      <c r="D24" s="15" t="n">
        <v>4</v>
      </c>
      <c r="E24" s="15" t="n">
        <v>2</v>
      </c>
      <c r="F24" s="16" t="str">
        <f aca="false">IF(B24="","",IFERROR(INDEX(Zones!$B$2:$B$15,MATCH(B24,Zones!$A$2:$A$15,0)),"⚠ zone inconnue"))</f>
        <v>Stock général</v>
      </c>
      <c r="G24" s="15" t="s">
        <v>98</v>
      </c>
      <c r="H24" s="15" t="s">
        <v>96</v>
      </c>
      <c r="I24" s="15" t="s">
        <v>97</v>
      </c>
      <c r="J24" s="12"/>
    </row>
    <row r="25" customFormat="false" ht="15" hidden="false" customHeight="false" outlineLevel="0" collapsed="false">
      <c r="A25" s="14" t="str">
        <f aca="false">IF(OR(B25="",C25="",D25="",E25=""),"",UPPER(B25)&amp;TEXT(C25,"00")&amp;"-"&amp;D25&amp;"-"&amp;TEXT(E25,"00"))</f>
        <v>A02-4-03</v>
      </c>
      <c r="B25" s="15" t="s">
        <v>52</v>
      </c>
      <c r="C25" s="15" t="n">
        <v>2</v>
      </c>
      <c r="D25" s="15" t="n">
        <v>4</v>
      </c>
      <c r="E25" s="15" t="n">
        <v>3</v>
      </c>
      <c r="F25" s="16" t="str">
        <f aca="false">IF(B25="","",IFERROR(INDEX(Zones!$B$2:$B$15,MATCH(B25,Zones!$A$2:$A$15,0)),"⚠ zone inconnue"))</f>
        <v>Stock général</v>
      </c>
      <c r="G25" s="15" t="s">
        <v>98</v>
      </c>
      <c r="H25" s="15" t="s">
        <v>96</v>
      </c>
      <c r="I25" s="15" t="s">
        <v>97</v>
      </c>
      <c r="J25" s="12"/>
    </row>
    <row r="26" customFormat="false" ht="15" hidden="false" customHeight="false" outlineLevel="0" collapsed="false">
      <c r="A26" s="14" t="str">
        <f aca="false">IF(OR(B26="",C26="",D26="",E26=""),"",UPPER(B26)&amp;TEXT(C26,"00")&amp;"-"&amp;D26&amp;"-"&amp;TEXT(E26,"00"))</f>
        <v>F01-1-01</v>
      </c>
      <c r="B26" s="15" t="s">
        <v>56</v>
      </c>
      <c r="C26" s="15" t="n">
        <v>1</v>
      </c>
      <c r="D26" s="15" t="n">
        <v>1</v>
      </c>
      <c r="E26" s="15" t="n">
        <v>1</v>
      </c>
      <c r="F26" s="16" t="str">
        <f aca="false">IF(B26="","",IFERROR(INDEX(Zones!$B$2:$B$15,MATCH(B26,Zones!$A$2:$A$15,0)),"⚠ zone inconnue"))</f>
        <v>Chaîne de froid</v>
      </c>
      <c r="G26" s="15" t="s">
        <v>99</v>
      </c>
      <c r="H26" s="15" t="s">
        <v>100</v>
      </c>
      <c r="I26" s="15" t="s">
        <v>97</v>
      </c>
      <c r="J26" s="12"/>
    </row>
    <row r="27" customFormat="false" ht="15" hidden="false" customHeight="false" outlineLevel="0" collapsed="false">
      <c r="A27" s="14" t="str">
        <f aca="false">IF(OR(B27="",C27="",D27="",E27=""),"",UPPER(B27)&amp;TEXT(C27,"00")&amp;"-"&amp;D27&amp;"-"&amp;TEXT(E27,"00"))</f>
        <v>F01-2-01</v>
      </c>
      <c r="B27" s="15" t="s">
        <v>56</v>
      </c>
      <c r="C27" s="15" t="n">
        <v>1</v>
      </c>
      <c r="D27" s="15" t="n">
        <v>2</v>
      </c>
      <c r="E27" s="15" t="n">
        <v>1</v>
      </c>
      <c r="F27" s="16" t="str">
        <f aca="false">IF(B27="","",IFERROR(INDEX(Zones!$B$2:$B$15,MATCH(B27,Zones!$A$2:$A$15,0)),"⚠ zone inconnue"))</f>
        <v>Chaîne de froid</v>
      </c>
      <c r="G27" s="15" t="s">
        <v>99</v>
      </c>
      <c r="H27" s="15" t="s">
        <v>100</v>
      </c>
      <c r="I27" s="15" t="s">
        <v>97</v>
      </c>
      <c r="J27" s="12"/>
    </row>
    <row r="28" customFormat="false" ht="15" hidden="false" customHeight="false" outlineLevel="0" collapsed="false">
      <c r="A28" s="14" t="str">
        <f aca="false">IF(OR(B28="",C28="",D28="",E28=""),"",UPPER(B28)&amp;TEXT(C28,"00")&amp;"-"&amp;D28&amp;"-"&amp;TEXT(E28,"00"))</f>
        <v>F01-3-01</v>
      </c>
      <c r="B28" s="15" t="s">
        <v>56</v>
      </c>
      <c r="C28" s="15" t="n">
        <v>1</v>
      </c>
      <c r="D28" s="15" t="n">
        <v>3</v>
      </c>
      <c r="E28" s="15" t="n">
        <v>1</v>
      </c>
      <c r="F28" s="16" t="str">
        <f aca="false">IF(B28="","",IFERROR(INDEX(Zones!$B$2:$B$15,MATCH(B28,Zones!$A$2:$A$15,0)),"⚠ zone inconnue"))</f>
        <v>Chaîne de froid</v>
      </c>
      <c r="G28" s="15" t="s">
        <v>99</v>
      </c>
      <c r="H28" s="15" t="s">
        <v>100</v>
      </c>
      <c r="I28" s="15" t="s">
        <v>97</v>
      </c>
      <c r="J28" s="12"/>
    </row>
    <row r="29" customFormat="false" ht="15" hidden="false" customHeight="false" outlineLevel="0" collapsed="false">
      <c r="A29" s="14" t="str">
        <f aca="false">IF(OR(B29="",C29="",D29="",E29=""),"",UPPER(B29)&amp;TEXT(C29,"00")&amp;"-"&amp;D29&amp;"-"&amp;TEXT(E29,"00"))</f>
        <v>S01-1-01</v>
      </c>
      <c r="B29" s="15" t="s">
        <v>60</v>
      </c>
      <c r="C29" s="15" t="n">
        <v>1</v>
      </c>
      <c r="D29" s="15" t="n">
        <v>1</v>
      </c>
      <c r="E29" s="15" t="n">
        <v>1</v>
      </c>
      <c r="F29" s="16" t="str">
        <f aca="false">IF(B29="","",IFERROR(INDEX(Zones!$B$2:$B$15,MATCH(B29,Zones!$A$2:$A$15,0)),"⚠ zone inconnue"))</f>
        <v>Sécurisé</v>
      </c>
      <c r="G29" s="15" t="s">
        <v>101</v>
      </c>
      <c r="H29" s="15" t="s">
        <v>102</v>
      </c>
      <c r="I29" s="15" t="s">
        <v>97</v>
      </c>
      <c r="J29" s="12"/>
    </row>
    <row r="30" customFormat="false" ht="15" hidden="false" customHeight="false" outlineLevel="0" collapsed="false">
      <c r="A30" s="14" t="str">
        <f aca="false">IF(OR(B30="",C30="",D30="",E30=""),"",UPPER(B30)&amp;TEXT(C30,"00")&amp;"-"&amp;D30&amp;"-"&amp;TEXT(E30,"00"))</f>
        <v>S01-2-01</v>
      </c>
      <c r="B30" s="15" t="s">
        <v>60</v>
      </c>
      <c r="C30" s="15" t="n">
        <v>1</v>
      </c>
      <c r="D30" s="15" t="n">
        <v>2</v>
      </c>
      <c r="E30" s="15" t="n">
        <v>1</v>
      </c>
      <c r="F30" s="16" t="str">
        <f aca="false">IF(B30="","",IFERROR(INDEX(Zones!$B$2:$B$15,MATCH(B30,Zones!$A$2:$A$15,0)),"⚠ zone inconnue"))</f>
        <v>Sécurisé</v>
      </c>
      <c r="G30" s="15" t="s">
        <v>101</v>
      </c>
      <c r="H30" s="15" t="s">
        <v>102</v>
      </c>
      <c r="I30" s="15" t="s">
        <v>97</v>
      </c>
      <c r="J30" s="12"/>
    </row>
    <row r="31" customFormat="false" ht="15" hidden="false" customHeight="false" outlineLevel="0" collapsed="false">
      <c r="A31" s="14" t="str">
        <f aca="false">IF(OR(B31="",C31="",D31="",E31=""),"",UPPER(B31)&amp;TEXT(C31,"00")&amp;"-"&amp;D31&amp;"-"&amp;TEXT(E31,"00"))</f>
        <v>N01-1-01</v>
      </c>
      <c r="B31" s="15" t="s">
        <v>64</v>
      </c>
      <c r="C31" s="15" t="n">
        <v>1</v>
      </c>
      <c r="D31" s="15" t="n">
        <v>1</v>
      </c>
      <c r="E31" s="15" t="n">
        <v>1</v>
      </c>
      <c r="F31" s="16" t="str">
        <f aca="false">IF(B31="","",IFERROR(INDEX(Zones!$B$2:$B$15,MATCH(B31,Zones!$A$2:$A$15,0)),"⚠ zone inconnue"))</f>
        <v>Inflammables</v>
      </c>
      <c r="G31" s="12"/>
      <c r="H31" s="15" t="s">
        <v>103</v>
      </c>
      <c r="I31" s="15" t="s">
        <v>97</v>
      </c>
      <c r="J31" s="12"/>
    </row>
    <row r="32" customFormat="false" ht="15" hidden="false" customHeight="false" outlineLevel="0" collapsed="false">
      <c r="A32" s="14" t="str">
        <f aca="false">IF(OR(B32="",C32="",D32="",E32=""),"",UPPER(B32)&amp;TEXT(C32,"00")&amp;"-"&amp;D32&amp;"-"&amp;TEXT(E32,"00"))</f>
        <v>P01-1-01</v>
      </c>
      <c r="B32" s="15" t="s">
        <v>68</v>
      </c>
      <c r="C32" s="15" t="n">
        <v>1</v>
      </c>
      <c r="D32" s="15" t="n">
        <v>1</v>
      </c>
      <c r="E32" s="15" t="n">
        <v>1</v>
      </c>
      <c r="F32" s="16" t="str">
        <f aca="false">IF(B32="","",IFERROR(INDEX(Zones!$B$2:$B$15,MATCH(B32,Zones!$A$2:$A$15,0)),"⚠ zone inconnue"))</f>
        <v>Palettes / vrac</v>
      </c>
      <c r="G32" s="12"/>
      <c r="H32" s="15" t="s">
        <v>104</v>
      </c>
      <c r="I32" s="15" t="s">
        <v>97</v>
      </c>
      <c r="J32" s="12"/>
    </row>
    <row r="33" customFormat="false" ht="15" hidden="false" customHeight="false" outlineLevel="0" collapsed="false">
      <c r="A33" s="14" t="str">
        <f aca="false">IF(OR(B33="",C33="",D33="",E33=""),"",UPPER(B33)&amp;TEXT(C33,"00")&amp;"-"&amp;D33&amp;"-"&amp;TEXT(E33,"00"))</f>
        <v>P01-1-02</v>
      </c>
      <c r="B33" s="15" t="s">
        <v>68</v>
      </c>
      <c r="C33" s="15" t="n">
        <v>1</v>
      </c>
      <c r="D33" s="15" t="n">
        <v>1</v>
      </c>
      <c r="E33" s="15" t="n">
        <v>2</v>
      </c>
      <c r="F33" s="16" t="str">
        <f aca="false">IF(B33="","",IFERROR(INDEX(Zones!$B$2:$B$15,MATCH(B33,Zones!$A$2:$A$15,0)),"⚠ zone inconnue"))</f>
        <v>Palettes / vrac</v>
      </c>
      <c r="G33" s="12"/>
      <c r="H33" s="15" t="s">
        <v>104</v>
      </c>
      <c r="I33" s="15" t="s">
        <v>97</v>
      </c>
      <c r="J33" s="12"/>
    </row>
    <row r="34" customFormat="false" ht="15" hidden="false" customHeight="false" outlineLevel="0" collapsed="false">
      <c r="A34" s="14" t="str">
        <f aca="false">IF(OR(B34="",C34="",D34="",E34=""),"",UPPER(B34)&amp;TEXT(C34,"00")&amp;"-"&amp;D34&amp;"-"&amp;TEXT(E34,"00"))</f>
        <v>P01-1-03</v>
      </c>
      <c r="B34" s="15" t="s">
        <v>68</v>
      </c>
      <c r="C34" s="15" t="n">
        <v>1</v>
      </c>
      <c r="D34" s="15" t="n">
        <v>1</v>
      </c>
      <c r="E34" s="15" t="n">
        <v>3</v>
      </c>
      <c r="F34" s="16" t="str">
        <f aca="false">IF(B34="","",IFERROR(INDEX(Zones!$B$2:$B$15,MATCH(B34,Zones!$A$2:$A$15,0)),"⚠ zone inconnue"))</f>
        <v>Palettes / vrac</v>
      </c>
      <c r="G34" s="12"/>
      <c r="H34" s="15" t="s">
        <v>104</v>
      </c>
      <c r="I34" s="15" t="s">
        <v>97</v>
      </c>
      <c r="J34" s="12"/>
    </row>
    <row r="35" customFormat="false" ht="15" hidden="false" customHeight="false" outlineLevel="0" collapsed="false">
      <c r="A35" s="14" t="str">
        <f aca="false">IF(OR(B35="",C35="",D35="",E35=""),"",UPPER(B35)&amp;TEXT(C35,"00")&amp;"-"&amp;D35&amp;"-"&amp;TEXT(E35,"00"))</f>
        <v>P01-1-04</v>
      </c>
      <c r="B35" s="15" t="s">
        <v>68</v>
      </c>
      <c r="C35" s="15" t="n">
        <v>1</v>
      </c>
      <c r="D35" s="15" t="n">
        <v>1</v>
      </c>
      <c r="E35" s="15" t="n">
        <v>4</v>
      </c>
      <c r="F35" s="16" t="str">
        <f aca="false">IF(B35="","",IFERROR(INDEX(Zones!$B$2:$B$15,MATCH(B35,Zones!$A$2:$A$15,0)),"⚠ zone inconnue"))</f>
        <v>Palettes / vrac</v>
      </c>
      <c r="G35" s="12"/>
      <c r="H35" s="15" t="s">
        <v>104</v>
      </c>
      <c r="I35" s="15" t="s">
        <v>97</v>
      </c>
      <c r="J35" s="12"/>
    </row>
    <row r="36" customFormat="false" ht="15" hidden="false" customHeight="false" outlineLevel="0" collapsed="false">
      <c r="A36" s="14" t="str">
        <f aca="false">IF(OR(B36="",C36="",D36="",E36=""),"",UPPER(B36)&amp;TEXT(C36,"00")&amp;"-"&amp;D36&amp;"-"&amp;TEXT(E36,"00"))</f>
        <v>Q01-1-01</v>
      </c>
      <c r="B36" s="15" t="s">
        <v>72</v>
      </c>
      <c r="C36" s="15" t="n">
        <v>1</v>
      </c>
      <c r="D36" s="15" t="n">
        <v>1</v>
      </c>
      <c r="E36" s="15" t="n">
        <v>1</v>
      </c>
      <c r="F36" s="16" t="str">
        <f aca="false">IF(B36="","",IFERROR(INDEX(Zones!$B$2:$B$15,MATCH(B36,Zones!$A$2:$A$15,0)),"⚠ zone inconnue"))</f>
        <v>Quarantaine</v>
      </c>
      <c r="G36" s="12"/>
      <c r="H36" s="15" t="s">
        <v>105</v>
      </c>
      <c r="I36" s="15" t="s">
        <v>97</v>
      </c>
      <c r="J36" s="12"/>
    </row>
    <row r="37" customFormat="false" ht="15" hidden="false" customHeight="false" outlineLevel="0" collapsed="false">
      <c r="A37" s="14" t="str">
        <f aca="false">IF(OR(B37="",C37="",D37="",E37=""),"",UPPER(B37)&amp;TEXT(C37,"00")&amp;"-"&amp;D37&amp;"-"&amp;TEXT(E37,"00"))</f>
        <v>Q01-1-02</v>
      </c>
      <c r="B37" s="15" t="s">
        <v>72</v>
      </c>
      <c r="C37" s="15" t="n">
        <v>1</v>
      </c>
      <c r="D37" s="15" t="n">
        <v>1</v>
      </c>
      <c r="E37" s="15" t="n">
        <v>2</v>
      </c>
      <c r="F37" s="16" t="str">
        <f aca="false">IF(B37="","",IFERROR(INDEX(Zones!$B$2:$B$15,MATCH(B37,Zones!$A$2:$A$15,0)),"⚠ zone inconnue"))</f>
        <v>Quarantaine</v>
      </c>
      <c r="G37" s="12"/>
      <c r="H37" s="15" t="s">
        <v>105</v>
      </c>
      <c r="I37" s="15" t="s">
        <v>97</v>
      </c>
      <c r="J37" s="12"/>
    </row>
    <row r="38" customFormat="false" ht="15" hidden="false" customHeight="false" outlineLevel="0" collapsed="false">
      <c r="A38" s="14" t="str">
        <f aca="false">IF(OR(B38="",C38="",D38="",E38=""),"",UPPER(B38)&amp;TEXT(C38,"00")&amp;"-"&amp;D38&amp;"-"&amp;TEXT(E38,"00"))</f>
        <v>R01-1-01</v>
      </c>
      <c r="B38" s="15" t="s">
        <v>76</v>
      </c>
      <c r="C38" s="15" t="n">
        <v>1</v>
      </c>
      <c r="D38" s="15" t="n">
        <v>1</v>
      </c>
      <c r="E38" s="15" t="n">
        <v>1</v>
      </c>
      <c r="F38" s="16" t="str">
        <f aca="false">IF(B38="","",IFERROR(INDEX(Zones!$B$2:$B$15,MATCH(B38,Zones!$A$2:$A$15,0)),"⚠ zone inconnue"))</f>
        <v>Réception</v>
      </c>
      <c r="G38" s="12"/>
      <c r="H38" s="15" t="s">
        <v>106</v>
      </c>
      <c r="I38" s="15" t="s">
        <v>97</v>
      </c>
      <c r="J38" s="12"/>
    </row>
    <row r="39" customFormat="false" ht="15" hidden="false" customHeight="false" outlineLevel="0" collapsed="false">
      <c r="A39" s="14" t="str">
        <f aca="false">IF(OR(B39="",C39="",D39="",E39=""),"",UPPER(B39)&amp;TEXT(C39,"00")&amp;"-"&amp;D39&amp;"-"&amp;TEXT(E39,"00"))</f>
        <v>E01-1-01</v>
      </c>
      <c r="B39" s="15" t="s">
        <v>80</v>
      </c>
      <c r="C39" s="15" t="n">
        <v>1</v>
      </c>
      <c r="D39" s="15" t="n">
        <v>1</v>
      </c>
      <c r="E39" s="15" t="n">
        <v>1</v>
      </c>
      <c r="F39" s="16" t="str">
        <f aca="false">IF(B39="","",IFERROR(INDEX(Zones!$B$2:$B$15,MATCH(B39,Zones!$A$2:$A$15,0)),"⚠ zone inconnue"))</f>
        <v>Expédition</v>
      </c>
      <c r="G39" s="12"/>
      <c r="H39" s="15" t="s">
        <v>107</v>
      </c>
      <c r="I39" s="15" t="s">
        <v>97</v>
      </c>
      <c r="J39" s="12"/>
    </row>
    <row r="40" customFormat="false" ht="15" hidden="false" customHeight="false" outlineLevel="0" collapsed="false">
      <c r="A40" s="14" t="str">
        <f aca="false">IF(OR(B40="",C40="",D40="",E40=""),"",UPPER(B40)&amp;TEXT(C40,"00")&amp;"-"&amp;D40&amp;"-"&amp;TEXT(E40,"00"))</f>
        <v/>
      </c>
      <c r="B40" s="12"/>
      <c r="C40" s="12"/>
      <c r="D40" s="12"/>
      <c r="E40" s="12"/>
      <c r="F40" s="16" t="str">
        <f aca="false">IF(B40="","",IFERROR(INDEX(Zones!$B$2:$B$15,MATCH(B40,Zones!$A$2:$A$15,0)),"⚠ zone inconnue"))</f>
        <v/>
      </c>
      <c r="G40" s="12"/>
      <c r="H40" s="12"/>
      <c r="I40" s="12"/>
      <c r="J40" s="12"/>
    </row>
    <row r="41" customFormat="false" ht="15" hidden="false" customHeight="false" outlineLevel="0" collapsed="false">
      <c r="A41" s="14" t="str">
        <f aca="false">IF(OR(B41="",C41="",D41="",E41=""),"",UPPER(B41)&amp;TEXT(C41,"00")&amp;"-"&amp;D41&amp;"-"&amp;TEXT(E41,"00"))</f>
        <v/>
      </c>
      <c r="B41" s="12"/>
      <c r="C41" s="12"/>
      <c r="D41" s="12"/>
      <c r="E41" s="12"/>
      <c r="F41" s="16" t="str">
        <f aca="false">IF(B41="","",IFERROR(INDEX(Zones!$B$2:$B$15,MATCH(B41,Zones!$A$2:$A$15,0)),"⚠ zone inconnue"))</f>
        <v/>
      </c>
      <c r="G41" s="12"/>
      <c r="H41" s="12"/>
      <c r="I41" s="12"/>
      <c r="J41" s="12"/>
    </row>
    <row r="42" customFormat="false" ht="15" hidden="false" customHeight="false" outlineLevel="0" collapsed="false">
      <c r="A42" s="14" t="str">
        <f aca="false">IF(OR(B42="",C42="",D42="",E42=""),"",UPPER(B42)&amp;TEXT(C42,"00")&amp;"-"&amp;D42&amp;"-"&amp;TEXT(E42,"00"))</f>
        <v/>
      </c>
      <c r="B42" s="12"/>
      <c r="C42" s="12"/>
      <c r="D42" s="12"/>
      <c r="E42" s="12"/>
      <c r="F42" s="16" t="str">
        <f aca="false">IF(B42="","",IFERROR(INDEX(Zones!$B$2:$B$15,MATCH(B42,Zones!$A$2:$A$15,0)),"⚠ zone inconnue"))</f>
        <v/>
      </c>
      <c r="G42" s="12"/>
      <c r="H42" s="12"/>
      <c r="I42" s="12"/>
      <c r="J42" s="12"/>
    </row>
    <row r="43" customFormat="false" ht="15" hidden="false" customHeight="false" outlineLevel="0" collapsed="false">
      <c r="A43" s="14" t="str">
        <f aca="false">IF(OR(B43="",C43="",D43="",E43=""),"",UPPER(B43)&amp;TEXT(C43,"00")&amp;"-"&amp;D43&amp;"-"&amp;TEXT(E43,"00"))</f>
        <v/>
      </c>
      <c r="B43" s="12"/>
      <c r="C43" s="12"/>
      <c r="D43" s="12"/>
      <c r="E43" s="12"/>
      <c r="F43" s="16" t="str">
        <f aca="false">IF(B43="","",IFERROR(INDEX(Zones!$B$2:$B$15,MATCH(B43,Zones!$A$2:$A$15,0)),"⚠ zone inconnue"))</f>
        <v/>
      </c>
      <c r="G43" s="12"/>
      <c r="H43" s="12"/>
      <c r="I43" s="12"/>
      <c r="J43" s="12"/>
    </row>
    <row r="44" customFormat="false" ht="15" hidden="false" customHeight="false" outlineLevel="0" collapsed="false">
      <c r="A44" s="14" t="str">
        <f aca="false">IF(OR(B44="",C44="",D44="",E44=""),"",UPPER(B44)&amp;TEXT(C44,"00")&amp;"-"&amp;D44&amp;"-"&amp;TEXT(E44,"00"))</f>
        <v/>
      </c>
      <c r="B44" s="12"/>
      <c r="C44" s="12"/>
      <c r="D44" s="12"/>
      <c r="E44" s="12"/>
      <c r="F44" s="16" t="str">
        <f aca="false">IF(B44="","",IFERROR(INDEX(Zones!$B$2:$B$15,MATCH(B44,Zones!$A$2:$A$15,0)),"⚠ zone inconnue"))</f>
        <v/>
      </c>
      <c r="G44" s="12"/>
      <c r="H44" s="12"/>
      <c r="I44" s="12"/>
      <c r="J44" s="12"/>
    </row>
    <row r="45" customFormat="false" ht="15" hidden="false" customHeight="false" outlineLevel="0" collapsed="false">
      <c r="A45" s="14" t="str">
        <f aca="false">IF(OR(B45="",C45="",D45="",E45=""),"",UPPER(B45)&amp;TEXT(C45,"00")&amp;"-"&amp;D45&amp;"-"&amp;TEXT(E45,"00"))</f>
        <v/>
      </c>
      <c r="B45" s="12"/>
      <c r="C45" s="12"/>
      <c r="D45" s="12"/>
      <c r="E45" s="12"/>
      <c r="F45" s="16" t="str">
        <f aca="false">IF(B45="","",IFERROR(INDEX(Zones!$B$2:$B$15,MATCH(B45,Zones!$A$2:$A$15,0)),"⚠ zone inconnue"))</f>
        <v/>
      </c>
      <c r="G45" s="12"/>
      <c r="H45" s="12"/>
      <c r="I45" s="12"/>
      <c r="J45" s="12"/>
    </row>
    <row r="46" customFormat="false" ht="15" hidden="false" customHeight="false" outlineLevel="0" collapsed="false">
      <c r="A46" s="14" t="str">
        <f aca="false">IF(OR(B46="",C46="",D46="",E46=""),"",UPPER(B46)&amp;TEXT(C46,"00")&amp;"-"&amp;D46&amp;"-"&amp;TEXT(E46,"00"))</f>
        <v/>
      </c>
      <c r="B46" s="12"/>
      <c r="C46" s="12"/>
      <c r="D46" s="12"/>
      <c r="E46" s="12"/>
      <c r="F46" s="16" t="str">
        <f aca="false">IF(B46="","",IFERROR(INDEX(Zones!$B$2:$B$15,MATCH(B46,Zones!$A$2:$A$15,0)),"⚠ zone inconnue"))</f>
        <v/>
      </c>
      <c r="G46" s="12"/>
      <c r="H46" s="12"/>
      <c r="I46" s="12"/>
      <c r="J46" s="12"/>
    </row>
    <row r="47" customFormat="false" ht="15" hidden="false" customHeight="false" outlineLevel="0" collapsed="false">
      <c r="A47" s="14" t="str">
        <f aca="false">IF(OR(B47="",C47="",D47="",E47=""),"",UPPER(B47)&amp;TEXT(C47,"00")&amp;"-"&amp;D47&amp;"-"&amp;TEXT(E47,"00"))</f>
        <v/>
      </c>
      <c r="B47" s="12"/>
      <c r="C47" s="12"/>
      <c r="D47" s="12"/>
      <c r="E47" s="12"/>
      <c r="F47" s="16" t="str">
        <f aca="false">IF(B47="","",IFERROR(INDEX(Zones!$B$2:$B$15,MATCH(B47,Zones!$A$2:$A$15,0)),"⚠ zone inconnue"))</f>
        <v/>
      </c>
      <c r="G47" s="12"/>
      <c r="H47" s="12"/>
      <c r="I47" s="12"/>
      <c r="J47" s="12"/>
    </row>
    <row r="48" customFormat="false" ht="15" hidden="false" customHeight="false" outlineLevel="0" collapsed="false">
      <c r="A48" s="14" t="str">
        <f aca="false">IF(OR(B48="",C48="",D48="",E48=""),"",UPPER(B48)&amp;TEXT(C48,"00")&amp;"-"&amp;D48&amp;"-"&amp;TEXT(E48,"00"))</f>
        <v/>
      </c>
      <c r="B48" s="12"/>
      <c r="C48" s="12"/>
      <c r="D48" s="12"/>
      <c r="E48" s="12"/>
      <c r="F48" s="16" t="str">
        <f aca="false">IF(B48="","",IFERROR(INDEX(Zones!$B$2:$B$15,MATCH(B48,Zones!$A$2:$A$15,0)),"⚠ zone inconnue"))</f>
        <v/>
      </c>
      <c r="G48" s="12"/>
      <c r="H48" s="12"/>
      <c r="I48" s="12"/>
      <c r="J48" s="12"/>
    </row>
    <row r="49" customFormat="false" ht="15" hidden="false" customHeight="false" outlineLevel="0" collapsed="false">
      <c r="A49" s="14" t="str">
        <f aca="false">IF(OR(B49="",C49="",D49="",E49=""),"",UPPER(B49)&amp;TEXT(C49,"00")&amp;"-"&amp;D49&amp;"-"&amp;TEXT(E49,"00"))</f>
        <v/>
      </c>
      <c r="B49" s="12"/>
      <c r="C49" s="12"/>
      <c r="D49" s="12"/>
      <c r="E49" s="12"/>
      <c r="F49" s="16" t="str">
        <f aca="false">IF(B49="","",IFERROR(INDEX(Zones!$B$2:$B$15,MATCH(B49,Zones!$A$2:$A$15,0)),"⚠ zone inconnue"))</f>
        <v/>
      </c>
      <c r="G49" s="12"/>
      <c r="H49" s="12"/>
      <c r="I49" s="12"/>
      <c r="J49" s="12"/>
    </row>
    <row r="50" customFormat="false" ht="15" hidden="false" customHeight="false" outlineLevel="0" collapsed="false">
      <c r="A50" s="14" t="str">
        <f aca="false">IF(OR(B50="",C50="",D50="",E50=""),"",UPPER(B50)&amp;TEXT(C50,"00")&amp;"-"&amp;D50&amp;"-"&amp;TEXT(E50,"00"))</f>
        <v/>
      </c>
      <c r="B50" s="12"/>
      <c r="C50" s="12"/>
      <c r="D50" s="12"/>
      <c r="E50" s="12"/>
      <c r="F50" s="16" t="str">
        <f aca="false">IF(B50="","",IFERROR(INDEX(Zones!$B$2:$B$15,MATCH(B50,Zones!$A$2:$A$15,0)),"⚠ zone inconnue"))</f>
        <v/>
      </c>
      <c r="G50" s="12"/>
      <c r="H50" s="12"/>
      <c r="I50" s="12"/>
      <c r="J50" s="12"/>
    </row>
    <row r="51" customFormat="false" ht="15" hidden="false" customHeight="false" outlineLevel="0" collapsed="false">
      <c r="A51" s="14" t="str">
        <f aca="false">IF(OR(B51="",C51="",D51="",E51=""),"",UPPER(B51)&amp;TEXT(C51,"00")&amp;"-"&amp;D51&amp;"-"&amp;TEXT(E51,"00"))</f>
        <v/>
      </c>
      <c r="B51" s="12"/>
      <c r="C51" s="12"/>
      <c r="D51" s="12"/>
      <c r="E51" s="12"/>
      <c r="F51" s="16" t="str">
        <f aca="false">IF(B51="","",IFERROR(INDEX(Zones!$B$2:$B$15,MATCH(B51,Zones!$A$2:$A$15,0)),"⚠ zone inconnue"))</f>
        <v/>
      </c>
      <c r="G51" s="12"/>
      <c r="H51" s="12"/>
      <c r="I51" s="12"/>
      <c r="J51" s="12"/>
    </row>
    <row r="52" customFormat="false" ht="15" hidden="false" customHeight="false" outlineLevel="0" collapsed="false">
      <c r="A52" s="14" t="str">
        <f aca="false">IF(OR(B52="",C52="",D52="",E52=""),"",UPPER(B52)&amp;TEXT(C52,"00")&amp;"-"&amp;D52&amp;"-"&amp;TEXT(E52,"00"))</f>
        <v/>
      </c>
      <c r="B52" s="12"/>
      <c r="C52" s="12"/>
      <c r="D52" s="12"/>
      <c r="E52" s="12"/>
      <c r="F52" s="16" t="str">
        <f aca="false">IF(B52="","",IFERROR(INDEX(Zones!$B$2:$B$15,MATCH(B52,Zones!$A$2:$A$15,0)),"⚠ zone inconnue"))</f>
        <v/>
      </c>
      <c r="G52" s="12"/>
      <c r="H52" s="12"/>
      <c r="I52" s="12"/>
      <c r="J52" s="12"/>
    </row>
    <row r="53" customFormat="false" ht="15" hidden="false" customHeight="false" outlineLevel="0" collapsed="false">
      <c r="A53" s="14" t="str">
        <f aca="false">IF(OR(B53="",C53="",D53="",E53=""),"",UPPER(B53)&amp;TEXT(C53,"00")&amp;"-"&amp;D53&amp;"-"&amp;TEXT(E53,"00"))</f>
        <v/>
      </c>
      <c r="B53" s="12"/>
      <c r="C53" s="12"/>
      <c r="D53" s="12"/>
      <c r="E53" s="12"/>
      <c r="F53" s="16" t="str">
        <f aca="false">IF(B53="","",IFERROR(INDEX(Zones!$B$2:$B$15,MATCH(B53,Zones!$A$2:$A$15,0)),"⚠ zone inconnue"))</f>
        <v/>
      </c>
      <c r="G53" s="12"/>
      <c r="H53" s="12"/>
      <c r="I53" s="12"/>
      <c r="J53" s="12"/>
    </row>
    <row r="54" customFormat="false" ht="15" hidden="false" customHeight="false" outlineLevel="0" collapsed="false">
      <c r="A54" s="14" t="str">
        <f aca="false">IF(OR(B54="",C54="",D54="",E54=""),"",UPPER(B54)&amp;TEXT(C54,"00")&amp;"-"&amp;D54&amp;"-"&amp;TEXT(E54,"00"))</f>
        <v/>
      </c>
      <c r="B54" s="12"/>
      <c r="C54" s="12"/>
      <c r="D54" s="12"/>
      <c r="E54" s="12"/>
      <c r="F54" s="16" t="str">
        <f aca="false">IF(B54="","",IFERROR(INDEX(Zones!$B$2:$B$15,MATCH(B54,Zones!$A$2:$A$15,0)),"⚠ zone inconnue"))</f>
        <v/>
      </c>
      <c r="G54" s="12"/>
      <c r="H54" s="12"/>
      <c r="I54" s="12"/>
      <c r="J54" s="12"/>
    </row>
    <row r="55" customFormat="false" ht="15" hidden="false" customHeight="false" outlineLevel="0" collapsed="false">
      <c r="A55" s="14" t="str">
        <f aca="false">IF(OR(B55="",C55="",D55="",E55=""),"",UPPER(B55)&amp;TEXT(C55,"00")&amp;"-"&amp;D55&amp;"-"&amp;TEXT(E55,"00"))</f>
        <v/>
      </c>
      <c r="B55" s="12"/>
      <c r="C55" s="12"/>
      <c r="D55" s="12"/>
      <c r="E55" s="12"/>
      <c r="F55" s="16" t="str">
        <f aca="false">IF(B55="","",IFERROR(INDEX(Zones!$B$2:$B$15,MATCH(B55,Zones!$A$2:$A$15,0)),"⚠ zone inconnue"))</f>
        <v/>
      </c>
      <c r="G55" s="12"/>
      <c r="H55" s="12"/>
      <c r="I55" s="12"/>
      <c r="J55" s="12"/>
    </row>
    <row r="56" customFormat="false" ht="15" hidden="false" customHeight="false" outlineLevel="0" collapsed="false">
      <c r="A56" s="14" t="str">
        <f aca="false">IF(OR(B56="",C56="",D56="",E56=""),"",UPPER(B56)&amp;TEXT(C56,"00")&amp;"-"&amp;D56&amp;"-"&amp;TEXT(E56,"00"))</f>
        <v/>
      </c>
      <c r="B56" s="12"/>
      <c r="C56" s="12"/>
      <c r="D56" s="12"/>
      <c r="E56" s="12"/>
      <c r="F56" s="16" t="str">
        <f aca="false">IF(B56="","",IFERROR(INDEX(Zones!$B$2:$B$15,MATCH(B56,Zones!$A$2:$A$15,0)),"⚠ zone inconnue"))</f>
        <v/>
      </c>
      <c r="G56" s="12"/>
      <c r="H56" s="12"/>
      <c r="I56" s="12"/>
      <c r="J56" s="12"/>
    </row>
    <row r="57" customFormat="false" ht="15" hidden="false" customHeight="false" outlineLevel="0" collapsed="false">
      <c r="A57" s="14" t="str">
        <f aca="false">IF(OR(B57="",C57="",D57="",E57=""),"",UPPER(B57)&amp;TEXT(C57,"00")&amp;"-"&amp;D57&amp;"-"&amp;TEXT(E57,"00"))</f>
        <v/>
      </c>
      <c r="B57" s="12"/>
      <c r="C57" s="12"/>
      <c r="D57" s="12"/>
      <c r="E57" s="12"/>
      <c r="F57" s="16" t="str">
        <f aca="false">IF(B57="","",IFERROR(INDEX(Zones!$B$2:$B$15,MATCH(B57,Zones!$A$2:$A$15,0)),"⚠ zone inconnue"))</f>
        <v/>
      </c>
      <c r="G57" s="12"/>
      <c r="H57" s="12"/>
      <c r="I57" s="12"/>
      <c r="J57" s="12"/>
    </row>
    <row r="58" customFormat="false" ht="15" hidden="false" customHeight="false" outlineLevel="0" collapsed="false">
      <c r="A58" s="14" t="str">
        <f aca="false">IF(OR(B58="",C58="",D58="",E58=""),"",UPPER(B58)&amp;TEXT(C58,"00")&amp;"-"&amp;D58&amp;"-"&amp;TEXT(E58,"00"))</f>
        <v/>
      </c>
      <c r="B58" s="12"/>
      <c r="C58" s="12"/>
      <c r="D58" s="12"/>
      <c r="E58" s="12"/>
      <c r="F58" s="16" t="str">
        <f aca="false">IF(B58="","",IFERROR(INDEX(Zones!$B$2:$B$15,MATCH(B58,Zones!$A$2:$A$15,0)),"⚠ zone inconnue"))</f>
        <v/>
      </c>
      <c r="G58" s="12"/>
      <c r="H58" s="12"/>
      <c r="I58" s="12"/>
      <c r="J58" s="12"/>
    </row>
    <row r="59" customFormat="false" ht="15" hidden="false" customHeight="false" outlineLevel="0" collapsed="false">
      <c r="A59" s="14" t="str">
        <f aca="false">IF(OR(B59="",C59="",D59="",E59=""),"",UPPER(B59)&amp;TEXT(C59,"00")&amp;"-"&amp;D59&amp;"-"&amp;TEXT(E59,"00"))</f>
        <v/>
      </c>
      <c r="B59" s="12"/>
      <c r="C59" s="12"/>
      <c r="D59" s="12"/>
      <c r="E59" s="12"/>
      <c r="F59" s="16" t="str">
        <f aca="false">IF(B59="","",IFERROR(INDEX(Zones!$B$2:$B$15,MATCH(B59,Zones!$A$2:$A$15,0)),"⚠ zone inconnue"))</f>
        <v/>
      </c>
      <c r="G59" s="12"/>
      <c r="H59" s="12"/>
      <c r="I59" s="12"/>
      <c r="J59" s="12"/>
    </row>
    <row r="60" customFormat="false" ht="15" hidden="false" customHeight="false" outlineLevel="0" collapsed="false">
      <c r="A60" s="14" t="str">
        <f aca="false">IF(OR(B60="",C60="",D60="",E60=""),"",UPPER(B60)&amp;TEXT(C60,"00")&amp;"-"&amp;D60&amp;"-"&amp;TEXT(E60,"00"))</f>
        <v/>
      </c>
      <c r="B60" s="12"/>
      <c r="C60" s="12"/>
      <c r="D60" s="12"/>
      <c r="E60" s="12"/>
      <c r="F60" s="16" t="str">
        <f aca="false">IF(B60="","",IFERROR(INDEX(Zones!$B$2:$B$15,MATCH(B60,Zones!$A$2:$A$15,0)),"⚠ zone inconnue"))</f>
        <v/>
      </c>
      <c r="G60" s="12"/>
      <c r="H60" s="12"/>
      <c r="I60" s="12"/>
      <c r="J60" s="12"/>
    </row>
    <row r="61" customFormat="false" ht="15" hidden="false" customHeight="false" outlineLevel="0" collapsed="false">
      <c r="A61" s="14" t="str">
        <f aca="false">IF(OR(B61="",C61="",D61="",E61=""),"",UPPER(B61)&amp;TEXT(C61,"00")&amp;"-"&amp;D61&amp;"-"&amp;TEXT(E61,"00"))</f>
        <v/>
      </c>
      <c r="B61" s="12"/>
      <c r="C61" s="12"/>
      <c r="D61" s="12"/>
      <c r="E61" s="12"/>
      <c r="F61" s="16" t="str">
        <f aca="false">IF(B61="","",IFERROR(INDEX(Zones!$B$2:$B$15,MATCH(B61,Zones!$A$2:$A$15,0)),"⚠ zone inconnue"))</f>
        <v/>
      </c>
      <c r="G61" s="12"/>
      <c r="H61" s="12"/>
      <c r="I61" s="12"/>
      <c r="J61" s="12"/>
    </row>
    <row r="62" customFormat="false" ht="15" hidden="false" customHeight="false" outlineLevel="0" collapsed="false">
      <c r="A62" s="14" t="str">
        <f aca="false">IF(OR(B62="",C62="",D62="",E62=""),"",UPPER(B62)&amp;TEXT(C62,"00")&amp;"-"&amp;D62&amp;"-"&amp;TEXT(E62,"00"))</f>
        <v/>
      </c>
      <c r="B62" s="12"/>
      <c r="C62" s="12"/>
      <c r="D62" s="12"/>
      <c r="E62" s="12"/>
      <c r="F62" s="16" t="str">
        <f aca="false">IF(B62="","",IFERROR(INDEX(Zones!$B$2:$B$15,MATCH(B62,Zones!$A$2:$A$15,0)),"⚠ zone inconnue"))</f>
        <v/>
      </c>
      <c r="G62" s="12"/>
      <c r="H62" s="12"/>
      <c r="I62" s="12"/>
      <c r="J62" s="12"/>
    </row>
    <row r="63" customFormat="false" ht="15" hidden="false" customHeight="false" outlineLevel="0" collapsed="false">
      <c r="A63" s="14" t="str">
        <f aca="false">IF(OR(B63="",C63="",D63="",E63=""),"",UPPER(B63)&amp;TEXT(C63,"00")&amp;"-"&amp;D63&amp;"-"&amp;TEXT(E63,"00"))</f>
        <v/>
      </c>
      <c r="B63" s="12"/>
      <c r="C63" s="12"/>
      <c r="D63" s="12"/>
      <c r="E63" s="12"/>
      <c r="F63" s="16" t="str">
        <f aca="false">IF(B63="","",IFERROR(INDEX(Zones!$B$2:$B$15,MATCH(B63,Zones!$A$2:$A$15,0)),"⚠ zone inconnue"))</f>
        <v/>
      </c>
      <c r="G63" s="12"/>
      <c r="H63" s="12"/>
      <c r="I63" s="12"/>
      <c r="J63" s="12"/>
    </row>
    <row r="64" customFormat="false" ht="15" hidden="false" customHeight="false" outlineLevel="0" collapsed="false">
      <c r="A64" s="14" t="str">
        <f aca="false">IF(OR(B64="",C64="",D64="",E64=""),"",UPPER(B64)&amp;TEXT(C64,"00")&amp;"-"&amp;D64&amp;"-"&amp;TEXT(E64,"00"))</f>
        <v/>
      </c>
      <c r="B64" s="12"/>
      <c r="C64" s="12"/>
      <c r="D64" s="12"/>
      <c r="E64" s="12"/>
      <c r="F64" s="16" t="str">
        <f aca="false">IF(B64="","",IFERROR(INDEX(Zones!$B$2:$B$15,MATCH(B64,Zones!$A$2:$A$15,0)),"⚠ zone inconnue"))</f>
        <v/>
      </c>
      <c r="G64" s="12"/>
      <c r="H64" s="12"/>
      <c r="I64" s="12"/>
      <c r="J64" s="12"/>
    </row>
    <row r="65" customFormat="false" ht="15" hidden="false" customHeight="false" outlineLevel="0" collapsed="false">
      <c r="A65" s="14" t="str">
        <f aca="false">IF(OR(B65="",C65="",D65="",E65=""),"",UPPER(B65)&amp;TEXT(C65,"00")&amp;"-"&amp;D65&amp;"-"&amp;TEXT(E65,"00"))</f>
        <v/>
      </c>
      <c r="B65" s="12"/>
      <c r="C65" s="12"/>
      <c r="D65" s="12"/>
      <c r="E65" s="12"/>
      <c r="F65" s="16" t="str">
        <f aca="false">IF(B65="","",IFERROR(INDEX(Zones!$B$2:$B$15,MATCH(B65,Zones!$A$2:$A$15,0)),"⚠ zone inconnue"))</f>
        <v/>
      </c>
      <c r="G65" s="12"/>
      <c r="H65" s="12"/>
      <c r="I65" s="12"/>
      <c r="J65" s="12"/>
    </row>
    <row r="66" customFormat="false" ht="15" hidden="false" customHeight="false" outlineLevel="0" collapsed="false">
      <c r="A66" s="14" t="str">
        <f aca="false">IF(OR(B66="",C66="",D66="",E66=""),"",UPPER(B66)&amp;TEXT(C66,"00")&amp;"-"&amp;D66&amp;"-"&amp;TEXT(E66,"00"))</f>
        <v/>
      </c>
      <c r="B66" s="12"/>
      <c r="C66" s="12"/>
      <c r="D66" s="12"/>
      <c r="E66" s="12"/>
      <c r="F66" s="16" t="str">
        <f aca="false">IF(B66="","",IFERROR(INDEX(Zones!$B$2:$B$15,MATCH(B66,Zones!$A$2:$A$15,0)),"⚠ zone inconnue"))</f>
        <v/>
      </c>
      <c r="G66" s="12"/>
      <c r="H66" s="12"/>
      <c r="I66" s="12"/>
      <c r="J66" s="12"/>
    </row>
    <row r="67" customFormat="false" ht="15" hidden="false" customHeight="false" outlineLevel="0" collapsed="false">
      <c r="A67" s="14" t="str">
        <f aca="false">IF(OR(B67="",C67="",D67="",E67=""),"",UPPER(B67)&amp;TEXT(C67,"00")&amp;"-"&amp;D67&amp;"-"&amp;TEXT(E67,"00"))</f>
        <v/>
      </c>
      <c r="B67" s="12"/>
      <c r="C67" s="12"/>
      <c r="D67" s="12"/>
      <c r="E67" s="12"/>
      <c r="F67" s="16" t="str">
        <f aca="false">IF(B67="","",IFERROR(INDEX(Zones!$B$2:$B$15,MATCH(B67,Zones!$A$2:$A$15,0)),"⚠ zone inconnue"))</f>
        <v/>
      </c>
      <c r="G67" s="12"/>
      <c r="H67" s="12"/>
      <c r="I67" s="12"/>
      <c r="J67" s="12"/>
    </row>
    <row r="68" customFormat="false" ht="15" hidden="false" customHeight="false" outlineLevel="0" collapsed="false">
      <c r="A68" s="14" t="str">
        <f aca="false">IF(OR(B68="",C68="",D68="",E68=""),"",UPPER(B68)&amp;TEXT(C68,"00")&amp;"-"&amp;D68&amp;"-"&amp;TEXT(E68,"00"))</f>
        <v/>
      </c>
      <c r="B68" s="12"/>
      <c r="C68" s="12"/>
      <c r="D68" s="12"/>
      <c r="E68" s="12"/>
      <c r="F68" s="16" t="str">
        <f aca="false">IF(B68="","",IFERROR(INDEX(Zones!$B$2:$B$15,MATCH(B68,Zones!$A$2:$A$15,0)),"⚠ zone inconnue"))</f>
        <v/>
      </c>
      <c r="G68" s="12"/>
      <c r="H68" s="12"/>
      <c r="I68" s="12"/>
      <c r="J68" s="12"/>
    </row>
    <row r="69" customFormat="false" ht="15" hidden="false" customHeight="false" outlineLevel="0" collapsed="false">
      <c r="A69" s="14" t="str">
        <f aca="false">IF(OR(B69="",C69="",D69="",E69=""),"",UPPER(B69)&amp;TEXT(C69,"00")&amp;"-"&amp;D69&amp;"-"&amp;TEXT(E69,"00"))</f>
        <v/>
      </c>
      <c r="B69" s="12"/>
      <c r="C69" s="12"/>
      <c r="D69" s="12"/>
      <c r="E69" s="12"/>
      <c r="F69" s="16" t="str">
        <f aca="false">IF(B69="","",IFERROR(INDEX(Zones!$B$2:$B$15,MATCH(B69,Zones!$A$2:$A$15,0)),"⚠ zone inconnue"))</f>
        <v/>
      </c>
      <c r="G69" s="12"/>
      <c r="H69" s="12"/>
      <c r="I69" s="12"/>
      <c r="J69" s="12"/>
    </row>
    <row r="70" customFormat="false" ht="15" hidden="false" customHeight="false" outlineLevel="0" collapsed="false">
      <c r="A70" s="14" t="str">
        <f aca="false">IF(OR(B70="",C70="",D70="",E70=""),"",UPPER(B70)&amp;TEXT(C70,"00")&amp;"-"&amp;D70&amp;"-"&amp;TEXT(E70,"00"))</f>
        <v/>
      </c>
      <c r="B70" s="12"/>
      <c r="C70" s="12"/>
      <c r="D70" s="12"/>
      <c r="E70" s="12"/>
      <c r="F70" s="16" t="str">
        <f aca="false">IF(B70="","",IFERROR(INDEX(Zones!$B$2:$B$15,MATCH(B70,Zones!$A$2:$A$15,0)),"⚠ zone inconnue"))</f>
        <v/>
      </c>
      <c r="G70" s="12"/>
      <c r="H70" s="12"/>
      <c r="I70" s="12"/>
      <c r="J70" s="12"/>
    </row>
    <row r="71" customFormat="false" ht="15" hidden="false" customHeight="false" outlineLevel="0" collapsed="false">
      <c r="A71" s="14" t="str">
        <f aca="false">IF(OR(B71="",C71="",D71="",E71=""),"",UPPER(B71)&amp;TEXT(C71,"00")&amp;"-"&amp;D71&amp;"-"&amp;TEXT(E71,"00"))</f>
        <v/>
      </c>
      <c r="B71" s="12"/>
      <c r="C71" s="12"/>
      <c r="D71" s="12"/>
      <c r="E71" s="12"/>
      <c r="F71" s="16" t="str">
        <f aca="false">IF(B71="","",IFERROR(INDEX(Zones!$B$2:$B$15,MATCH(B71,Zones!$A$2:$A$15,0)),"⚠ zone inconnue"))</f>
        <v/>
      </c>
      <c r="G71" s="12"/>
      <c r="H71" s="12"/>
      <c r="I71" s="12"/>
      <c r="J71" s="12"/>
    </row>
    <row r="72" customFormat="false" ht="15" hidden="false" customHeight="false" outlineLevel="0" collapsed="false">
      <c r="A72" s="14" t="str">
        <f aca="false">IF(OR(B72="",C72="",D72="",E72=""),"",UPPER(B72)&amp;TEXT(C72,"00")&amp;"-"&amp;D72&amp;"-"&amp;TEXT(E72,"00"))</f>
        <v/>
      </c>
      <c r="B72" s="12"/>
      <c r="C72" s="12"/>
      <c r="D72" s="12"/>
      <c r="E72" s="12"/>
      <c r="F72" s="16" t="str">
        <f aca="false">IF(B72="","",IFERROR(INDEX(Zones!$B$2:$B$15,MATCH(B72,Zones!$A$2:$A$15,0)),"⚠ zone inconnue"))</f>
        <v/>
      </c>
      <c r="G72" s="12"/>
      <c r="H72" s="12"/>
      <c r="I72" s="12"/>
      <c r="J72" s="12"/>
    </row>
    <row r="73" customFormat="false" ht="15" hidden="false" customHeight="false" outlineLevel="0" collapsed="false">
      <c r="A73" s="14" t="str">
        <f aca="false">IF(OR(B73="",C73="",D73="",E73=""),"",UPPER(B73)&amp;TEXT(C73,"00")&amp;"-"&amp;D73&amp;"-"&amp;TEXT(E73,"00"))</f>
        <v/>
      </c>
      <c r="B73" s="12"/>
      <c r="C73" s="12"/>
      <c r="D73" s="12"/>
      <c r="E73" s="12"/>
      <c r="F73" s="16" t="str">
        <f aca="false">IF(B73="","",IFERROR(INDEX(Zones!$B$2:$B$15,MATCH(B73,Zones!$A$2:$A$15,0)),"⚠ zone inconnue"))</f>
        <v/>
      </c>
      <c r="G73" s="12"/>
      <c r="H73" s="12"/>
      <c r="I73" s="12"/>
      <c r="J73" s="12"/>
    </row>
    <row r="74" customFormat="false" ht="15" hidden="false" customHeight="false" outlineLevel="0" collapsed="false">
      <c r="A74" s="14" t="str">
        <f aca="false">IF(OR(B74="",C74="",D74="",E74=""),"",UPPER(B74)&amp;TEXT(C74,"00")&amp;"-"&amp;D74&amp;"-"&amp;TEXT(E74,"00"))</f>
        <v/>
      </c>
      <c r="B74" s="12"/>
      <c r="C74" s="12"/>
      <c r="D74" s="12"/>
      <c r="E74" s="12"/>
      <c r="F74" s="16" t="str">
        <f aca="false">IF(B74="","",IFERROR(INDEX(Zones!$B$2:$B$15,MATCH(B74,Zones!$A$2:$A$15,0)),"⚠ zone inconnue"))</f>
        <v/>
      </c>
      <c r="G74" s="12"/>
      <c r="H74" s="12"/>
      <c r="I74" s="12"/>
      <c r="J74" s="12"/>
    </row>
    <row r="75" customFormat="false" ht="15" hidden="false" customHeight="false" outlineLevel="0" collapsed="false">
      <c r="A75" s="14" t="str">
        <f aca="false">IF(OR(B75="",C75="",D75="",E75=""),"",UPPER(B75)&amp;TEXT(C75,"00")&amp;"-"&amp;D75&amp;"-"&amp;TEXT(E75,"00"))</f>
        <v/>
      </c>
      <c r="B75" s="12"/>
      <c r="C75" s="12"/>
      <c r="D75" s="12"/>
      <c r="E75" s="12"/>
      <c r="F75" s="16" t="str">
        <f aca="false">IF(B75="","",IFERROR(INDEX(Zones!$B$2:$B$15,MATCH(B75,Zones!$A$2:$A$15,0)),"⚠ zone inconnue"))</f>
        <v/>
      </c>
      <c r="G75" s="12"/>
      <c r="H75" s="12"/>
      <c r="I75" s="12"/>
      <c r="J75" s="12"/>
    </row>
    <row r="76" customFormat="false" ht="15" hidden="false" customHeight="false" outlineLevel="0" collapsed="false">
      <c r="A76" s="14" t="str">
        <f aca="false">IF(OR(B76="",C76="",D76="",E76=""),"",UPPER(B76)&amp;TEXT(C76,"00")&amp;"-"&amp;D76&amp;"-"&amp;TEXT(E76,"00"))</f>
        <v/>
      </c>
      <c r="B76" s="12"/>
      <c r="C76" s="12"/>
      <c r="D76" s="12"/>
      <c r="E76" s="12"/>
      <c r="F76" s="16" t="str">
        <f aca="false">IF(B76="","",IFERROR(INDEX(Zones!$B$2:$B$15,MATCH(B76,Zones!$A$2:$A$15,0)),"⚠ zone inconnue"))</f>
        <v/>
      </c>
      <c r="G76" s="12"/>
      <c r="H76" s="12"/>
      <c r="I76" s="12"/>
      <c r="J76" s="12"/>
    </row>
    <row r="77" customFormat="false" ht="15" hidden="false" customHeight="false" outlineLevel="0" collapsed="false">
      <c r="A77" s="14" t="str">
        <f aca="false">IF(OR(B77="",C77="",D77="",E77=""),"",UPPER(B77)&amp;TEXT(C77,"00")&amp;"-"&amp;D77&amp;"-"&amp;TEXT(E77,"00"))</f>
        <v/>
      </c>
      <c r="B77" s="12"/>
      <c r="C77" s="12"/>
      <c r="D77" s="12"/>
      <c r="E77" s="12"/>
      <c r="F77" s="16" t="str">
        <f aca="false">IF(B77="","",IFERROR(INDEX(Zones!$B$2:$B$15,MATCH(B77,Zones!$A$2:$A$15,0)),"⚠ zone inconnue"))</f>
        <v/>
      </c>
      <c r="G77" s="12"/>
      <c r="H77" s="12"/>
      <c r="I77" s="12"/>
      <c r="J77" s="12"/>
    </row>
    <row r="78" customFormat="false" ht="15" hidden="false" customHeight="false" outlineLevel="0" collapsed="false">
      <c r="A78" s="14" t="str">
        <f aca="false">IF(OR(B78="",C78="",D78="",E78=""),"",UPPER(B78)&amp;TEXT(C78,"00")&amp;"-"&amp;D78&amp;"-"&amp;TEXT(E78,"00"))</f>
        <v/>
      </c>
      <c r="B78" s="12"/>
      <c r="C78" s="12"/>
      <c r="D78" s="12"/>
      <c r="E78" s="12"/>
      <c r="F78" s="16" t="str">
        <f aca="false">IF(B78="","",IFERROR(INDEX(Zones!$B$2:$B$15,MATCH(B78,Zones!$A$2:$A$15,0)),"⚠ zone inconnue"))</f>
        <v/>
      </c>
      <c r="G78" s="12"/>
      <c r="H78" s="12"/>
      <c r="I78" s="12"/>
      <c r="J78" s="12"/>
    </row>
    <row r="79" customFormat="false" ht="15" hidden="false" customHeight="false" outlineLevel="0" collapsed="false">
      <c r="A79" s="14" t="str">
        <f aca="false">IF(OR(B79="",C79="",D79="",E79=""),"",UPPER(B79)&amp;TEXT(C79,"00")&amp;"-"&amp;D79&amp;"-"&amp;TEXT(E79,"00"))</f>
        <v/>
      </c>
      <c r="B79" s="12"/>
      <c r="C79" s="12"/>
      <c r="D79" s="12"/>
      <c r="E79" s="12"/>
      <c r="F79" s="16" t="str">
        <f aca="false">IF(B79="","",IFERROR(INDEX(Zones!$B$2:$B$15,MATCH(B79,Zones!$A$2:$A$15,0)),"⚠ zone inconnue"))</f>
        <v/>
      </c>
      <c r="G79" s="12"/>
      <c r="H79" s="12"/>
      <c r="I79" s="12"/>
      <c r="J79" s="12"/>
    </row>
    <row r="80" customFormat="false" ht="15" hidden="false" customHeight="false" outlineLevel="0" collapsed="false">
      <c r="A80" s="14" t="str">
        <f aca="false">IF(OR(B80="",C80="",D80="",E80=""),"",UPPER(B80)&amp;TEXT(C80,"00")&amp;"-"&amp;D80&amp;"-"&amp;TEXT(E80,"00"))</f>
        <v/>
      </c>
      <c r="B80" s="12"/>
      <c r="C80" s="12"/>
      <c r="D80" s="12"/>
      <c r="E80" s="12"/>
      <c r="F80" s="16" t="str">
        <f aca="false">IF(B80="","",IFERROR(INDEX(Zones!$B$2:$B$15,MATCH(B80,Zones!$A$2:$A$15,0)),"⚠ zone inconnue"))</f>
        <v/>
      </c>
      <c r="G80" s="12"/>
      <c r="H80" s="12"/>
      <c r="I80" s="12"/>
      <c r="J80" s="12"/>
    </row>
    <row r="81" customFormat="false" ht="15" hidden="false" customHeight="false" outlineLevel="0" collapsed="false">
      <c r="A81" s="14" t="str">
        <f aca="false">IF(OR(B81="",C81="",D81="",E81=""),"",UPPER(B81)&amp;TEXT(C81,"00")&amp;"-"&amp;D81&amp;"-"&amp;TEXT(E81,"00"))</f>
        <v/>
      </c>
      <c r="B81" s="12"/>
      <c r="C81" s="12"/>
      <c r="D81" s="12"/>
      <c r="E81" s="12"/>
      <c r="F81" s="16" t="str">
        <f aca="false">IF(B81="","",IFERROR(INDEX(Zones!$B$2:$B$15,MATCH(B81,Zones!$A$2:$A$15,0)),"⚠ zone inconnue"))</f>
        <v/>
      </c>
      <c r="G81" s="12"/>
      <c r="H81" s="12"/>
      <c r="I81" s="12"/>
      <c r="J81" s="12"/>
    </row>
    <row r="82" customFormat="false" ht="15" hidden="false" customHeight="false" outlineLevel="0" collapsed="false">
      <c r="A82" s="14" t="str">
        <f aca="false">IF(OR(B82="",C82="",D82="",E82=""),"",UPPER(B82)&amp;TEXT(C82,"00")&amp;"-"&amp;D82&amp;"-"&amp;TEXT(E82,"00"))</f>
        <v/>
      </c>
      <c r="B82" s="12"/>
      <c r="C82" s="12"/>
      <c r="D82" s="12"/>
      <c r="E82" s="12"/>
      <c r="F82" s="16" t="str">
        <f aca="false">IF(B82="","",IFERROR(INDEX(Zones!$B$2:$B$15,MATCH(B82,Zones!$A$2:$A$15,0)),"⚠ zone inconnue"))</f>
        <v/>
      </c>
      <c r="G82" s="12"/>
      <c r="H82" s="12"/>
      <c r="I82" s="12"/>
      <c r="J82" s="12"/>
    </row>
    <row r="83" customFormat="false" ht="15" hidden="false" customHeight="false" outlineLevel="0" collapsed="false">
      <c r="A83" s="14" t="str">
        <f aca="false">IF(OR(B83="",C83="",D83="",E83=""),"",UPPER(B83)&amp;TEXT(C83,"00")&amp;"-"&amp;D83&amp;"-"&amp;TEXT(E83,"00"))</f>
        <v/>
      </c>
      <c r="B83" s="12"/>
      <c r="C83" s="12"/>
      <c r="D83" s="12"/>
      <c r="E83" s="12"/>
      <c r="F83" s="16" t="str">
        <f aca="false">IF(B83="","",IFERROR(INDEX(Zones!$B$2:$B$15,MATCH(B83,Zones!$A$2:$A$15,0)),"⚠ zone inconnue"))</f>
        <v/>
      </c>
      <c r="G83" s="12"/>
      <c r="H83" s="12"/>
      <c r="I83" s="12"/>
      <c r="J83" s="12"/>
    </row>
    <row r="84" customFormat="false" ht="15" hidden="false" customHeight="false" outlineLevel="0" collapsed="false">
      <c r="A84" s="14" t="str">
        <f aca="false">IF(OR(B84="",C84="",D84="",E84=""),"",UPPER(B84)&amp;TEXT(C84,"00")&amp;"-"&amp;D84&amp;"-"&amp;TEXT(E84,"00"))</f>
        <v/>
      </c>
      <c r="B84" s="12"/>
      <c r="C84" s="12"/>
      <c r="D84" s="12"/>
      <c r="E84" s="12"/>
      <c r="F84" s="16" t="str">
        <f aca="false">IF(B84="","",IFERROR(INDEX(Zones!$B$2:$B$15,MATCH(B84,Zones!$A$2:$A$15,0)),"⚠ zone inconnue"))</f>
        <v/>
      </c>
      <c r="G84" s="12"/>
      <c r="H84" s="12"/>
      <c r="I84" s="12"/>
      <c r="J84" s="12"/>
    </row>
    <row r="85" customFormat="false" ht="15" hidden="false" customHeight="false" outlineLevel="0" collapsed="false">
      <c r="A85" s="14" t="str">
        <f aca="false">IF(OR(B85="",C85="",D85="",E85=""),"",UPPER(B85)&amp;TEXT(C85,"00")&amp;"-"&amp;D85&amp;"-"&amp;TEXT(E85,"00"))</f>
        <v/>
      </c>
      <c r="B85" s="12"/>
      <c r="C85" s="12"/>
      <c r="D85" s="12"/>
      <c r="E85" s="12"/>
      <c r="F85" s="16" t="str">
        <f aca="false">IF(B85="","",IFERROR(INDEX(Zones!$B$2:$B$15,MATCH(B85,Zones!$A$2:$A$15,0)),"⚠ zone inconnue"))</f>
        <v/>
      </c>
      <c r="G85" s="12"/>
      <c r="H85" s="12"/>
      <c r="I85" s="12"/>
      <c r="J85" s="12"/>
    </row>
    <row r="86" customFormat="false" ht="15" hidden="false" customHeight="false" outlineLevel="0" collapsed="false">
      <c r="A86" s="14" t="str">
        <f aca="false">IF(OR(B86="",C86="",D86="",E86=""),"",UPPER(B86)&amp;TEXT(C86,"00")&amp;"-"&amp;D86&amp;"-"&amp;TEXT(E86,"00"))</f>
        <v/>
      </c>
      <c r="B86" s="12"/>
      <c r="C86" s="12"/>
      <c r="D86" s="12"/>
      <c r="E86" s="12"/>
      <c r="F86" s="16" t="str">
        <f aca="false">IF(B86="","",IFERROR(INDEX(Zones!$B$2:$B$15,MATCH(B86,Zones!$A$2:$A$15,0)),"⚠ zone inconnue"))</f>
        <v/>
      </c>
      <c r="G86" s="12"/>
      <c r="H86" s="12"/>
      <c r="I86" s="12"/>
      <c r="J86" s="12"/>
    </row>
    <row r="87" customFormat="false" ht="15" hidden="false" customHeight="false" outlineLevel="0" collapsed="false">
      <c r="A87" s="14" t="str">
        <f aca="false">IF(OR(B87="",C87="",D87="",E87=""),"",UPPER(B87)&amp;TEXT(C87,"00")&amp;"-"&amp;D87&amp;"-"&amp;TEXT(E87,"00"))</f>
        <v/>
      </c>
      <c r="B87" s="12"/>
      <c r="C87" s="12"/>
      <c r="D87" s="12"/>
      <c r="E87" s="12"/>
      <c r="F87" s="16" t="str">
        <f aca="false">IF(B87="","",IFERROR(INDEX(Zones!$B$2:$B$15,MATCH(B87,Zones!$A$2:$A$15,0)),"⚠ zone inconnue"))</f>
        <v/>
      </c>
      <c r="G87" s="12"/>
      <c r="H87" s="12"/>
      <c r="I87" s="12"/>
      <c r="J87" s="12"/>
    </row>
    <row r="88" customFormat="false" ht="15" hidden="false" customHeight="false" outlineLevel="0" collapsed="false">
      <c r="A88" s="14" t="str">
        <f aca="false">IF(OR(B88="",C88="",D88="",E88=""),"",UPPER(B88)&amp;TEXT(C88,"00")&amp;"-"&amp;D88&amp;"-"&amp;TEXT(E88,"00"))</f>
        <v/>
      </c>
      <c r="B88" s="12"/>
      <c r="C88" s="12"/>
      <c r="D88" s="12"/>
      <c r="E88" s="12"/>
      <c r="F88" s="16" t="str">
        <f aca="false">IF(B88="","",IFERROR(INDEX(Zones!$B$2:$B$15,MATCH(B88,Zones!$A$2:$A$15,0)),"⚠ zone inconnue"))</f>
        <v/>
      </c>
      <c r="G88" s="12"/>
      <c r="H88" s="12"/>
      <c r="I88" s="12"/>
      <c r="J88" s="12"/>
    </row>
    <row r="89" customFormat="false" ht="15" hidden="false" customHeight="false" outlineLevel="0" collapsed="false">
      <c r="A89" s="14" t="str">
        <f aca="false">IF(OR(B89="",C89="",D89="",E89=""),"",UPPER(B89)&amp;TEXT(C89,"00")&amp;"-"&amp;D89&amp;"-"&amp;TEXT(E89,"00"))</f>
        <v/>
      </c>
      <c r="B89" s="12"/>
      <c r="C89" s="12"/>
      <c r="D89" s="12"/>
      <c r="E89" s="12"/>
      <c r="F89" s="16" t="str">
        <f aca="false">IF(B89="","",IFERROR(INDEX(Zones!$B$2:$B$15,MATCH(B89,Zones!$A$2:$A$15,0)),"⚠ zone inconnue"))</f>
        <v/>
      </c>
      <c r="G89" s="12"/>
      <c r="H89" s="12"/>
      <c r="I89" s="12"/>
      <c r="J89" s="12"/>
    </row>
    <row r="90" customFormat="false" ht="15" hidden="false" customHeight="false" outlineLevel="0" collapsed="false">
      <c r="A90" s="14" t="str">
        <f aca="false">IF(OR(B90="",C90="",D90="",E90=""),"",UPPER(B90)&amp;TEXT(C90,"00")&amp;"-"&amp;D90&amp;"-"&amp;TEXT(E90,"00"))</f>
        <v/>
      </c>
      <c r="B90" s="12"/>
      <c r="C90" s="12"/>
      <c r="D90" s="12"/>
      <c r="E90" s="12"/>
      <c r="F90" s="16" t="str">
        <f aca="false">IF(B90="","",IFERROR(INDEX(Zones!$B$2:$B$15,MATCH(B90,Zones!$A$2:$A$15,0)),"⚠ zone inconnue"))</f>
        <v/>
      </c>
      <c r="G90" s="12"/>
      <c r="H90" s="12"/>
      <c r="I90" s="12"/>
      <c r="J90" s="12"/>
    </row>
    <row r="91" customFormat="false" ht="15" hidden="false" customHeight="false" outlineLevel="0" collapsed="false">
      <c r="A91" s="14" t="str">
        <f aca="false">IF(OR(B91="",C91="",D91="",E91=""),"",UPPER(B91)&amp;TEXT(C91,"00")&amp;"-"&amp;D91&amp;"-"&amp;TEXT(E91,"00"))</f>
        <v/>
      </c>
      <c r="B91" s="12"/>
      <c r="C91" s="12"/>
      <c r="D91" s="12"/>
      <c r="E91" s="12"/>
      <c r="F91" s="16" t="str">
        <f aca="false">IF(B91="","",IFERROR(INDEX(Zones!$B$2:$B$15,MATCH(B91,Zones!$A$2:$A$15,0)),"⚠ zone inconnue"))</f>
        <v/>
      </c>
      <c r="G91" s="12"/>
      <c r="H91" s="12"/>
      <c r="I91" s="12"/>
      <c r="J91" s="12"/>
    </row>
    <row r="92" customFormat="false" ht="15" hidden="false" customHeight="false" outlineLevel="0" collapsed="false">
      <c r="A92" s="14" t="str">
        <f aca="false">IF(OR(B92="",C92="",D92="",E92=""),"",UPPER(B92)&amp;TEXT(C92,"00")&amp;"-"&amp;D92&amp;"-"&amp;TEXT(E92,"00"))</f>
        <v/>
      </c>
      <c r="B92" s="12"/>
      <c r="C92" s="12"/>
      <c r="D92" s="12"/>
      <c r="E92" s="12"/>
      <c r="F92" s="16" t="str">
        <f aca="false">IF(B92="","",IFERROR(INDEX(Zones!$B$2:$B$15,MATCH(B92,Zones!$A$2:$A$15,0)),"⚠ zone inconnue"))</f>
        <v/>
      </c>
      <c r="G92" s="12"/>
      <c r="H92" s="12"/>
      <c r="I92" s="12"/>
      <c r="J92" s="12"/>
    </row>
    <row r="93" customFormat="false" ht="15" hidden="false" customHeight="false" outlineLevel="0" collapsed="false">
      <c r="A93" s="14" t="str">
        <f aca="false">IF(OR(B93="",C93="",D93="",E93=""),"",UPPER(B93)&amp;TEXT(C93,"00")&amp;"-"&amp;D93&amp;"-"&amp;TEXT(E93,"00"))</f>
        <v/>
      </c>
      <c r="B93" s="12"/>
      <c r="C93" s="12"/>
      <c r="D93" s="12"/>
      <c r="E93" s="12"/>
      <c r="F93" s="16" t="str">
        <f aca="false">IF(B93="","",IFERROR(INDEX(Zones!$B$2:$B$15,MATCH(B93,Zones!$A$2:$A$15,0)),"⚠ zone inconnue"))</f>
        <v/>
      </c>
      <c r="G93" s="12"/>
      <c r="H93" s="12"/>
      <c r="I93" s="12"/>
      <c r="J93" s="12"/>
    </row>
    <row r="94" customFormat="false" ht="15" hidden="false" customHeight="false" outlineLevel="0" collapsed="false">
      <c r="A94" s="14" t="str">
        <f aca="false">IF(OR(B94="",C94="",D94="",E94=""),"",UPPER(B94)&amp;TEXT(C94,"00")&amp;"-"&amp;D94&amp;"-"&amp;TEXT(E94,"00"))</f>
        <v/>
      </c>
      <c r="B94" s="12"/>
      <c r="C94" s="12"/>
      <c r="D94" s="12"/>
      <c r="E94" s="12"/>
      <c r="F94" s="16" t="str">
        <f aca="false">IF(B94="","",IFERROR(INDEX(Zones!$B$2:$B$15,MATCH(B94,Zones!$A$2:$A$15,0)),"⚠ zone inconnue"))</f>
        <v/>
      </c>
      <c r="G94" s="12"/>
      <c r="H94" s="12"/>
      <c r="I94" s="12"/>
      <c r="J94" s="12"/>
    </row>
    <row r="95" customFormat="false" ht="15" hidden="false" customHeight="false" outlineLevel="0" collapsed="false">
      <c r="A95" s="14" t="str">
        <f aca="false">IF(OR(B95="",C95="",D95="",E95=""),"",UPPER(B95)&amp;TEXT(C95,"00")&amp;"-"&amp;D95&amp;"-"&amp;TEXT(E95,"00"))</f>
        <v/>
      </c>
      <c r="B95" s="12"/>
      <c r="C95" s="12"/>
      <c r="D95" s="12"/>
      <c r="E95" s="12"/>
      <c r="F95" s="16" t="str">
        <f aca="false">IF(B95="","",IFERROR(INDEX(Zones!$B$2:$B$15,MATCH(B95,Zones!$A$2:$A$15,0)),"⚠ zone inconnue"))</f>
        <v/>
      </c>
      <c r="G95" s="12"/>
      <c r="H95" s="12"/>
      <c r="I95" s="12"/>
      <c r="J95" s="12"/>
    </row>
    <row r="96" customFormat="false" ht="15" hidden="false" customHeight="false" outlineLevel="0" collapsed="false">
      <c r="A96" s="14" t="str">
        <f aca="false">IF(OR(B96="",C96="",D96="",E96=""),"",UPPER(B96)&amp;TEXT(C96,"00")&amp;"-"&amp;D96&amp;"-"&amp;TEXT(E96,"00"))</f>
        <v/>
      </c>
      <c r="B96" s="12"/>
      <c r="C96" s="12"/>
      <c r="D96" s="12"/>
      <c r="E96" s="12"/>
      <c r="F96" s="16" t="str">
        <f aca="false">IF(B96="","",IFERROR(INDEX(Zones!$B$2:$B$15,MATCH(B96,Zones!$A$2:$A$15,0)),"⚠ zone inconnue"))</f>
        <v/>
      </c>
      <c r="G96" s="12"/>
      <c r="H96" s="12"/>
      <c r="I96" s="12"/>
      <c r="J96" s="12"/>
    </row>
    <row r="97" customFormat="false" ht="15" hidden="false" customHeight="false" outlineLevel="0" collapsed="false">
      <c r="A97" s="14" t="str">
        <f aca="false">IF(OR(B97="",C97="",D97="",E97=""),"",UPPER(B97)&amp;TEXT(C97,"00")&amp;"-"&amp;D97&amp;"-"&amp;TEXT(E97,"00"))</f>
        <v/>
      </c>
      <c r="B97" s="12"/>
      <c r="C97" s="12"/>
      <c r="D97" s="12"/>
      <c r="E97" s="12"/>
      <c r="F97" s="16" t="str">
        <f aca="false">IF(B97="","",IFERROR(INDEX(Zones!$B$2:$B$15,MATCH(B97,Zones!$A$2:$A$15,0)),"⚠ zone inconnue"))</f>
        <v/>
      </c>
      <c r="G97" s="12"/>
      <c r="H97" s="12"/>
      <c r="I97" s="12"/>
      <c r="J97" s="12"/>
    </row>
    <row r="98" customFormat="false" ht="15" hidden="false" customHeight="false" outlineLevel="0" collapsed="false">
      <c r="A98" s="14" t="str">
        <f aca="false">IF(OR(B98="",C98="",D98="",E98=""),"",UPPER(B98)&amp;TEXT(C98,"00")&amp;"-"&amp;D98&amp;"-"&amp;TEXT(E98,"00"))</f>
        <v/>
      </c>
      <c r="B98" s="12"/>
      <c r="C98" s="12"/>
      <c r="D98" s="12"/>
      <c r="E98" s="12"/>
      <c r="F98" s="16" t="str">
        <f aca="false">IF(B98="","",IFERROR(INDEX(Zones!$B$2:$B$15,MATCH(B98,Zones!$A$2:$A$15,0)),"⚠ zone inconnue"))</f>
        <v/>
      </c>
      <c r="G98" s="12"/>
      <c r="H98" s="12"/>
      <c r="I98" s="12"/>
      <c r="J98" s="12"/>
    </row>
    <row r="99" customFormat="false" ht="15" hidden="false" customHeight="false" outlineLevel="0" collapsed="false">
      <c r="A99" s="14" t="str">
        <f aca="false">IF(OR(B99="",C99="",D99="",E99=""),"",UPPER(B99)&amp;TEXT(C99,"00")&amp;"-"&amp;D99&amp;"-"&amp;TEXT(E99,"00"))</f>
        <v/>
      </c>
      <c r="B99" s="12"/>
      <c r="C99" s="12"/>
      <c r="D99" s="12"/>
      <c r="E99" s="12"/>
      <c r="F99" s="16" t="str">
        <f aca="false">IF(B99="","",IFERROR(INDEX(Zones!$B$2:$B$15,MATCH(B99,Zones!$A$2:$A$15,0)),"⚠ zone inconnue"))</f>
        <v/>
      </c>
      <c r="G99" s="12"/>
      <c r="H99" s="12"/>
      <c r="I99" s="12"/>
      <c r="J99" s="12"/>
    </row>
    <row r="100" customFormat="false" ht="15" hidden="false" customHeight="false" outlineLevel="0" collapsed="false">
      <c r="A100" s="14" t="str">
        <f aca="false">IF(OR(B100="",C100="",D100="",E100=""),"",UPPER(B100)&amp;TEXT(C100,"00")&amp;"-"&amp;D100&amp;"-"&amp;TEXT(E100,"00"))</f>
        <v/>
      </c>
      <c r="B100" s="12"/>
      <c r="C100" s="12"/>
      <c r="D100" s="12"/>
      <c r="E100" s="12"/>
      <c r="F100" s="16" t="str">
        <f aca="false">IF(B100="","",IFERROR(INDEX(Zones!$B$2:$B$15,MATCH(B100,Zones!$A$2:$A$15,0)),"⚠ zone inconnue"))</f>
        <v/>
      </c>
      <c r="G100" s="12"/>
      <c r="H100" s="12"/>
      <c r="I100" s="12"/>
      <c r="J100" s="12"/>
    </row>
    <row r="101" customFormat="false" ht="15" hidden="false" customHeight="false" outlineLevel="0" collapsed="false">
      <c r="A101" s="14" t="str">
        <f aca="false">IF(OR(B101="",C101="",D101="",E101=""),"",UPPER(B101)&amp;TEXT(C101,"00")&amp;"-"&amp;D101&amp;"-"&amp;TEXT(E101,"00"))</f>
        <v/>
      </c>
      <c r="B101" s="12"/>
      <c r="C101" s="12"/>
      <c r="D101" s="12"/>
      <c r="E101" s="12"/>
      <c r="F101" s="16" t="str">
        <f aca="false">IF(B101="","",IFERROR(INDEX(Zones!$B$2:$B$15,MATCH(B101,Zones!$A$2:$A$15,0)),"⚠ zone inconnue"))</f>
        <v/>
      </c>
      <c r="G101" s="12"/>
      <c r="H101" s="12"/>
      <c r="I101" s="12"/>
      <c r="J101" s="12"/>
    </row>
    <row r="102" customFormat="false" ht="15" hidden="false" customHeight="false" outlineLevel="0" collapsed="false">
      <c r="A102" s="14" t="str">
        <f aca="false">IF(OR(B102="",C102="",D102="",E102=""),"",UPPER(B102)&amp;TEXT(C102,"00")&amp;"-"&amp;D102&amp;"-"&amp;TEXT(E102,"00"))</f>
        <v/>
      </c>
      <c r="B102" s="12"/>
      <c r="C102" s="12"/>
      <c r="D102" s="12"/>
      <c r="E102" s="12"/>
      <c r="F102" s="16" t="str">
        <f aca="false">IF(B102="","",IFERROR(INDEX(Zones!$B$2:$B$15,MATCH(B102,Zones!$A$2:$A$15,0)),"⚠ zone inconnue"))</f>
        <v/>
      </c>
      <c r="G102" s="12"/>
      <c r="H102" s="12"/>
      <c r="I102" s="12"/>
      <c r="J102" s="12"/>
    </row>
    <row r="103" customFormat="false" ht="15" hidden="false" customHeight="false" outlineLevel="0" collapsed="false">
      <c r="A103" s="14" t="str">
        <f aca="false">IF(OR(B103="",C103="",D103="",E103=""),"",UPPER(B103)&amp;TEXT(C103,"00")&amp;"-"&amp;D103&amp;"-"&amp;TEXT(E103,"00"))</f>
        <v/>
      </c>
      <c r="B103" s="12"/>
      <c r="C103" s="12"/>
      <c r="D103" s="12"/>
      <c r="E103" s="12"/>
      <c r="F103" s="16" t="str">
        <f aca="false">IF(B103="","",IFERROR(INDEX(Zones!$B$2:$B$15,MATCH(B103,Zones!$A$2:$A$15,0)),"⚠ zone inconnue"))</f>
        <v/>
      </c>
      <c r="G103" s="12"/>
      <c r="H103" s="12"/>
      <c r="I103" s="12"/>
      <c r="J103" s="12"/>
    </row>
    <row r="104" customFormat="false" ht="15" hidden="false" customHeight="false" outlineLevel="0" collapsed="false">
      <c r="A104" s="14" t="str">
        <f aca="false">IF(OR(B104="",C104="",D104="",E104=""),"",UPPER(B104)&amp;TEXT(C104,"00")&amp;"-"&amp;D104&amp;"-"&amp;TEXT(E104,"00"))</f>
        <v/>
      </c>
      <c r="B104" s="12"/>
      <c r="C104" s="12"/>
      <c r="D104" s="12"/>
      <c r="E104" s="12"/>
      <c r="F104" s="16" t="str">
        <f aca="false">IF(B104="","",IFERROR(INDEX(Zones!$B$2:$B$15,MATCH(B104,Zones!$A$2:$A$15,0)),"⚠ zone inconnue"))</f>
        <v/>
      </c>
      <c r="G104" s="12"/>
      <c r="H104" s="12"/>
      <c r="I104" s="12"/>
      <c r="J104" s="12"/>
    </row>
    <row r="105" customFormat="false" ht="15" hidden="false" customHeight="false" outlineLevel="0" collapsed="false">
      <c r="A105" s="14" t="str">
        <f aca="false">IF(OR(B105="",C105="",D105="",E105=""),"",UPPER(B105)&amp;TEXT(C105,"00")&amp;"-"&amp;D105&amp;"-"&amp;TEXT(E105,"00"))</f>
        <v/>
      </c>
      <c r="B105" s="12"/>
      <c r="C105" s="12"/>
      <c r="D105" s="12"/>
      <c r="E105" s="12"/>
      <c r="F105" s="16" t="str">
        <f aca="false">IF(B105="","",IFERROR(INDEX(Zones!$B$2:$B$15,MATCH(B105,Zones!$A$2:$A$15,0)),"⚠ zone inconnue"))</f>
        <v/>
      </c>
      <c r="G105" s="12"/>
      <c r="H105" s="12"/>
      <c r="I105" s="12"/>
      <c r="J105" s="12"/>
    </row>
    <row r="106" customFormat="false" ht="15" hidden="false" customHeight="false" outlineLevel="0" collapsed="false">
      <c r="A106" s="14" t="str">
        <f aca="false">IF(OR(B106="",C106="",D106="",E106=""),"",UPPER(B106)&amp;TEXT(C106,"00")&amp;"-"&amp;D106&amp;"-"&amp;TEXT(E106,"00"))</f>
        <v/>
      </c>
      <c r="B106" s="12"/>
      <c r="C106" s="12"/>
      <c r="D106" s="12"/>
      <c r="E106" s="12"/>
      <c r="F106" s="16" t="str">
        <f aca="false">IF(B106="","",IFERROR(INDEX(Zones!$B$2:$B$15,MATCH(B106,Zones!$A$2:$A$15,0)),"⚠ zone inconnue"))</f>
        <v/>
      </c>
      <c r="G106" s="12"/>
      <c r="H106" s="12"/>
      <c r="I106" s="12"/>
      <c r="J106" s="12"/>
    </row>
    <row r="107" customFormat="false" ht="15" hidden="false" customHeight="false" outlineLevel="0" collapsed="false">
      <c r="A107" s="14" t="str">
        <f aca="false">IF(OR(B107="",C107="",D107="",E107=""),"",UPPER(B107)&amp;TEXT(C107,"00")&amp;"-"&amp;D107&amp;"-"&amp;TEXT(E107,"00"))</f>
        <v/>
      </c>
      <c r="B107" s="12"/>
      <c r="C107" s="12"/>
      <c r="D107" s="12"/>
      <c r="E107" s="12"/>
      <c r="F107" s="16" t="str">
        <f aca="false">IF(B107="","",IFERROR(INDEX(Zones!$B$2:$B$15,MATCH(B107,Zones!$A$2:$A$15,0)),"⚠ zone inconnue"))</f>
        <v/>
      </c>
      <c r="G107" s="12"/>
      <c r="H107" s="12"/>
      <c r="I107" s="12"/>
      <c r="J107" s="12"/>
    </row>
    <row r="108" customFormat="false" ht="15" hidden="false" customHeight="false" outlineLevel="0" collapsed="false">
      <c r="A108" s="14" t="str">
        <f aca="false">IF(OR(B108="",C108="",D108="",E108=""),"",UPPER(B108)&amp;TEXT(C108,"00")&amp;"-"&amp;D108&amp;"-"&amp;TEXT(E108,"00"))</f>
        <v/>
      </c>
      <c r="B108" s="12"/>
      <c r="C108" s="12"/>
      <c r="D108" s="12"/>
      <c r="E108" s="12"/>
      <c r="F108" s="16" t="str">
        <f aca="false">IF(B108="","",IFERROR(INDEX(Zones!$B$2:$B$15,MATCH(B108,Zones!$A$2:$A$15,0)),"⚠ zone inconnue"))</f>
        <v/>
      </c>
      <c r="G108" s="12"/>
      <c r="H108" s="12"/>
      <c r="I108" s="12"/>
      <c r="J108" s="12"/>
    </row>
    <row r="109" customFormat="false" ht="15" hidden="false" customHeight="false" outlineLevel="0" collapsed="false">
      <c r="A109" s="14" t="str">
        <f aca="false">IF(OR(B109="",C109="",D109="",E109=""),"",UPPER(B109)&amp;TEXT(C109,"00")&amp;"-"&amp;D109&amp;"-"&amp;TEXT(E109,"00"))</f>
        <v/>
      </c>
      <c r="B109" s="12"/>
      <c r="C109" s="12"/>
      <c r="D109" s="12"/>
      <c r="E109" s="12"/>
      <c r="F109" s="16" t="str">
        <f aca="false">IF(B109="","",IFERROR(INDEX(Zones!$B$2:$B$15,MATCH(B109,Zones!$A$2:$A$15,0)),"⚠ zone inconnue"))</f>
        <v/>
      </c>
      <c r="G109" s="12"/>
      <c r="H109" s="12"/>
      <c r="I109" s="12"/>
      <c r="J109" s="12"/>
    </row>
    <row r="110" customFormat="false" ht="15" hidden="false" customHeight="false" outlineLevel="0" collapsed="false">
      <c r="A110" s="14" t="str">
        <f aca="false">IF(OR(B110="",C110="",D110="",E110=""),"",UPPER(B110)&amp;TEXT(C110,"00")&amp;"-"&amp;D110&amp;"-"&amp;TEXT(E110,"00"))</f>
        <v/>
      </c>
      <c r="B110" s="12"/>
      <c r="C110" s="12"/>
      <c r="D110" s="12"/>
      <c r="E110" s="12"/>
      <c r="F110" s="16" t="str">
        <f aca="false">IF(B110="","",IFERROR(INDEX(Zones!$B$2:$B$15,MATCH(B110,Zones!$A$2:$A$15,0)),"⚠ zone inconnue"))</f>
        <v/>
      </c>
      <c r="G110" s="12"/>
      <c r="H110" s="12"/>
      <c r="I110" s="12"/>
      <c r="J110" s="12"/>
    </row>
    <row r="111" customFormat="false" ht="15" hidden="false" customHeight="false" outlineLevel="0" collapsed="false">
      <c r="A111" s="14" t="str">
        <f aca="false">IF(OR(B111="",C111="",D111="",E111=""),"",UPPER(B111)&amp;TEXT(C111,"00")&amp;"-"&amp;D111&amp;"-"&amp;TEXT(E111,"00"))</f>
        <v/>
      </c>
      <c r="B111" s="12"/>
      <c r="C111" s="12"/>
      <c r="D111" s="12"/>
      <c r="E111" s="12"/>
      <c r="F111" s="16" t="str">
        <f aca="false">IF(B111="","",IFERROR(INDEX(Zones!$B$2:$B$15,MATCH(B111,Zones!$A$2:$A$15,0)),"⚠ zone inconnue"))</f>
        <v/>
      </c>
      <c r="G111" s="12"/>
      <c r="H111" s="12"/>
      <c r="I111" s="12"/>
      <c r="J111" s="12"/>
    </row>
    <row r="112" customFormat="false" ht="15" hidden="false" customHeight="false" outlineLevel="0" collapsed="false">
      <c r="A112" s="14" t="str">
        <f aca="false">IF(OR(B112="",C112="",D112="",E112=""),"",UPPER(B112)&amp;TEXT(C112,"00")&amp;"-"&amp;D112&amp;"-"&amp;TEXT(E112,"00"))</f>
        <v/>
      </c>
      <c r="B112" s="12"/>
      <c r="C112" s="12"/>
      <c r="D112" s="12"/>
      <c r="E112" s="12"/>
      <c r="F112" s="16" t="str">
        <f aca="false">IF(B112="","",IFERROR(INDEX(Zones!$B$2:$B$15,MATCH(B112,Zones!$A$2:$A$15,0)),"⚠ zone inconnue"))</f>
        <v/>
      </c>
      <c r="G112" s="12"/>
      <c r="H112" s="12"/>
      <c r="I112" s="12"/>
      <c r="J112" s="12"/>
    </row>
    <row r="113" customFormat="false" ht="15" hidden="false" customHeight="false" outlineLevel="0" collapsed="false">
      <c r="A113" s="14" t="str">
        <f aca="false">IF(OR(B113="",C113="",D113="",E113=""),"",UPPER(B113)&amp;TEXT(C113,"00")&amp;"-"&amp;D113&amp;"-"&amp;TEXT(E113,"00"))</f>
        <v/>
      </c>
      <c r="B113" s="12"/>
      <c r="C113" s="12"/>
      <c r="D113" s="12"/>
      <c r="E113" s="12"/>
      <c r="F113" s="16" t="str">
        <f aca="false">IF(B113="","",IFERROR(INDEX(Zones!$B$2:$B$15,MATCH(B113,Zones!$A$2:$A$15,0)),"⚠ zone inconnue"))</f>
        <v/>
      </c>
      <c r="G113" s="12"/>
      <c r="H113" s="12"/>
      <c r="I113" s="12"/>
      <c r="J113" s="12"/>
    </row>
    <row r="114" customFormat="false" ht="15" hidden="false" customHeight="false" outlineLevel="0" collapsed="false">
      <c r="A114" s="14" t="str">
        <f aca="false">IF(OR(B114="",C114="",D114="",E114=""),"",UPPER(B114)&amp;TEXT(C114,"00")&amp;"-"&amp;D114&amp;"-"&amp;TEXT(E114,"00"))</f>
        <v/>
      </c>
      <c r="B114" s="12"/>
      <c r="C114" s="12"/>
      <c r="D114" s="12"/>
      <c r="E114" s="12"/>
      <c r="F114" s="16" t="str">
        <f aca="false">IF(B114="","",IFERROR(INDEX(Zones!$B$2:$B$15,MATCH(B114,Zones!$A$2:$A$15,0)),"⚠ zone inconnue"))</f>
        <v/>
      </c>
      <c r="G114" s="12"/>
      <c r="H114" s="12"/>
      <c r="I114" s="12"/>
      <c r="J114" s="12"/>
    </row>
    <row r="115" customFormat="false" ht="15" hidden="false" customHeight="false" outlineLevel="0" collapsed="false">
      <c r="A115" s="14" t="str">
        <f aca="false">IF(OR(B115="",C115="",D115="",E115=""),"",UPPER(B115)&amp;TEXT(C115,"00")&amp;"-"&amp;D115&amp;"-"&amp;TEXT(E115,"00"))</f>
        <v/>
      </c>
      <c r="B115" s="12"/>
      <c r="C115" s="12"/>
      <c r="D115" s="12"/>
      <c r="E115" s="12"/>
      <c r="F115" s="16" t="str">
        <f aca="false">IF(B115="","",IFERROR(INDEX(Zones!$B$2:$B$15,MATCH(B115,Zones!$A$2:$A$15,0)),"⚠ zone inconnue"))</f>
        <v/>
      </c>
      <c r="G115" s="12"/>
      <c r="H115" s="12"/>
      <c r="I115" s="12"/>
      <c r="J115" s="12"/>
    </row>
    <row r="116" customFormat="false" ht="15" hidden="false" customHeight="false" outlineLevel="0" collapsed="false">
      <c r="A116" s="14" t="str">
        <f aca="false">IF(OR(B116="",C116="",D116="",E116=""),"",UPPER(B116)&amp;TEXT(C116,"00")&amp;"-"&amp;D116&amp;"-"&amp;TEXT(E116,"00"))</f>
        <v/>
      </c>
      <c r="B116" s="12"/>
      <c r="C116" s="12"/>
      <c r="D116" s="12"/>
      <c r="E116" s="12"/>
      <c r="F116" s="16" t="str">
        <f aca="false">IF(B116="","",IFERROR(INDEX(Zones!$B$2:$B$15,MATCH(B116,Zones!$A$2:$A$15,0)),"⚠ zone inconnue"))</f>
        <v/>
      </c>
      <c r="G116" s="12"/>
      <c r="H116" s="12"/>
      <c r="I116" s="12"/>
      <c r="J116" s="12"/>
    </row>
    <row r="117" customFormat="false" ht="15" hidden="false" customHeight="false" outlineLevel="0" collapsed="false">
      <c r="A117" s="14" t="str">
        <f aca="false">IF(OR(B117="",C117="",D117="",E117=""),"",UPPER(B117)&amp;TEXT(C117,"00")&amp;"-"&amp;D117&amp;"-"&amp;TEXT(E117,"00"))</f>
        <v/>
      </c>
      <c r="B117" s="12"/>
      <c r="C117" s="12"/>
      <c r="D117" s="12"/>
      <c r="E117" s="12"/>
      <c r="F117" s="16" t="str">
        <f aca="false">IF(B117="","",IFERROR(INDEX(Zones!$B$2:$B$15,MATCH(B117,Zones!$A$2:$A$15,0)),"⚠ zone inconnue"))</f>
        <v/>
      </c>
      <c r="G117" s="12"/>
      <c r="H117" s="12"/>
      <c r="I117" s="12"/>
      <c r="J117" s="12"/>
    </row>
    <row r="118" customFormat="false" ht="15" hidden="false" customHeight="false" outlineLevel="0" collapsed="false">
      <c r="A118" s="14" t="str">
        <f aca="false">IF(OR(B118="",C118="",D118="",E118=""),"",UPPER(B118)&amp;TEXT(C118,"00")&amp;"-"&amp;D118&amp;"-"&amp;TEXT(E118,"00"))</f>
        <v/>
      </c>
      <c r="B118" s="12"/>
      <c r="C118" s="12"/>
      <c r="D118" s="12"/>
      <c r="E118" s="12"/>
      <c r="F118" s="16" t="str">
        <f aca="false">IF(B118="","",IFERROR(INDEX(Zones!$B$2:$B$15,MATCH(B118,Zones!$A$2:$A$15,0)),"⚠ zone inconnue"))</f>
        <v/>
      </c>
      <c r="G118" s="12"/>
      <c r="H118" s="12"/>
      <c r="I118" s="12"/>
      <c r="J118" s="12"/>
    </row>
    <row r="119" customFormat="false" ht="15" hidden="false" customHeight="false" outlineLevel="0" collapsed="false">
      <c r="A119" s="14" t="str">
        <f aca="false">IF(OR(B119="",C119="",D119="",E119=""),"",UPPER(B119)&amp;TEXT(C119,"00")&amp;"-"&amp;D119&amp;"-"&amp;TEXT(E119,"00"))</f>
        <v/>
      </c>
      <c r="B119" s="12"/>
      <c r="C119" s="12"/>
      <c r="D119" s="12"/>
      <c r="E119" s="12"/>
      <c r="F119" s="16" t="str">
        <f aca="false">IF(B119="","",IFERROR(INDEX(Zones!$B$2:$B$15,MATCH(B119,Zones!$A$2:$A$15,0)),"⚠ zone inconnue"))</f>
        <v/>
      </c>
      <c r="G119" s="12"/>
      <c r="H119" s="12"/>
      <c r="I119" s="12"/>
      <c r="J119" s="12"/>
    </row>
    <row r="120" customFormat="false" ht="15" hidden="false" customHeight="false" outlineLevel="0" collapsed="false">
      <c r="A120" s="14" t="str">
        <f aca="false">IF(OR(B120="",C120="",D120="",E120=""),"",UPPER(B120)&amp;TEXT(C120,"00")&amp;"-"&amp;D120&amp;"-"&amp;TEXT(E120,"00"))</f>
        <v/>
      </c>
      <c r="B120" s="12"/>
      <c r="C120" s="12"/>
      <c r="D120" s="12"/>
      <c r="E120" s="12"/>
      <c r="F120" s="16" t="str">
        <f aca="false">IF(B120="","",IFERROR(INDEX(Zones!$B$2:$B$15,MATCH(B120,Zones!$A$2:$A$15,0)),"⚠ zone inconnue"))</f>
        <v/>
      </c>
      <c r="G120" s="12"/>
      <c r="H120" s="12"/>
      <c r="I120" s="12"/>
      <c r="J120" s="12"/>
    </row>
    <row r="121" customFormat="false" ht="15" hidden="false" customHeight="false" outlineLevel="0" collapsed="false">
      <c r="A121" s="14" t="str">
        <f aca="false">IF(OR(B121="",C121="",D121="",E121=""),"",UPPER(B121)&amp;TEXT(C121,"00")&amp;"-"&amp;D121&amp;"-"&amp;TEXT(E121,"00"))</f>
        <v/>
      </c>
      <c r="B121" s="12"/>
      <c r="C121" s="12"/>
      <c r="D121" s="12"/>
      <c r="E121" s="12"/>
      <c r="F121" s="16" t="str">
        <f aca="false">IF(B121="","",IFERROR(INDEX(Zones!$B$2:$B$15,MATCH(B121,Zones!$A$2:$A$15,0)),"⚠ zone inconnue"))</f>
        <v/>
      </c>
      <c r="G121" s="12"/>
      <c r="H121" s="12"/>
      <c r="I121" s="12"/>
      <c r="J121" s="12"/>
    </row>
    <row r="122" customFormat="false" ht="15" hidden="false" customHeight="false" outlineLevel="0" collapsed="false">
      <c r="A122" s="14" t="str">
        <f aca="false">IF(OR(B122="",C122="",D122="",E122=""),"",UPPER(B122)&amp;TEXT(C122,"00")&amp;"-"&amp;D122&amp;"-"&amp;TEXT(E122,"00"))</f>
        <v/>
      </c>
      <c r="B122" s="12"/>
      <c r="C122" s="12"/>
      <c r="D122" s="12"/>
      <c r="E122" s="12"/>
      <c r="F122" s="16" t="str">
        <f aca="false">IF(B122="","",IFERROR(INDEX(Zones!$B$2:$B$15,MATCH(B122,Zones!$A$2:$A$15,0)),"⚠ zone inconnue"))</f>
        <v/>
      </c>
      <c r="G122" s="12"/>
      <c r="H122" s="12"/>
      <c r="I122" s="12"/>
      <c r="J122" s="12"/>
    </row>
    <row r="123" customFormat="false" ht="15" hidden="false" customHeight="false" outlineLevel="0" collapsed="false">
      <c r="A123" s="14" t="str">
        <f aca="false">IF(OR(B123="",C123="",D123="",E123=""),"",UPPER(B123)&amp;TEXT(C123,"00")&amp;"-"&amp;D123&amp;"-"&amp;TEXT(E123,"00"))</f>
        <v/>
      </c>
      <c r="B123" s="12"/>
      <c r="C123" s="12"/>
      <c r="D123" s="12"/>
      <c r="E123" s="12"/>
      <c r="F123" s="16" t="str">
        <f aca="false">IF(B123="","",IFERROR(INDEX(Zones!$B$2:$B$15,MATCH(B123,Zones!$A$2:$A$15,0)),"⚠ zone inconnue"))</f>
        <v/>
      </c>
      <c r="G123" s="12"/>
      <c r="H123" s="12"/>
      <c r="I123" s="12"/>
      <c r="J123" s="12"/>
    </row>
    <row r="124" customFormat="false" ht="15" hidden="false" customHeight="false" outlineLevel="0" collapsed="false">
      <c r="A124" s="14" t="str">
        <f aca="false">IF(OR(B124="",C124="",D124="",E124=""),"",UPPER(B124)&amp;TEXT(C124,"00")&amp;"-"&amp;D124&amp;"-"&amp;TEXT(E124,"00"))</f>
        <v/>
      </c>
      <c r="B124" s="12"/>
      <c r="C124" s="12"/>
      <c r="D124" s="12"/>
      <c r="E124" s="12"/>
      <c r="F124" s="16" t="str">
        <f aca="false">IF(B124="","",IFERROR(INDEX(Zones!$B$2:$B$15,MATCH(B124,Zones!$A$2:$A$15,0)),"⚠ zone inconnue"))</f>
        <v/>
      </c>
      <c r="G124" s="12"/>
      <c r="H124" s="12"/>
      <c r="I124" s="12"/>
      <c r="J124" s="12"/>
    </row>
    <row r="125" customFormat="false" ht="15" hidden="false" customHeight="false" outlineLevel="0" collapsed="false">
      <c r="A125" s="14" t="str">
        <f aca="false">IF(OR(B125="",C125="",D125="",E125=""),"",UPPER(B125)&amp;TEXT(C125,"00")&amp;"-"&amp;D125&amp;"-"&amp;TEXT(E125,"00"))</f>
        <v/>
      </c>
      <c r="B125" s="12"/>
      <c r="C125" s="12"/>
      <c r="D125" s="12"/>
      <c r="E125" s="12"/>
      <c r="F125" s="16" t="str">
        <f aca="false">IF(B125="","",IFERROR(INDEX(Zones!$B$2:$B$15,MATCH(B125,Zones!$A$2:$A$15,0)),"⚠ zone inconnue"))</f>
        <v/>
      </c>
      <c r="G125" s="12"/>
      <c r="H125" s="12"/>
      <c r="I125" s="12"/>
      <c r="J125" s="12"/>
    </row>
    <row r="126" customFormat="false" ht="15" hidden="false" customHeight="false" outlineLevel="0" collapsed="false">
      <c r="A126" s="14" t="str">
        <f aca="false">IF(OR(B126="",C126="",D126="",E126=""),"",UPPER(B126)&amp;TEXT(C126,"00")&amp;"-"&amp;D126&amp;"-"&amp;TEXT(E126,"00"))</f>
        <v/>
      </c>
      <c r="B126" s="12"/>
      <c r="C126" s="12"/>
      <c r="D126" s="12"/>
      <c r="E126" s="12"/>
      <c r="F126" s="16" t="str">
        <f aca="false">IF(B126="","",IFERROR(INDEX(Zones!$B$2:$B$15,MATCH(B126,Zones!$A$2:$A$15,0)),"⚠ zone inconnue"))</f>
        <v/>
      </c>
      <c r="G126" s="12"/>
      <c r="H126" s="12"/>
      <c r="I126" s="12"/>
      <c r="J126" s="12"/>
    </row>
    <row r="127" customFormat="false" ht="15" hidden="false" customHeight="false" outlineLevel="0" collapsed="false">
      <c r="A127" s="14" t="str">
        <f aca="false">IF(OR(B127="",C127="",D127="",E127=""),"",UPPER(B127)&amp;TEXT(C127,"00")&amp;"-"&amp;D127&amp;"-"&amp;TEXT(E127,"00"))</f>
        <v/>
      </c>
      <c r="B127" s="12"/>
      <c r="C127" s="12"/>
      <c r="D127" s="12"/>
      <c r="E127" s="12"/>
      <c r="F127" s="16" t="str">
        <f aca="false">IF(B127="","",IFERROR(INDEX(Zones!$B$2:$B$15,MATCH(B127,Zones!$A$2:$A$15,0)),"⚠ zone inconnue"))</f>
        <v/>
      </c>
      <c r="G127" s="12"/>
      <c r="H127" s="12"/>
      <c r="I127" s="12"/>
      <c r="J127" s="12"/>
    </row>
    <row r="128" customFormat="false" ht="15" hidden="false" customHeight="false" outlineLevel="0" collapsed="false">
      <c r="A128" s="14" t="str">
        <f aca="false">IF(OR(B128="",C128="",D128="",E128=""),"",UPPER(B128)&amp;TEXT(C128,"00")&amp;"-"&amp;D128&amp;"-"&amp;TEXT(E128,"00"))</f>
        <v/>
      </c>
      <c r="B128" s="12"/>
      <c r="C128" s="12"/>
      <c r="D128" s="12"/>
      <c r="E128" s="12"/>
      <c r="F128" s="16" t="str">
        <f aca="false">IF(B128="","",IFERROR(INDEX(Zones!$B$2:$B$15,MATCH(B128,Zones!$A$2:$A$15,0)),"⚠ zone inconnue"))</f>
        <v/>
      </c>
      <c r="G128" s="12"/>
      <c r="H128" s="12"/>
      <c r="I128" s="12"/>
      <c r="J128" s="12"/>
    </row>
    <row r="129" customFormat="false" ht="15" hidden="false" customHeight="false" outlineLevel="0" collapsed="false">
      <c r="A129" s="14" t="str">
        <f aca="false">IF(OR(B129="",C129="",D129="",E129=""),"",UPPER(B129)&amp;TEXT(C129,"00")&amp;"-"&amp;D129&amp;"-"&amp;TEXT(E129,"00"))</f>
        <v/>
      </c>
      <c r="B129" s="12"/>
      <c r="C129" s="12"/>
      <c r="D129" s="12"/>
      <c r="E129" s="12"/>
      <c r="F129" s="16" t="str">
        <f aca="false">IF(B129="","",IFERROR(INDEX(Zones!$B$2:$B$15,MATCH(B129,Zones!$A$2:$A$15,0)),"⚠ zone inconnue"))</f>
        <v/>
      </c>
      <c r="G129" s="12"/>
      <c r="H129" s="12"/>
      <c r="I129" s="12"/>
      <c r="J129" s="12"/>
    </row>
    <row r="130" customFormat="false" ht="15" hidden="false" customHeight="false" outlineLevel="0" collapsed="false">
      <c r="A130" s="14" t="str">
        <f aca="false">IF(OR(B130="",C130="",D130="",E130=""),"",UPPER(B130)&amp;TEXT(C130,"00")&amp;"-"&amp;D130&amp;"-"&amp;TEXT(E130,"00"))</f>
        <v/>
      </c>
      <c r="B130" s="12"/>
      <c r="C130" s="12"/>
      <c r="D130" s="12"/>
      <c r="E130" s="12"/>
      <c r="F130" s="16" t="str">
        <f aca="false">IF(B130="","",IFERROR(INDEX(Zones!$B$2:$B$15,MATCH(B130,Zones!$A$2:$A$15,0)),"⚠ zone inconnue"))</f>
        <v/>
      </c>
      <c r="G130" s="12"/>
      <c r="H130" s="12"/>
      <c r="I130" s="12"/>
      <c r="J130" s="12"/>
    </row>
    <row r="131" customFormat="false" ht="15" hidden="false" customHeight="false" outlineLevel="0" collapsed="false">
      <c r="A131" s="14" t="str">
        <f aca="false">IF(OR(B131="",C131="",D131="",E131=""),"",UPPER(B131)&amp;TEXT(C131,"00")&amp;"-"&amp;D131&amp;"-"&amp;TEXT(E131,"00"))</f>
        <v/>
      </c>
      <c r="B131" s="12"/>
      <c r="C131" s="12"/>
      <c r="D131" s="12"/>
      <c r="E131" s="12"/>
      <c r="F131" s="16" t="str">
        <f aca="false">IF(B131="","",IFERROR(INDEX(Zones!$B$2:$B$15,MATCH(B131,Zones!$A$2:$A$15,0)),"⚠ zone inconnue"))</f>
        <v/>
      </c>
      <c r="G131" s="12"/>
      <c r="H131" s="12"/>
      <c r="I131" s="12"/>
      <c r="J131" s="12"/>
    </row>
    <row r="132" customFormat="false" ht="15" hidden="false" customHeight="false" outlineLevel="0" collapsed="false">
      <c r="A132" s="14" t="str">
        <f aca="false">IF(OR(B132="",C132="",D132="",E132=""),"",UPPER(B132)&amp;TEXT(C132,"00")&amp;"-"&amp;D132&amp;"-"&amp;TEXT(E132,"00"))</f>
        <v/>
      </c>
      <c r="B132" s="12"/>
      <c r="C132" s="12"/>
      <c r="D132" s="12"/>
      <c r="E132" s="12"/>
      <c r="F132" s="16" t="str">
        <f aca="false">IF(B132="","",IFERROR(INDEX(Zones!$B$2:$B$15,MATCH(B132,Zones!$A$2:$A$15,0)),"⚠ zone inconnue"))</f>
        <v/>
      </c>
      <c r="G132" s="12"/>
      <c r="H132" s="12"/>
      <c r="I132" s="12"/>
      <c r="J132" s="12"/>
    </row>
    <row r="133" customFormat="false" ht="15" hidden="false" customHeight="false" outlineLevel="0" collapsed="false">
      <c r="A133" s="14" t="str">
        <f aca="false">IF(OR(B133="",C133="",D133="",E133=""),"",UPPER(B133)&amp;TEXT(C133,"00")&amp;"-"&amp;D133&amp;"-"&amp;TEXT(E133,"00"))</f>
        <v/>
      </c>
      <c r="B133" s="12"/>
      <c r="C133" s="12"/>
      <c r="D133" s="12"/>
      <c r="E133" s="12"/>
      <c r="F133" s="16" t="str">
        <f aca="false">IF(B133="","",IFERROR(INDEX(Zones!$B$2:$B$15,MATCH(B133,Zones!$A$2:$A$15,0)),"⚠ zone inconnue"))</f>
        <v/>
      </c>
      <c r="G133" s="12"/>
      <c r="H133" s="12"/>
      <c r="I133" s="12"/>
      <c r="J133" s="12"/>
    </row>
    <row r="134" customFormat="false" ht="15" hidden="false" customHeight="false" outlineLevel="0" collapsed="false">
      <c r="A134" s="14" t="str">
        <f aca="false">IF(OR(B134="",C134="",D134="",E134=""),"",UPPER(B134)&amp;TEXT(C134,"00")&amp;"-"&amp;D134&amp;"-"&amp;TEXT(E134,"00"))</f>
        <v/>
      </c>
      <c r="B134" s="12"/>
      <c r="C134" s="12"/>
      <c r="D134" s="12"/>
      <c r="E134" s="12"/>
      <c r="F134" s="16" t="str">
        <f aca="false">IF(B134="","",IFERROR(INDEX(Zones!$B$2:$B$15,MATCH(B134,Zones!$A$2:$A$15,0)),"⚠ zone inconnue"))</f>
        <v/>
      </c>
      <c r="G134" s="12"/>
      <c r="H134" s="12"/>
      <c r="I134" s="12"/>
      <c r="J134" s="12"/>
    </row>
    <row r="135" customFormat="false" ht="15" hidden="false" customHeight="false" outlineLevel="0" collapsed="false">
      <c r="A135" s="14" t="str">
        <f aca="false">IF(OR(B135="",C135="",D135="",E135=""),"",UPPER(B135)&amp;TEXT(C135,"00")&amp;"-"&amp;D135&amp;"-"&amp;TEXT(E135,"00"))</f>
        <v/>
      </c>
      <c r="B135" s="12"/>
      <c r="C135" s="12"/>
      <c r="D135" s="12"/>
      <c r="E135" s="12"/>
      <c r="F135" s="16" t="str">
        <f aca="false">IF(B135="","",IFERROR(INDEX(Zones!$B$2:$B$15,MATCH(B135,Zones!$A$2:$A$15,0)),"⚠ zone inconnue"))</f>
        <v/>
      </c>
      <c r="G135" s="12"/>
      <c r="H135" s="12"/>
      <c r="I135" s="12"/>
      <c r="J135" s="12"/>
    </row>
    <row r="136" customFormat="false" ht="15" hidden="false" customHeight="false" outlineLevel="0" collapsed="false">
      <c r="A136" s="14" t="str">
        <f aca="false">IF(OR(B136="",C136="",D136="",E136=""),"",UPPER(B136)&amp;TEXT(C136,"00")&amp;"-"&amp;D136&amp;"-"&amp;TEXT(E136,"00"))</f>
        <v/>
      </c>
      <c r="B136" s="12"/>
      <c r="C136" s="12"/>
      <c r="D136" s="12"/>
      <c r="E136" s="12"/>
      <c r="F136" s="16" t="str">
        <f aca="false">IF(B136="","",IFERROR(INDEX(Zones!$B$2:$B$15,MATCH(B136,Zones!$A$2:$A$15,0)),"⚠ zone inconnue"))</f>
        <v/>
      </c>
      <c r="G136" s="12"/>
      <c r="H136" s="12"/>
      <c r="I136" s="12"/>
      <c r="J136" s="12"/>
    </row>
    <row r="137" customFormat="false" ht="15" hidden="false" customHeight="false" outlineLevel="0" collapsed="false">
      <c r="A137" s="14" t="str">
        <f aca="false">IF(OR(B137="",C137="",D137="",E137=""),"",UPPER(B137)&amp;TEXT(C137,"00")&amp;"-"&amp;D137&amp;"-"&amp;TEXT(E137,"00"))</f>
        <v/>
      </c>
      <c r="B137" s="12"/>
      <c r="C137" s="12"/>
      <c r="D137" s="12"/>
      <c r="E137" s="12"/>
      <c r="F137" s="16" t="str">
        <f aca="false">IF(B137="","",IFERROR(INDEX(Zones!$B$2:$B$15,MATCH(B137,Zones!$A$2:$A$15,0)),"⚠ zone inconnue"))</f>
        <v/>
      </c>
      <c r="G137" s="12"/>
      <c r="H137" s="12"/>
      <c r="I137" s="12"/>
      <c r="J137" s="12"/>
    </row>
    <row r="138" customFormat="false" ht="15" hidden="false" customHeight="false" outlineLevel="0" collapsed="false">
      <c r="A138" s="14" t="str">
        <f aca="false">IF(OR(B138="",C138="",D138="",E138=""),"",UPPER(B138)&amp;TEXT(C138,"00")&amp;"-"&amp;D138&amp;"-"&amp;TEXT(E138,"00"))</f>
        <v/>
      </c>
      <c r="B138" s="12"/>
      <c r="C138" s="12"/>
      <c r="D138" s="12"/>
      <c r="E138" s="12"/>
      <c r="F138" s="16" t="str">
        <f aca="false">IF(B138="","",IFERROR(INDEX(Zones!$B$2:$B$15,MATCH(B138,Zones!$A$2:$A$15,0)),"⚠ zone inconnue"))</f>
        <v/>
      </c>
      <c r="G138" s="12"/>
      <c r="H138" s="12"/>
      <c r="I138" s="12"/>
      <c r="J138" s="12"/>
    </row>
    <row r="139" customFormat="false" ht="15" hidden="false" customHeight="false" outlineLevel="0" collapsed="false">
      <c r="A139" s="14" t="str">
        <f aca="false">IF(OR(B139="",C139="",D139="",E139=""),"",UPPER(B139)&amp;TEXT(C139,"00")&amp;"-"&amp;D139&amp;"-"&amp;TEXT(E139,"00"))</f>
        <v/>
      </c>
      <c r="B139" s="12"/>
      <c r="C139" s="12"/>
      <c r="D139" s="12"/>
      <c r="E139" s="12"/>
      <c r="F139" s="16" t="str">
        <f aca="false">IF(B139="","",IFERROR(INDEX(Zones!$B$2:$B$15,MATCH(B139,Zones!$A$2:$A$15,0)),"⚠ zone inconnue"))</f>
        <v/>
      </c>
      <c r="G139" s="12"/>
      <c r="H139" s="12"/>
      <c r="I139" s="12"/>
      <c r="J139" s="12"/>
    </row>
    <row r="140" customFormat="false" ht="15" hidden="false" customHeight="false" outlineLevel="0" collapsed="false">
      <c r="A140" s="14" t="str">
        <f aca="false">IF(OR(B140="",C140="",D140="",E140=""),"",UPPER(B140)&amp;TEXT(C140,"00")&amp;"-"&amp;D140&amp;"-"&amp;TEXT(E140,"00"))</f>
        <v/>
      </c>
      <c r="B140" s="12"/>
      <c r="C140" s="12"/>
      <c r="D140" s="12"/>
      <c r="E140" s="12"/>
      <c r="F140" s="16" t="str">
        <f aca="false">IF(B140="","",IFERROR(INDEX(Zones!$B$2:$B$15,MATCH(B140,Zones!$A$2:$A$15,0)),"⚠ zone inconnue"))</f>
        <v/>
      </c>
      <c r="G140" s="12"/>
      <c r="H140" s="12"/>
      <c r="I140" s="12"/>
      <c r="J140" s="12"/>
    </row>
    <row r="141" customFormat="false" ht="15" hidden="false" customHeight="false" outlineLevel="0" collapsed="false">
      <c r="A141" s="14" t="str">
        <f aca="false">IF(OR(B141="",C141="",D141="",E141=""),"",UPPER(B141)&amp;TEXT(C141,"00")&amp;"-"&amp;D141&amp;"-"&amp;TEXT(E141,"00"))</f>
        <v/>
      </c>
      <c r="B141" s="12"/>
      <c r="C141" s="12"/>
      <c r="D141" s="12"/>
      <c r="E141" s="12"/>
      <c r="F141" s="16" t="str">
        <f aca="false">IF(B141="","",IFERROR(INDEX(Zones!$B$2:$B$15,MATCH(B141,Zones!$A$2:$A$15,0)),"⚠ zone inconnue"))</f>
        <v/>
      </c>
      <c r="G141" s="12"/>
      <c r="H141" s="12"/>
      <c r="I141" s="12"/>
      <c r="J141" s="12"/>
    </row>
    <row r="142" customFormat="false" ht="15" hidden="false" customHeight="false" outlineLevel="0" collapsed="false">
      <c r="A142" s="14" t="str">
        <f aca="false">IF(OR(B142="",C142="",D142="",E142=""),"",UPPER(B142)&amp;TEXT(C142,"00")&amp;"-"&amp;D142&amp;"-"&amp;TEXT(E142,"00"))</f>
        <v/>
      </c>
      <c r="B142" s="12"/>
      <c r="C142" s="12"/>
      <c r="D142" s="12"/>
      <c r="E142" s="12"/>
      <c r="F142" s="16" t="str">
        <f aca="false">IF(B142="","",IFERROR(INDEX(Zones!$B$2:$B$15,MATCH(B142,Zones!$A$2:$A$15,0)),"⚠ zone inconnue"))</f>
        <v/>
      </c>
      <c r="G142" s="12"/>
      <c r="H142" s="12"/>
      <c r="I142" s="12"/>
      <c r="J142" s="12"/>
    </row>
    <row r="143" customFormat="false" ht="15" hidden="false" customHeight="false" outlineLevel="0" collapsed="false">
      <c r="A143" s="14" t="str">
        <f aca="false">IF(OR(B143="",C143="",D143="",E143=""),"",UPPER(B143)&amp;TEXT(C143,"00")&amp;"-"&amp;D143&amp;"-"&amp;TEXT(E143,"00"))</f>
        <v/>
      </c>
      <c r="B143" s="12"/>
      <c r="C143" s="12"/>
      <c r="D143" s="12"/>
      <c r="E143" s="12"/>
      <c r="F143" s="16" t="str">
        <f aca="false">IF(B143="","",IFERROR(INDEX(Zones!$B$2:$B$15,MATCH(B143,Zones!$A$2:$A$15,0)),"⚠ zone inconnue"))</f>
        <v/>
      </c>
      <c r="G143" s="12"/>
      <c r="H143" s="12"/>
      <c r="I143" s="12"/>
      <c r="J143" s="12"/>
    </row>
    <row r="144" customFormat="false" ht="15" hidden="false" customHeight="false" outlineLevel="0" collapsed="false">
      <c r="A144" s="14" t="str">
        <f aca="false">IF(OR(B144="",C144="",D144="",E144=""),"",UPPER(B144)&amp;TEXT(C144,"00")&amp;"-"&amp;D144&amp;"-"&amp;TEXT(E144,"00"))</f>
        <v/>
      </c>
      <c r="B144" s="12"/>
      <c r="C144" s="12"/>
      <c r="D144" s="12"/>
      <c r="E144" s="12"/>
      <c r="F144" s="16" t="str">
        <f aca="false">IF(B144="","",IFERROR(INDEX(Zones!$B$2:$B$15,MATCH(B144,Zones!$A$2:$A$15,0)),"⚠ zone inconnue"))</f>
        <v/>
      </c>
      <c r="G144" s="12"/>
      <c r="H144" s="12"/>
      <c r="I144" s="12"/>
      <c r="J144" s="12"/>
    </row>
    <row r="145" customFormat="false" ht="15" hidden="false" customHeight="false" outlineLevel="0" collapsed="false">
      <c r="A145" s="14" t="str">
        <f aca="false">IF(OR(B145="",C145="",D145="",E145=""),"",UPPER(B145)&amp;TEXT(C145,"00")&amp;"-"&amp;D145&amp;"-"&amp;TEXT(E145,"00"))</f>
        <v/>
      </c>
      <c r="B145" s="12"/>
      <c r="C145" s="12"/>
      <c r="D145" s="12"/>
      <c r="E145" s="12"/>
      <c r="F145" s="16" t="str">
        <f aca="false">IF(B145="","",IFERROR(INDEX(Zones!$B$2:$B$15,MATCH(B145,Zones!$A$2:$A$15,0)),"⚠ zone inconnue"))</f>
        <v/>
      </c>
      <c r="G145" s="12"/>
      <c r="H145" s="12"/>
      <c r="I145" s="12"/>
      <c r="J145" s="12"/>
    </row>
    <row r="146" customFormat="false" ht="15" hidden="false" customHeight="false" outlineLevel="0" collapsed="false">
      <c r="A146" s="14" t="str">
        <f aca="false">IF(OR(B146="",C146="",D146="",E146=""),"",UPPER(B146)&amp;TEXT(C146,"00")&amp;"-"&amp;D146&amp;"-"&amp;TEXT(E146,"00"))</f>
        <v/>
      </c>
      <c r="B146" s="12"/>
      <c r="C146" s="12"/>
      <c r="D146" s="12"/>
      <c r="E146" s="12"/>
      <c r="F146" s="16" t="str">
        <f aca="false">IF(B146="","",IFERROR(INDEX(Zones!$B$2:$B$15,MATCH(B146,Zones!$A$2:$A$15,0)),"⚠ zone inconnue"))</f>
        <v/>
      </c>
      <c r="G146" s="12"/>
      <c r="H146" s="12"/>
      <c r="I146" s="12"/>
      <c r="J146" s="12"/>
    </row>
    <row r="147" customFormat="false" ht="15" hidden="false" customHeight="false" outlineLevel="0" collapsed="false">
      <c r="A147" s="14" t="str">
        <f aca="false">IF(OR(B147="",C147="",D147="",E147=""),"",UPPER(B147)&amp;TEXT(C147,"00")&amp;"-"&amp;D147&amp;"-"&amp;TEXT(E147,"00"))</f>
        <v/>
      </c>
      <c r="B147" s="12"/>
      <c r="C147" s="12"/>
      <c r="D147" s="12"/>
      <c r="E147" s="12"/>
      <c r="F147" s="16" t="str">
        <f aca="false">IF(B147="","",IFERROR(INDEX(Zones!$B$2:$B$15,MATCH(B147,Zones!$A$2:$A$15,0)),"⚠ zone inconnue"))</f>
        <v/>
      </c>
      <c r="G147" s="12"/>
      <c r="H147" s="12"/>
      <c r="I147" s="12"/>
      <c r="J147" s="12"/>
    </row>
    <row r="148" customFormat="false" ht="15" hidden="false" customHeight="false" outlineLevel="0" collapsed="false">
      <c r="A148" s="14" t="str">
        <f aca="false">IF(OR(B148="",C148="",D148="",E148=""),"",UPPER(B148)&amp;TEXT(C148,"00")&amp;"-"&amp;D148&amp;"-"&amp;TEXT(E148,"00"))</f>
        <v/>
      </c>
      <c r="B148" s="12"/>
      <c r="C148" s="12"/>
      <c r="D148" s="12"/>
      <c r="E148" s="12"/>
      <c r="F148" s="16" t="str">
        <f aca="false">IF(B148="","",IFERROR(INDEX(Zones!$B$2:$B$15,MATCH(B148,Zones!$A$2:$A$15,0)),"⚠ zone inconnue"))</f>
        <v/>
      </c>
      <c r="G148" s="12"/>
      <c r="H148" s="12"/>
      <c r="I148" s="12"/>
      <c r="J148" s="12"/>
    </row>
    <row r="149" customFormat="false" ht="15" hidden="false" customHeight="false" outlineLevel="0" collapsed="false">
      <c r="A149" s="14" t="str">
        <f aca="false">IF(OR(B149="",C149="",D149="",E149=""),"",UPPER(B149)&amp;TEXT(C149,"00")&amp;"-"&amp;D149&amp;"-"&amp;TEXT(E149,"00"))</f>
        <v/>
      </c>
      <c r="B149" s="12"/>
      <c r="C149" s="12"/>
      <c r="D149" s="12"/>
      <c r="E149" s="12"/>
      <c r="F149" s="16" t="str">
        <f aca="false">IF(B149="","",IFERROR(INDEX(Zones!$B$2:$B$15,MATCH(B149,Zones!$A$2:$A$15,0)),"⚠ zone inconnue"))</f>
        <v/>
      </c>
      <c r="G149" s="12"/>
      <c r="H149" s="12"/>
      <c r="I149" s="12"/>
      <c r="J149" s="12"/>
    </row>
    <row r="150" customFormat="false" ht="15" hidden="false" customHeight="false" outlineLevel="0" collapsed="false">
      <c r="A150" s="14" t="str">
        <f aca="false">IF(OR(B150="",C150="",D150="",E150=""),"",UPPER(B150)&amp;TEXT(C150,"00")&amp;"-"&amp;D150&amp;"-"&amp;TEXT(E150,"00"))</f>
        <v/>
      </c>
      <c r="B150" s="12"/>
      <c r="C150" s="12"/>
      <c r="D150" s="12"/>
      <c r="E150" s="12"/>
      <c r="F150" s="16" t="str">
        <f aca="false">IF(B150="","",IFERROR(INDEX(Zones!$B$2:$B$15,MATCH(B150,Zones!$A$2:$A$15,0)),"⚠ zone inconnue"))</f>
        <v/>
      </c>
      <c r="G150" s="12"/>
      <c r="H150" s="12"/>
      <c r="I150" s="12"/>
      <c r="J150" s="12"/>
    </row>
    <row r="151" customFormat="false" ht="15" hidden="false" customHeight="false" outlineLevel="0" collapsed="false">
      <c r="A151" s="14" t="str">
        <f aca="false">IF(OR(B151="",C151="",D151="",E151=""),"",UPPER(B151)&amp;TEXT(C151,"00")&amp;"-"&amp;D151&amp;"-"&amp;TEXT(E151,"00"))</f>
        <v/>
      </c>
      <c r="B151" s="12"/>
      <c r="C151" s="12"/>
      <c r="D151" s="12"/>
      <c r="E151" s="12"/>
      <c r="F151" s="16" t="str">
        <f aca="false">IF(B151="","",IFERROR(INDEX(Zones!$B$2:$B$15,MATCH(B151,Zones!$A$2:$A$15,0)),"⚠ zone inconnue"))</f>
        <v/>
      </c>
      <c r="G151" s="12"/>
      <c r="H151" s="12"/>
      <c r="I151" s="12"/>
      <c r="J151" s="12"/>
    </row>
    <row r="152" customFormat="false" ht="15" hidden="false" customHeight="false" outlineLevel="0" collapsed="false">
      <c r="A152" s="14" t="str">
        <f aca="false">IF(OR(B152="",C152="",D152="",E152=""),"",UPPER(B152)&amp;TEXT(C152,"00")&amp;"-"&amp;D152&amp;"-"&amp;TEXT(E152,"00"))</f>
        <v/>
      </c>
      <c r="B152" s="12"/>
      <c r="C152" s="12"/>
      <c r="D152" s="12"/>
      <c r="E152" s="12"/>
      <c r="F152" s="16" t="str">
        <f aca="false">IF(B152="","",IFERROR(INDEX(Zones!$B$2:$B$15,MATCH(B152,Zones!$A$2:$A$15,0)),"⚠ zone inconnue"))</f>
        <v/>
      </c>
      <c r="G152" s="12"/>
      <c r="H152" s="12"/>
      <c r="I152" s="12"/>
      <c r="J152" s="12"/>
    </row>
    <row r="153" customFormat="false" ht="15" hidden="false" customHeight="false" outlineLevel="0" collapsed="false">
      <c r="A153" s="14" t="str">
        <f aca="false">IF(OR(B153="",C153="",D153="",E153=""),"",UPPER(B153)&amp;TEXT(C153,"00")&amp;"-"&amp;D153&amp;"-"&amp;TEXT(E153,"00"))</f>
        <v/>
      </c>
      <c r="B153" s="12"/>
      <c r="C153" s="12"/>
      <c r="D153" s="12"/>
      <c r="E153" s="12"/>
      <c r="F153" s="16" t="str">
        <f aca="false">IF(B153="","",IFERROR(INDEX(Zones!$B$2:$B$15,MATCH(B153,Zones!$A$2:$A$15,0)),"⚠ zone inconnue"))</f>
        <v/>
      </c>
      <c r="G153" s="12"/>
      <c r="H153" s="12"/>
      <c r="I153" s="12"/>
      <c r="J153" s="12"/>
    </row>
    <row r="154" customFormat="false" ht="15" hidden="false" customHeight="false" outlineLevel="0" collapsed="false">
      <c r="A154" s="14" t="str">
        <f aca="false">IF(OR(B154="",C154="",D154="",E154=""),"",UPPER(B154)&amp;TEXT(C154,"00")&amp;"-"&amp;D154&amp;"-"&amp;TEXT(E154,"00"))</f>
        <v/>
      </c>
      <c r="B154" s="12"/>
      <c r="C154" s="12"/>
      <c r="D154" s="12"/>
      <c r="E154" s="12"/>
      <c r="F154" s="16" t="str">
        <f aca="false">IF(B154="","",IFERROR(INDEX(Zones!$B$2:$B$15,MATCH(B154,Zones!$A$2:$A$15,0)),"⚠ zone inconnue"))</f>
        <v/>
      </c>
      <c r="G154" s="12"/>
      <c r="H154" s="12"/>
      <c r="I154" s="12"/>
      <c r="J154" s="12"/>
    </row>
    <row r="155" customFormat="false" ht="15" hidden="false" customHeight="false" outlineLevel="0" collapsed="false">
      <c r="A155" s="14" t="str">
        <f aca="false">IF(OR(B155="",C155="",D155="",E155=""),"",UPPER(B155)&amp;TEXT(C155,"00")&amp;"-"&amp;D155&amp;"-"&amp;TEXT(E155,"00"))</f>
        <v/>
      </c>
      <c r="B155" s="12"/>
      <c r="C155" s="12"/>
      <c r="D155" s="12"/>
      <c r="E155" s="12"/>
      <c r="F155" s="16" t="str">
        <f aca="false">IF(B155="","",IFERROR(INDEX(Zones!$B$2:$B$15,MATCH(B155,Zones!$A$2:$A$15,0)),"⚠ zone inconnue"))</f>
        <v/>
      </c>
      <c r="G155" s="12"/>
      <c r="H155" s="12"/>
      <c r="I155" s="12"/>
      <c r="J155" s="12"/>
    </row>
    <row r="156" customFormat="false" ht="15" hidden="false" customHeight="false" outlineLevel="0" collapsed="false">
      <c r="A156" s="14" t="str">
        <f aca="false">IF(OR(B156="",C156="",D156="",E156=""),"",UPPER(B156)&amp;TEXT(C156,"00")&amp;"-"&amp;D156&amp;"-"&amp;TEXT(E156,"00"))</f>
        <v/>
      </c>
      <c r="B156" s="12"/>
      <c r="C156" s="12"/>
      <c r="D156" s="12"/>
      <c r="E156" s="12"/>
      <c r="F156" s="16" t="str">
        <f aca="false">IF(B156="","",IFERROR(INDEX(Zones!$B$2:$B$15,MATCH(B156,Zones!$A$2:$A$15,0)),"⚠ zone inconnue"))</f>
        <v/>
      </c>
      <c r="G156" s="12"/>
      <c r="H156" s="12"/>
      <c r="I156" s="12"/>
      <c r="J156" s="12"/>
    </row>
    <row r="157" customFormat="false" ht="15" hidden="false" customHeight="false" outlineLevel="0" collapsed="false">
      <c r="A157" s="14" t="str">
        <f aca="false">IF(OR(B157="",C157="",D157="",E157=""),"",UPPER(B157)&amp;TEXT(C157,"00")&amp;"-"&amp;D157&amp;"-"&amp;TEXT(E157,"00"))</f>
        <v/>
      </c>
      <c r="B157" s="12"/>
      <c r="C157" s="12"/>
      <c r="D157" s="12"/>
      <c r="E157" s="12"/>
      <c r="F157" s="16" t="str">
        <f aca="false">IF(B157="","",IFERROR(INDEX(Zones!$B$2:$B$15,MATCH(B157,Zones!$A$2:$A$15,0)),"⚠ zone inconnue"))</f>
        <v/>
      </c>
      <c r="G157" s="12"/>
      <c r="H157" s="12"/>
      <c r="I157" s="12"/>
      <c r="J157" s="12"/>
    </row>
    <row r="158" customFormat="false" ht="15" hidden="false" customHeight="false" outlineLevel="0" collapsed="false">
      <c r="A158" s="14" t="str">
        <f aca="false">IF(OR(B158="",C158="",D158="",E158=""),"",UPPER(B158)&amp;TEXT(C158,"00")&amp;"-"&amp;D158&amp;"-"&amp;TEXT(E158,"00"))</f>
        <v/>
      </c>
      <c r="B158" s="12"/>
      <c r="C158" s="12"/>
      <c r="D158" s="12"/>
      <c r="E158" s="12"/>
      <c r="F158" s="16" t="str">
        <f aca="false">IF(B158="","",IFERROR(INDEX(Zones!$B$2:$B$15,MATCH(B158,Zones!$A$2:$A$15,0)),"⚠ zone inconnue"))</f>
        <v/>
      </c>
      <c r="G158" s="12"/>
      <c r="H158" s="12"/>
      <c r="I158" s="12"/>
      <c r="J158" s="12"/>
    </row>
    <row r="159" customFormat="false" ht="15" hidden="false" customHeight="false" outlineLevel="0" collapsed="false">
      <c r="A159" s="14" t="str">
        <f aca="false">IF(OR(B159="",C159="",D159="",E159=""),"",UPPER(B159)&amp;TEXT(C159,"00")&amp;"-"&amp;D159&amp;"-"&amp;TEXT(E159,"00"))</f>
        <v/>
      </c>
      <c r="B159" s="12"/>
      <c r="C159" s="12"/>
      <c r="D159" s="12"/>
      <c r="E159" s="12"/>
      <c r="F159" s="16" t="str">
        <f aca="false">IF(B159="","",IFERROR(INDEX(Zones!$B$2:$B$15,MATCH(B159,Zones!$A$2:$A$15,0)),"⚠ zone inconnue"))</f>
        <v/>
      </c>
      <c r="G159" s="12"/>
      <c r="H159" s="12"/>
      <c r="I159" s="12"/>
      <c r="J159" s="12"/>
    </row>
    <row r="160" customFormat="false" ht="15" hidden="false" customHeight="false" outlineLevel="0" collapsed="false">
      <c r="A160" s="14" t="str">
        <f aca="false">IF(OR(B160="",C160="",D160="",E160=""),"",UPPER(B160)&amp;TEXT(C160,"00")&amp;"-"&amp;D160&amp;"-"&amp;TEXT(E160,"00"))</f>
        <v/>
      </c>
      <c r="B160" s="12"/>
      <c r="C160" s="12"/>
      <c r="D160" s="12"/>
      <c r="E160" s="12"/>
      <c r="F160" s="16" t="str">
        <f aca="false">IF(B160="","",IFERROR(INDEX(Zones!$B$2:$B$15,MATCH(B160,Zones!$A$2:$A$15,0)),"⚠ zone inconnue"))</f>
        <v/>
      </c>
      <c r="G160" s="12"/>
      <c r="H160" s="12"/>
      <c r="I160" s="12"/>
      <c r="J160" s="12"/>
    </row>
    <row r="161" customFormat="false" ht="15" hidden="false" customHeight="false" outlineLevel="0" collapsed="false">
      <c r="A161" s="14" t="str">
        <f aca="false">IF(OR(B161="",C161="",D161="",E161=""),"",UPPER(B161)&amp;TEXT(C161,"00")&amp;"-"&amp;D161&amp;"-"&amp;TEXT(E161,"00"))</f>
        <v/>
      </c>
      <c r="B161" s="12"/>
      <c r="C161" s="12"/>
      <c r="D161" s="12"/>
      <c r="E161" s="12"/>
      <c r="F161" s="16" t="str">
        <f aca="false">IF(B161="","",IFERROR(INDEX(Zones!$B$2:$B$15,MATCH(B161,Zones!$A$2:$A$15,0)),"⚠ zone inconnue"))</f>
        <v/>
      </c>
      <c r="G161" s="12"/>
      <c r="H161" s="12"/>
      <c r="I161" s="12"/>
      <c r="J161" s="12"/>
    </row>
    <row r="162" customFormat="false" ht="15" hidden="false" customHeight="false" outlineLevel="0" collapsed="false">
      <c r="A162" s="14" t="str">
        <f aca="false">IF(OR(B162="",C162="",D162="",E162=""),"",UPPER(B162)&amp;TEXT(C162,"00")&amp;"-"&amp;D162&amp;"-"&amp;TEXT(E162,"00"))</f>
        <v/>
      </c>
      <c r="B162" s="12"/>
      <c r="C162" s="12"/>
      <c r="D162" s="12"/>
      <c r="E162" s="12"/>
      <c r="F162" s="16" t="str">
        <f aca="false">IF(B162="","",IFERROR(INDEX(Zones!$B$2:$B$15,MATCH(B162,Zones!$A$2:$A$15,0)),"⚠ zone inconnue"))</f>
        <v/>
      </c>
      <c r="G162" s="12"/>
      <c r="H162" s="12"/>
      <c r="I162" s="12"/>
      <c r="J162" s="12"/>
    </row>
    <row r="163" customFormat="false" ht="15" hidden="false" customHeight="false" outlineLevel="0" collapsed="false">
      <c r="A163" s="14" t="str">
        <f aca="false">IF(OR(B163="",C163="",D163="",E163=""),"",UPPER(B163)&amp;TEXT(C163,"00")&amp;"-"&amp;D163&amp;"-"&amp;TEXT(E163,"00"))</f>
        <v/>
      </c>
      <c r="B163" s="12"/>
      <c r="C163" s="12"/>
      <c r="D163" s="12"/>
      <c r="E163" s="12"/>
      <c r="F163" s="16" t="str">
        <f aca="false">IF(B163="","",IFERROR(INDEX(Zones!$B$2:$B$15,MATCH(B163,Zones!$A$2:$A$15,0)),"⚠ zone inconnue"))</f>
        <v/>
      </c>
      <c r="G163" s="12"/>
      <c r="H163" s="12"/>
      <c r="I163" s="12"/>
      <c r="J163" s="12"/>
    </row>
    <row r="164" customFormat="false" ht="15" hidden="false" customHeight="false" outlineLevel="0" collapsed="false">
      <c r="A164" s="14" t="str">
        <f aca="false">IF(OR(B164="",C164="",D164="",E164=""),"",UPPER(B164)&amp;TEXT(C164,"00")&amp;"-"&amp;D164&amp;"-"&amp;TEXT(E164,"00"))</f>
        <v/>
      </c>
      <c r="B164" s="12"/>
      <c r="C164" s="12"/>
      <c r="D164" s="12"/>
      <c r="E164" s="12"/>
      <c r="F164" s="16" t="str">
        <f aca="false">IF(B164="","",IFERROR(INDEX(Zones!$B$2:$B$15,MATCH(B164,Zones!$A$2:$A$15,0)),"⚠ zone inconnue"))</f>
        <v/>
      </c>
      <c r="G164" s="12"/>
      <c r="H164" s="12"/>
      <c r="I164" s="12"/>
      <c r="J164" s="12"/>
    </row>
    <row r="165" customFormat="false" ht="15" hidden="false" customHeight="false" outlineLevel="0" collapsed="false">
      <c r="A165" s="14" t="str">
        <f aca="false">IF(OR(B165="",C165="",D165="",E165=""),"",UPPER(B165)&amp;TEXT(C165,"00")&amp;"-"&amp;D165&amp;"-"&amp;TEXT(E165,"00"))</f>
        <v/>
      </c>
      <c r="B165" s="12"/>
      <c r="C165" s="12"/>
      <c r="D165" s="12"/>
      <c r="E165" s="12"/>
      <c r="F165" s="16" t="str">
        <f aca="false">IF(B165="","",IFERROR(INDEX(Zones!$B$2:$B$15,MATCH(B165,Zones!$A$2:$A$15,0)),"⚠ zone inconnue"))</f>
        <v/>
      </c>
      <c r="G165" s="12"/>
      <c r="H165" s="12"/>
      <c r="I165" s="12"/>
      <c r="J165" s="12"/>
    </row>
    <row r="166" customFormat="false" ht="15" hidden="false" customHeight="false" outlineLevel="0" collapsed="false">
      <c r="A166" s="14" t="str">
        <f aca="false">IF(OR(B166="",C166="",D166="",E166=""),"",UPPER(B166)&amp;TEXT(C166,"00")&amp;"-"&amp;D166&amp;"-"&amp;TEXT(E166,"00"))</f>
        <v/>
      </c>
      <c r="B166" s="12"/>
      <c r="C166" s="12"/>
      <c r="D166" s="12"/>
      <c r="E166" s="12"/>
      <c r="F166" s="16" t="str">
        <f aca="false">IF(B166="","",IFERROR(INDEX(Zones!$B$2:$B$15,MATCH(B166,Zones!$A$2:$A$15,0)),"⚠ zone inconnue"))</f>
        <v/>
      </c>
      <c r="G166" s="12"/>
      <c r="H166" s="12"/>
      <c r="I166" s="12"/>
      <c r="J166" s="12"/>
    </row>
    <row r="167" customFormat="false" ht="15" hidden="false" customHeight="false" outlineLevel="0" collapsed="false">
      <c r="A167" s="14" t="str">
        <f aca="false">IF(OR(B167="",C167="",D167="",E167=""),"",UPPER(B167)&amp;TEXT(C167,"00")&amp;"-"&amp;D167&amp;"-"&amp;TEXT(E167,"00"))</f>
        <v/>
      </c>
      <c r="B167" s="12"/>
      <c r="C167" s="12"/>
      <c r="D167" s="12"/>
      <c r="E167" s="12"/>
      <c r="F167" s="16" t="str">
        <f aca="false">IF(B167="","",IFERROR(INDEX(Zones!$B$2:$B$15,MATCH(B167,Zones!$A$2:$A$15,0)),"⚠ zone inconnue"))</f>
        <v/>
      </c>
      <c r="G167" s="12"/>
      <c r="H167" s="12"/>
      <c r="I167" s="12"/>
      <c r="J167" s="12"/>
    </row>
    <row r="168" customFormat="false" ht="15" hidden="false" customHeight="false" outlineLevel="0" collapsed="false">
      <c r="A168" s="14" t="str">
        <f aca="false">IF(OR(B168="",C168="",D168="",E168=""),"",UPPER(B168)&amp;TEXT(C168,"00")&amp;"-"&amp;D168&amp;"-"&amp;TEXT(E168,"00"))</f>
        <v/>
      </c>
      <c r="B168" s="12"/>
      <c r="C168" s="12"/>
      <c r="D168" s="12"/>
      <c r="E168" s="12"/>
      <c r="F168" s="16" t="str">
        <f aca="false">IF(B168="","",IFERROR(INDEX(Zones!$B$2:$B$15,MATCH(B168,Zones!$A$2:$A$15,0)),"⚠ zone inconnue"))</f>
        <v/>
      </c>
      <c r="G168" s="12"/>
      <c r="H168" s="12"/>
      <c r="I168" s="12"/>
      <c r="J168" s="12"/>
    </row>
    <row r="169" customFormat="false" ht="15" hidden="false" customHeight="false" outlineLevel="0" collapsed="false">
      <c r="A169" s="14" t="str">
        <f aca="false">IF(OR(B169="",C169="",D169="",E169=""),"",UPPER(B169)&amp;TEXT(C169,"00")&amp;"-"&amp;D169&amp;"-"&amp;TEXT(E169,"00"))</f>
        <v/>
      </c>
      <c r="B169" s="12"/>
      <c r="C169" s="12"/>
      <c r="D169" s="12"/>
      <c r="E169" s="12"/>
      <c r="F169" s="16" t="str">
        <f aca="false">IF(B169="","",IFERROR(INDEX(Zones!$B$2:$B$15,MATCH(B169,Zones!$A$2:$A$15,0)),"⚠ zone inconnue"))</f>
        <v/>
      </c>
      <c r="G169" s="12"/>
      <c r="H169" s="12"/>
      <c r="I169" s="12"/>
      <c r="J169" s="12"/>
    </row>
    <row r="170" customFormat="false" ht="15" hidden="false" customHeight="false" outlineLevel="0" collapsed="false">
      <c r="A170" s="14" t="str">
        <f aca="false">IF(OR(B170="",C170="",D170="",E170=""),"",UPPER(B170)&amp;TEXT(C170,"00")&amp;"-"&amp;D170&amp;"-"&amp;TEXT(E170,"00"))</f>
        <v/>
      </c>
      <c r="B170" s="12"/>
      <c r="C170" s="12"/>
      <c r="D170" s="12"/>
      <c r="E170" s="12"/>
      <c r="F170" s="16" t="str">
        <f aca="false">IF(B170="","",IFERROR(INDEX(Zones!$B$2:$B$15,MATCH(B170,Zones!$A$2:$A$15,0)),"⚠ zone inconnue"))</f>
        <v/>
      </c>
      <c r="G170" s="12"/>
      <c r="H170" s="12"/>
      <c r="I170" s="12"/>
      <c r="J170" s="12"/>
    </row>
    <row r="171" customFormat="false" ht="15" hidden="false" customHeight="false" outlineLevel="0" collapsed="false">
      <c r="A171" s="14" t="str">
        <f aca="false">IF(OR(B171="",C171="",D171="",E171=""),"",UPPER(B171)&amp;TEXT(C171,"00")&amp;"-"&amp;D171&amp;"-"&amp;TEXT(E171,"00"))</f>
        <v/>
      </c>
      <c r="B171" s="12"/>
      <c r="C171" s="12"/>
      <c r="D171" s="12"/>
      <c r="E171" s="12"/>
      <c r="F171" s="16" t="str">
        <f aca="false">IF(B171="","",IFERROR(INDEX(Zones!$B$2:$B$15,MATCH(B171,Zones!$A$2:$A$15,0)),"⚠ zone inconnue"))</f>
        <v/>
      </c>
      <c r="G171" s="12"/>
      <c r="H171" s="12"/>
      <c r="I171" s="12"/>
      <c r="J171" s="12"/>
    </row>
    <row r="172" customFormat="false" ht="15" hidden="false" customHeight="false" outlineLevel="0" collapsed="false">
      <c r="A172" s="14" t="str">
        <f aca="false">IF(OR(B172="",C172="",D172="",E172=""),"",UPPER(B172)&amp;TEXT(C172,"00")&amp;"-"&amp;D172&amp;"-"&amp;TEXT(E172,"00"))</f>
        <v/>
      </c>
      <c r="B172" s="12"/>
      <c r="C172" s="12"/>
      <c r="D172" s="12"/>
      <c r="E172" s="12"/>
      <c r="F172" s="16" t="str">
        <f aca="false">IF(B172="","",IFERROR(INDEX(Zones!$B$2:$B$15,MATCH(B172,Zones!$A$2:$A$15,0)),"⚠ zone inconnue"))</f>
        <v/>
      </c>
      <c r="G172" s="12"/>
      <c r="H172" s="12"/>
      <c r="I172" s="12"/>
      <c r="J172" s="12"/>
    </row>
    <row r="173" customFormat="false" ht="15" hidden="false" customHeight="false" outlineLevel="0" collapsed="false">
      <c r="A173" s="14" t="str">
        <f aca="false">IF(OR(B173="",C173="",D173="",E173=""),"",UPPER(B173)&amp;TEXT(C173,"00")&amp;"-"&amp;D173&amp;"-"&amp;TEXT(E173,"00"))</f>
        <v/>
      </c>
      <c r="B173" s="12"/>
      <c r="C173" s="12"/>
      <c r="D173" s="12"/>
      <c r="E173" s="12"/>
      <c r="F173" s="16" t="str">
        <f aca="false">IF(B173="","",IFERROR(INDEX(Zones!$B$2:$B$15,MATCH(B173,Zones!$A$2:$A$15,0)),"⚠ zone inconnue"))</f>
        <v/>
      </c>
      <c r="G173" s="12"/>
      <c r="H173" s="12"/>
      <c r="I173" s="12"/>
      <c r="J173" s="12"/>
    </row>
    <row r="174" customFormat="false" ht="15" hidden="false" customHeight="false" outlineLevel="0" collapsed="false">
      <c r="A174" s="14" t="str">
        <f aca="false">IF(OR(B174="",C174="",D174="",E174=""),"",UPPER(B174)&amp;TEXT(C174,"00")&amp;"-"&amp;D174&amp;"-"&amp;TEXT(E174,"00"))</f>
        <v/>
      </c>
      <c r="B174" s="12"/>
      <c r="C174" s="12"/>
      <c r="D174" s="12"/>
      <c r="E174" s="12"/>
      <c r="F174" s="16" t="str">
        <f aca="false">IF(B174="","",IFERROR(INDEX(Zones!$B$2:$B$15,MATCH(B174,Zones!$A$2:$A$15,0)),"⚠ zone inconnue"))</f>
        <v/>
      </c>
      <c r="G174" s="12"/>
      <c r="H174" s="12"/>
      <c r="I174" s="12"/>
      <c r="J174" s="12"/>
    </row>
    <row r="175" customFormat="false" ht="15" hidden="false" customHeight="false" outlineLevel="0" collapsed="false">
      <c r="A175" s="14" t="str">
        <f aca="false">IF(OR(B175="",C175="",D175="",E175=""),"",UPPER(B175)&amp;TEXT(C175,"00")&amp;"-"&amp;D175&amp;"-"&amp;TEXT(E175,"00"))</f>
        <v/>
      </c>
      <c r="B175" s="12"/>
      <c r="C175" s="12"/>
      <c r="D175" s="12"/>
      <c r="E175" s="12"/>
      <c r="F175" s="16" t="str">
        <f aca="false">IF(B175="","",IFERROR(INDEX(Zones!$B$2:$B$15,MATCH(B175,Zones!$A$2:$A$15,0)),"⚠ zone inconnue"))</f>
        <v/>
      </c>
      <c r="G175" s="12"/>
      <c r="H175" s="12"/>
      <c r="I175" s="12"/>
      <c r="J175" s="12"/>
    </row>
    <row r="176" customFormat="false" ht="15" hidden="false" customHeight="false" outlineLevel="0" collapsed="false">
      <c r="A176" s="14" t="str">
        <f aca="false">IF(OR(B176="",C176="",D176="",E176=""),"",UPPER(B176)&amp;TEXT(C176,"00")&amp;"-"&amp;D176&amp;"-"&amp;TEXT(E176,"00"))</f>
        <v/>
      </c>
      <c r="B176" s="12"/>
      <c r="C176" s="12"/>
      <c r="D176" s="12"/>
      <c r="E176" s="12"/>
      <c r="F176" s="16" t="str">
        <f aca="false">IF(B176="","",IFERROR(INDEX(Zones!$B$2:$B$15,MATCH(B176,Zones!$A$2:$A$15,0)),"⚠ zone inconnue"))</f>
        <v/>
      </c>
      <c r="G176" s="12"/>
      <c r="H176" s="12"/>
      <c r="I176" s="12"/>
      <c r="J176" s="12"/>
    </row>
    <row r="177" customFormat="false" ht="15" hidden="false" customHeight="false" outlineLevel="0" collapsed="false">
      <c r="A177" s="14" t="str">
        <f aca="false">IF(OR(B177="",C177="",D177="",E177=""),"",UPPER(B177)&amp;TEXT(C177,"00")&amp;"-"&amp;D177&amp;"-"&amp;TEXT(E177,"00"))</f>
        <v/>
      </c>
      <c r="B177" s="12"/>
      <c r="C177" s="12"/>
      <c r="D177" s="12"/>
      <c r="E177" s="12"/>
      <c r="F177" s="16" t="str">
        <f aca="false">IF(B177="","",IFERROR(INDEX(Zones!$B$2:$B$15,MATCH(B177,Zones!$A$2:$A$15,0)),"⚠ zone inconnue"))</f>
        <v/>
      </c>
      <c r="G177" s="12"/>
      <c r="H177" s="12"/>
      <c r="I177" s="12"/>
      <c r="J177" s="12"/>
    </row>
    <row r="178" customFormat="false" ht="15" hidden="false" customHeight="false" outlineLevel="0" collapsed="false">
      <c r="A178" s="14" t="str">
        <f aca="false">IF(OR(B178="",C178="",D178="",E178=""),"",UPPER(B178)&amp;TEXT(C178,"00")&amp;"-"&amp;D178&amp;"-"&amp;TEXT(E178,"00"))</f>
        <v/>
      </c>
      <c r="B178" s="12"/>
      <c r="C178" s="12"/>
      <c r="D178" s="12"/>
      <c r="E178" s="12"/>
      <c r="F178" s="16" t="str">
        <f aca="false">IF(B178="","",IFERROR(INDEX(Zones!$B$2:$B$15,MATCH(B178,Zones!$A$2:$A$15,0)),"⚠ zone inconnue"))</f>
        <v/>
      </c>
      <c r="G178" s="12"/>
      <c r="H178" s="12"/>
      <c r="I178" s="12"/>
      <c r="J178" s="12"/>
    </row>
    <row r="179" customFormat="false" ht="15" hidden="false" customHeight="false" outlineLevel="0" collapsed="false">
      <c r="A179" s="14" t="str">
        <f aca="false">IF(OR(B179="",C179="",D179="",E179=""),"",UPPER(B179)&amp;TEXT(C179,"00")&amp;"-"&amp;D179&amp;"-"&amp;TEXT(E179,"00"))</f>
        <v/>
      </c>
      <c r="B179" s="12"/>
      <c r="C179" s="12"/>
      <c r="D179" s="12"/>
      <c r="E179" s="12"/>
      <c r="F179" s="16" t="str">
        <f aca="false">IF(B179="","",IFERROR(INDEX(Zones!$B$2:$B$15,MATCH(B179,Zones!$A$2:$A$15,0)),"⚠ zone inconnue"))</f>
        <v/>
      </c>
      <c r="G179" s="12"/>
      <c r="H179" s="12"/>
      <c r="I179" s="12"/>
      <c r="J179" s="12"/>
    </row>
    <row r="180" customFormat="false" ht="15" hidden="false" customHeight="false" outlineLevel="0" collapsed="false">
      <c r="A180" s="14" t="str">
        <f aca="false">IF(OR(B180="",C180="",D180="",E180=""),"",UPPER(B180)&amp;TEXT(C180,"00")&amp;"-"&amp;D180&amp;"-"&amp;TEXT(E180,"00"))</f>
        <v/>
      </c>
      <c r="B180" s="12"/>
      <c r="C180" s="12"/>
      <c r="D180" s="12"/>
      <c r="E180" s="12"/>
      <c r="F180" s="16" t="str">
        <f aca="false">IF(B180="","",IFERROR(INDEX(Zones!$B$2:$B$15,MATCH(B180,Zones!$A$2:$A$15,0)),"⚠ zone inconnue"))</f>
        <v/>
      </c>
      <c r="G180" s="12"/>
      <c r="H180" s="12"/>
      <c r="I180" s="12"/>
      <c r="J180" s="12"/>
    </row>
    <row r="181" customFormat="false" ht="15" hidden="false" customHeight="false" outlineLevel="0" collapsed="false">
      <c r="A181" s="14" t="str">
        <f aca="false">IF(OR(B181="",C181="",D181="",E181=""),"",UPPER(B181)&amp;TEXT(C181,"00")&amp;"-"&amp;D181&amp;"-"&amp;TEXT(E181,"00"))</f>
        <v/>
      </c>
      <c r="B181" s="12"/>
      <c r="C181" s="12"/>
      <c r="D181" s="12"/>
      <c r="E181" s="12"/>
      <c r="F181" s="16" t="str">
        <f aca="false">IF(B181="","",IFERROR(INDEX(Zones!$B$2:$B$15,MATCH(B181,Zones!$A$2:$A$15,0)),"⚠ zone inconnue"))</f>
        <v/>
      </c>
      <c r="G181" s="12"/>
      <c r="H181" s="12"/>
      <c r="I181" s="12"/>
      <c r="J181" s="12"/>
    </row>
    <row r="182" customFormat="false" ht="15" hidden="false" customHeight="false" outlineLevel="0" collapsed="false">
      <c r="A182" s="14" t="str">
        <f aca="false">IF(OR(B182="",C182="",D182="",E182=""),"",UPPER(B182)&amp;TEXT(C182,"00")&amp;"-"&amp;D182&amp;"-"&amp;TEXT(E182,"00"))</f>
        <v/>
      </c>
      <c r="B182" s="12"/>
      <c r="C182" s="12"/>
      <c r="D182" s="12"/>
      <c r="E182" s="12"/>
      <c r="F182" s="16" t="str">
        <f aca="false">IF(B182="","",IFERROR(INDEX(Zones!$B$2:$B$15,MATCH(B182,Zones!$A$2:$A$15,0)),"⚠ zone inconnue"))</f>
        <v/>
      </c>
      <c r="G182" s="12"/>
      <c r="H182" s="12"/>
      <c r="I182" s="12"/>
      <c r="J182" s="12"/>
    </row>
    <row r="183" customFormat="false" ht="15" hidden="false" customHeight="false" outlineLevel="0" collapsed="false">
      <c r="A183" s="14" t="str">
        <f aca="false">IF(OR(B183="",C183="",D183="",E183=""),"",UPPER(B183)&amp;TEXT(C183,"00")&amp;"-"&amp;D183&amp;"-"&amp;TEXT(E183,"00"))</f>
        <v/>
      </c>
      <c r="B183" s="12"/>
      <c r="C183" s="12"/>
      <c r="D183" s="12"/>
      <c r="E183" s="12"/>
      <c r="F183" s="16" t="str">
        <f aca="false">IF(B183="","",IFERROR(INDEX(Zones!$B$2:$B$15,MATCH(B183,Zones!$A$2:$A$15,0)),"⚠ zone inconnue"))</f>
        <v/>
      </c>
      <c r="G183" s="12"/>
      <c r="H183" s="12"/>
      <c r="I183" s="12"/>
      <c r="J183" s="12"/>
    </row>
    <row r="184" customFormat="false" ht="15" hidden="false" customHeight="false" outlineLevel="0" collapsed="false">
      <c r="A184" s="14" t="str">
        <f aca="false">IF(OR(B184="",C184="",D184="",E184=""),"",UPPER(B184)&amp;TEXT(C184,"00")&amp;"-"&amp;D184&amp;"-"&amp;TEXT(E184,"00"))</f>
        <v/>
      </c>
      <c r="B184" s="12"/>
      <c r="C184" s="12"/>
      <c r="D184" s="12"/>
      <c r="E184" s="12"/>
      <c r="F184" s="16" t="str">
        <f aca="false">IF(B184="","",IFERROR(INDEX(Zones!$B$2:$B$15,MATCH(B184,Zones!$A$2:$A$15,0)),"⚠ zone inconnue"))</f>
        <v/>
      </c>
      <c r="G184" s="12"/>
      <c r="H184" s="12"/>
      <c r="I184" s="12"/>
      <c r="J184" s="12"/>
    </row>
    <row r="185" customFormat="false" ht="15" hidden="false" customHeight="false" outlineLevel="0" collapsed="false">
      <c r="A185" s="14" t="str">
        <f aca="false">IF(OR(B185="",C185="",D185="",E185=""),"",UPPER(B185)&amp;TEXT(C185,"00")&amp;"-"&amp;D185&amp;"-"&amp;TEXT(E185,"00"))</f>
        <v/>
      </c>
      <c r="B185" s="12"/>
      <c r="C185" s="12"/>
      <c r="D185" s="12"/>
      <c r="E185" s="12"/>
      <c r="F185" s="16" t="str">
        <f aca="false">IF(B185="","",IFERROR(INDEX(Zones!$B$2:$B$15,MATCH(B185,Zones!$A$2:$A$15,0)),"⚠ zone inconnue"))</f>
        <v/>
      </c>
      <c r="G185" s="12"/>
      <c r="H185" s="12"/>
      <c r="I185" s="12"/>
      <c r="J185" s="12"/>
    </row>
    <row r="186" customFormat="false" ht="15" hidden="false" customHeight="false" outlineLevel="0" collapsed="false">
      <c r="A186" s="14" t="str">
        <f aca="false">IF(OR(B186="",C186="",D186="",E186=""),"",UPPER(B186)&amp;TEXT(C186,"00")&amp;"-"&amp;D186&amp;"-"&amp;TEXT(E186,"00"))</f>
        <v/>
      </c>
      <c r="B186" s="12"/>
      <c r="C186" s="12"/>
      <c r="D186" s="12"/>
      <c r="E186" s="12"/>
      <c r="F186" s="16" t="str">
        <f aca="false">IF(B186="","",IFERROR(INDEX(Zones!$B$2:$B$15,MATCH(B186,Zones!$A$2:$A$15,0)),"⚠ zone inconnue"))</f>
        <v/>
      </c>
      <c r="G186" s="12"/>
      <c r="H186" s="12"/>
      <c r="I186" s="12"/>
      <c r="J186" s="12"/>
    </row>
    <row r="187" customFormat="false" ht="15" hidden="false" customHeight="false" outlineLevel="0" collapsed="false">
      <c r="A187" s="14" t="str">
        <f aca="false">IF(OR(B187="",C187="",D187="",E187=""),"",UPPER(B187)&amp;TEXT(C187,"00")&amp;"-"&amp;D187&amp;"-"&amp;TEXT(E187,"00"))</f>
        <v/>
      </c>
      <c r="B187" s="12"/>
      <c r="C187" s="12"/>
      <c r="D187" s="12"/>
      <c r="E187" s="12"/>
      <c r="F187" s="16" t="str">
        <f aca="false">IF(B187="","",IFERROR(INDEX(Zones!$B$2:$B$15,MATCH(B187,Zones!$A$2:$A$15,0)),"⚠ zone inconnue"))</f>
        <v/>
      </c>
      <c r="G187" s="12"/>
      <c r="H187" s="12"/>
      <c r="I187" s="12"/>
      <c r="J187" s="12"/>
    </row>
    <row r="188" customFormat="false" ht="15" hidden="false" customHeight="false" outlineLevel="0" collapsed="false">
      <c r="A188" s="14" t="str">
        <f aca="false">IF(OR(B188="",C188="",D188="",E188=""),"",UPPER(B188)&amp;TEXT(C188,"00")&amp;"-"&amp;D188&amp;"-"&amp;TEXT(E188,"00"))</f>
        <v/>
      </c>
      <c r="B188" s="12"/>
      <c r="C188" s="12"/>
      <c r="D188" s="12"/>
      <c r="E188" s="12"/>
      <c r="F188" s="16" t="str">
        <f aca="false">IF(B188="","",IFERROR(INDEX(Zones!$B$2:$B$15,MATCH(B188,Zones!$A$2:$A$15,0)),"⚠ zone inconnue"))</f>
        <v/>
      </c>
      <c r="G188" s="12"/>
      <c r="H188" s="12"/>
      <c r="I188" s="12"/>
      <c r="J188" s="12"/>
    </row>
    <row r="189" customFormat="false" ht="15" hidden="false" customHeight="false" outlineLevel="0" collapsed="false">
      <c r="A189" s="14" t="str">
        <f aca="false">IF(OR(B189="",C189="",D189="",E189=""),"",UPPER(B189)&amp;TEXT(C189,"00")&amp;"-"&amp;D189&amp;"-"&amp;TEXT(E189,"00"))</f>
        <v/>
      </c>
      <c r="B189" s="12"/>
      <c r="C189" s="12"/>
      <c r="D189" s="12"/>
      <c r="E189" s="12"/>
      <c r="F189" s="16" t="str">
        <f aca="false">IF(B189="","",IFERROR(INDEX(Zones!$B$2:$B$15,MATCH(B189,Zones!$A$2:$A$15,0)),"⚠ zone inconnue"))</f>
        <v/>
      </c>
      <c r="G189" s="12"/>
      <c r="H189" s="12"/>
      <c r="I189" s="12"/>
      <c r="J189" s="12"/>
    </row>
    <row r="190" customFormat="false" ht="15" hidden="false" customHeight="false" outlineLevel="0" collapsed="false">
      <c r="A190" s="14" t="str">
        <f aca="false">IF(OR(B190="",C190="",D190="",E190=""),"",UPPER(B190)&amp;TEXT(C190,"00")&amp;"-"&amp;D190&amp;"-"&amp;TEXT(E190,"00"))</f>
        <v/>
      </c>
      <c r="B190" s="12"/>
      <c r="C190" s="12"/>
      <c r="D190" s="12"/>
      <c r="E190" s="12"/>
      <c r="F190" s="16" t="str">
        <f aca="false">IF(B190="","",IFERROR(INDEX(Zones!$B$2:$B$15,MATCH(B190,Zones!$A$2:$A$15,0)),"⚠ zone inconnue"))</f>
        <v/>
      </c>
      <c r="G190" s="12"/>
      <c r="H190" s="12"/>
      <c r="I190" s="12"/>
      <c r="J190" s="12"/>
    </row>
    <row r="191" customFormat="false" ht="15" hidden="false" customHeight="false" outlineLevel="0" collapsed="false">
      <c r="A191" s="14" t="str">
        <f aca="false">IF(OR(B191="",C191="",D191="",E191=""),"",UPPER(B191)&amp;TEXT(C191,"00")&amp;"-"&amp;D191&amp;"-"&amp;TEXT(E191,"00"))</f>
        <v/>
      </c>
      <c r="B191" s="12"/>
      <c r="C191" s="12"/>
      <c r="D191" s="12"/>
      <c r="E191" s="12"/>
      <c r="F191" s="16" t="str">
        <f aca="false">IF(B191="","",IFERROR(INDEX(Zones!$B$2:$B$15,MATCH(B191,Zones!$A$2:$A$15,0)),"⚠ zone inconnue"))</f>
        <v/>
      </c>
      <c r="G191" s="12"/>
      <c r="H191" s="12"/>
      <c r="I191" s="12"/>
      <c r="J191" s="12"/>
    </row>
    <row r="192" customFormat="false" ht="15" hidden="false" customHeight="false" outlineLevel="0" collapsed="false">
      <c r="A192" s="14" t="str">
        <f aca="false">IF(OR(B192="",C192="",D192="",E192=""),"",UPPER(B192)&amp;TEXT(C192,"00")&amp;"-"&amp;D192&amp;"-"&amp;TEXT(E192,"00"))</f>
        <v/>
      </c>
      <c r="B192" s="12"/>
      <c r="C192" s="12"/>
      <c r="D192" s="12"/>
      <c r="E192" s="12"/>
      <c r="F192" s="16" t="str">
        <f aca="false">IF(B192="","",IFERROR(INDEX(Zones!$B$2:$B$15,MATCH(B192,Zones!$A$2:$A$15,0)),"⚠ zone inconnue"))</f>
        <v/>
      </c>
      <c r="G192" s="12"/>
      <c r="H192" s="12"/>
      <c r="I192" s="12"/>
      <c r="J192" s="12"/>
    </row>
    <row r="193" customFormat="false" ht="15" hidden="false" customHeight="false" outlineLevel="0" collapsed="false">
      <c r="A193" s="14" t="str">
        <f aca="false">IF(OR(B193="",C193="",D193="",E193=""),"",UPPER(B193)&amp;TEXT(C193,"00")&amp;"-"&amp;D193&amp;"-"&amp;TEXT(E193,"00"))</f>
        <v/>
      </c>
      <c r="B193" s="12"/>
      <c r="C193" s="12"/>
      <c r="D193" s="12"/>
      <c r="E193" s="12"/>
      <c r="F193" s="16" t="str">
        <f aca="false">IF(B193="","",IFERROR(INDEX(Zones!$B$2:$B$15,MATCH(B193,Zones!$A$2:$A$15,0)),"⚠ zone inconnue"))</f>
        <v/>
      </c>
      <c r="G193" s="12"/>
      <c r="H193" s="12"/>
      <c r="I193" s="12"/>
      <c r="J193" s="12"/>
    </row>
    <row r="194" customFormat="false" ht="15" hidden="false" customHeight="false" outlineLevel="0" collapsed="false">
      <c r="A194" s="14" t="str">
        <f aca="false">IF(OR(B194="",C194="",D194="",E194=""),"",UPPER(B194)&amp;TEXT(C194,"00")&amp;"-"&amp;D194&amp;"-"&amp;TEXT(E194,"00"))</f>
        <v/>
      </c>
      <c r="B194" s="12"/>
      <c r="C194" s="12"/>
      <c r="D194" s="12"/>
      <c r="E194" s="12"/>
      <c r="F194" s="16" t="str">
        <f aca="false">IF(B194="","",IFERROR(INDEX(Zones!$B$2:$B$15,MATCH(B194,Zones!$A$2:$A$15,0)),"⚠ zone inconnue"))</f>
        <v/>
      </c>
      <c r="G194" s="12"/>
      <c r="H194" s="12"/>
      <c r="I194" s="12"/>
      <c r="J194" s="12"/>
    </row>
    <row r="195" customFormat="false" ht="15" hidden="false" customHeight="false" outlineLevel="0" collapsed="false">
      <c r="A195" s="14" t="str">
        <f aca="false">IF(OR(B195="",C195="",D195="",E195=""),"",UPPER(B195)&amp;TEXT(C195,"00")&amp;"-"&amp;D195&amp;"-"&amp;TEXT(E195,"00"))</f>
        <v/>
      </c>
      <c r="B195" s="12"/>
      <c r="C195" s="12"/>
      <c r="D195" s="12"/>
      <c r="E195" s="12"/>
      <c r="F195" s="16" t="str">
        <f aca="false">IF(B195="","",IFERROR(INDEX(Zones!$B$2:$B$15,MATCH(B195,Zones!$A$2:$A$15,0)),"⚠ zone inconnue"))</f>
        <v/>
      </c>
      <c r="G195" s="12"/>
      <c r="H195" s="12"/>
      <c r="I195" s="12"/>
      <c r="J195" s="12"/>
    </row>
    <row r="196" customFormat="false" ht="15" hidden="false" customHeight="false" outlineLevel="0" collapsed="false">
      <c r="A196" s="14" t="str">
        <f aca="false">IF(OR(B196="",C196="",D196="",E196=""),"",UPPER(B196)&amp;TEXT(C196,"00")&amp;"-"&amp;D196&amp;"-"&amp;TEXT(E196,"00"))</f>
        <v/>
      </c>
      <c r="B196" s="12"/>
      <c r="C196" s="12"/>
      <c r="D196" s="12"/>
      <c r="E196" s="12"/>
      <c r="F196" s="16" t="str">
        <f aca="false">IF(B196="","",IFERROR(INDEX(Zones!$B$2:$B$15,MATCH(B196,Zones!$A$2:$A$15,0)),"⚠ zone inconnue"))</f>
        <v/>
      </c>
      <c r="G196" s="12"/>
      <c r="H196" s="12"/>
      <c r="I196" s="12"/>
      <c r="J196" s="12"/>
    </row>
    <row r="197" customFormat="false" ht="15" hidden="false" customHeight="false" outlineLevel="0" collapsed="false">
      <c r="A197" s="14" t="str">
        <f aca="false">IF(OR(B197="",C197="",D197="",E197=""),"",UPPER(B197)&amp;TEXT(C197,"00")&amp;"-"&amp;D197&amp;"-"&amp;TEXT(E197,"00"))</f>
        <v/>
      </c>
      <c r="B197" s="12"/>
      <c r="C197" s="12"/>
      <c r="D197" s="12"/>
      <c r="E197" s="12"/>
      <c r="F197" s="16" t="str">
        <f aca="false">IF(B197="","",IFERROR(INDEX(Zones!$B$2:$B$15,MATCH(B197,Zones!$A$2:$A$15,0)),"⚠ zone inconnue"))</f>
        <v/>
      </c>
      <c r="G197" s="12"/>
      <c r="H197" s="12"/>
      <c r="I197" s="12"/>
      <c r="J197" s="12"/>
    </row>
    <row r="198" customFormat="false" ht="15" hidden="false" customHeight="false" outlineLevel="0" collapsed="false">
      <c r="A198" s="14" t="str">
        <f aca="false">IF(OR(B198="",C198="",D198="",E198=""),"",UPPER(B198)&amp;TEXT(C198,"00")&amp;"-"&amp;D198&amp;"-"&amp;TEXT(E198,"00"))</f>
        <v/>
      </c>
      <c r="B198" s="12"/>
      <c r="C198" s="12"/>
      <c r="D198" s="12"/>
      <c r="E198" s="12"/>
      <c r="F198" s="16" t="str">
        <f aca="false">IF(B198="","",IFERROR(INDEX(Zones!$B$2:$B$15,MATCH(B198,Zones!$A$2:$A$15,0)),"⚠ zone inconnue"))</f>
        <v/>
      </c>
      <c r="G198" s="12"/>
      <c r="H198" s="12"/>
      <c r="I198" s="12"/>
      <c r="J198" s="12"/>
    </row>
    <row r="199" customFormat="false" ht="15" hidden="false" customHeight="false" outlineLevel="0" collapsed="false">
      <c r="A199" s="14" t="str">
        <f aca="false">IF(OR(B199="",C199="",D199="",E199=""),"",UPPER(B199)&amp;TEXT(C199,"00")&amp;"-"&amp;D199&amp;"-"&amp;TEXT(E199,"00"))</f>
        <v/>
      </c>
      <c r="B199" s="12"/>
      <c r="C199" s="12"/>
      <c r="D199" s="12"/>
      <c r="E199" s="12"/>
      <c r="F199" s="16" t="str">
        <f aca="false">IF(B199="","",IFERROR(INDEX(Zones!$B$2:$B$15,MATCH(B199,Zones!$A$2:$A$15,0)),"⚠ zone inconnue"))</f>
        <v/>
      </c>
      <c r="G199" s="12"/>
      <c r="H199" s="12"/>
      <c r="I199" s="12"/>
      <c r="J199" s="12"/>
    </row>
    <row r="200" customFormat="false" ht="15" hidden="false" customHeight="false" outlineLevel="0" collapsed="false">
      <c r="A200" s="14" t="str">
        <f aca="false">IF(OR(B200="",C200="",D200="",E200=""),"",UPPER(B200)&amp;TEXT(C200,"00")&amp;"-"&amp;D200&amp;"-"&amp;TEXT(E200,"00"))</f>
        <v/>
      </c>
      <c r="B200" s="12"/>
      <c r="C200" s="12"/>
      <c r="D200" s="12"/>
      <c r="E200" s="12"/>
      <c r="F200" s="16" t="str">
        <f aca="false">IF(B200="","",IFERROR(INDEX(Zones!$B$2:$B$15,MATCH(B200,Zones!$A$2:$A$15,0)),"⚠ zone inconnue"))</f>
        <v/>
      </c>
      <c r="G200" s="12"/>
      <c r="H200" s="12"/>
      <c r="I200" s="12"/>
      <c r="J200" s="12"/>
    </row>
    <row r="201" customFormat="false" ht="15" hidden="false" customHeight="false" outlineLevel="0" collapsed="false">
      <c r="A201" s="14" t="str">
        <f aca="false">IF(OR(B201="",C201="",D201="",E201=""),"",UPPER(B201)&amp;TEXT(C201,"00")&amp;"-"&amp;D201&amp;"-"&amp;TEXT(E201,"00"))</f>
        <v/>
      </c>
      <c r="B201" s="12"/>
      <c r="C201" s="12"/>
      <c r="D201" s="12"/>
      <c r="E201" s="12"/>
      <c r="F201" s="16" t="str">
        <f aca="false">IF(B201="","",IFERROR(INDEX(Zones!$B$2:$B$15,MATCH(B201,Zones!$A$2:$A$15,0)),"⚠ zone inconnue"))</f>
        <v/>
      </c>
      <c r="G201" s="12"/>
      <c r="H201" s="12"/>
      <c r="I201" s="12"/>
      <c r="J201" s="12"/>
    </row>
    <row r="202" customFormat="false" ht="15" hidden="false" customHeight="false" outlineLevel="0" collapsed="false">
      <c r="A202" s="14" t="str">
        <f aca="false">IF(OR(B202="",C202="",D202="",E202=""),"",UPPER(B202)&amp;TEXT(C202,"00")&amp;"-"&amp;D202&amp;"-"&amp;TEXT(E202,"00"))</f>
        <v/>
      </c>
      <c r="B202" s="12"/>
      <c r="C202" s="12"/>
      <c r="D202" s="12"/>
      <c r="E202" s="12"/>
      <c r="F202" s="16" t="str">
        <f aca="false">IF(B202="","",IFERROR(INDEX(Zones!$B$2:$B$15,MATCH(B202,Zones!$A$2:$A$15,0)),"⚠ zone inconnue"))</f>
        <v/>
      </c>
      <c r="G202" s="12"/>
      <c r="H202" s="12"/>
      <c r="I202" s="12"/>
      <c r="J202" s="12"/>
    </row>
    <row r="203" customFormat="false" ht="15" hidden="false" customHeight="false" outlineLevel="0" collapsed="false">
      <c r="A203" s="14" t="str">
        <f aca="false">IF(OR(B203="",C203="",D203="",E203=""),"",UPPER(B203)&amp;TEXT(C203,"00")&amp;"-"&amp;D203&amp;"-"&amp;TEXT(E203,"00"))</f>
        <v/>
      </c>
      <c r="B203" s="12"/>
      <c r="C203" s="12"/>
      <c r="D203" s="12"/>
      <c r="E203" s="12"/>
      <c r="F203" s="16" t="str">
        <f aca="false">IF(B203="","",IFERROR(INDEX(Zones!$B$2:$B$15,MATCH(B203,Zones!$A$2:$A$15,0)),"⚠ zone inconnue"))</f>
        <v/>
      </c>
      <c r="G203" s="12"/>
      <c r="H203" s="12"/>
      <c r="I203" s="12"/>
      <c r="J203" s="12"/>
    </row>
    <row r="204" customFormat="false" ht="15" hidden="false" customHeight="false" outlineLevel="0" collapsed="false">
      <c r="A204" s="14" t="str">
        <f aca="false">IF(OR(B204="",C204="",D204="",E204=""),"",UPPER(B204)&amp;TEXT(C204,"00")&amp;"-"&amp;D204&amp;"-"&amp;TEXT(E204,"00"))</f>
        <v/>
      </c>
      <c r="B204" s="12"/>
      <c r="C204" s="12"/>
      <c r="D204" s="12"/>
      <c r="E204" s="12"/>
      <c r="F204" s="16" t="str">
        <f aca="false">IF(B204="","",IFERROR(INDEX(Zones!$B$2:$B$15,MATCH(B204,Zones!$A$2:$A$15,0)),"⚠ zone inconnue"))</f>
        <v/>
      </c>
      <c r="G204" s="12"/>
      <c r="H204" s="12"/>
      <c r="I204" s="12"/>
      <c r="J204" s="12"/>
    </row>
    <row r="205" customFormat="false" ht="15" hidden="false" customHeight="false" outlineLevel="0" collapsed="false">
      <c r="A205" s="14" t="str">
        <f aca="false">IF(OR(B205="",C205="",D205="",E205=""),"",UPPER(B205)&amp;TEXT(C205,"00")&amp;"-"&amp;D205&amp;"-"&amp;TEXT(E205,"00"))</f>
        <v/>
      </c>
      <c r="B205" s="12"/>
      <c r="C205" s="12"/>
      <c r="D205" s="12"/>
      <c r="E205" s="12"/>
      <c r="F205" s="16" t="str">
        <f aca="false">IF(B205="","",IFERROR(INDEX(Zones!$B$2:$B$15,MATCH(B205,Zones!$A$2:$A$15,0)),"⚠ zone inconnue"))</f>
        <v/>
      </c>
      <c r="G205" s="12"/>
      <c r="H205" s="12"/>
      <c r="I205" s="12"/>
      <c r="J205" s="12"/>
    </row>
    <row r="206" customFormat="false" ht="15" hidden="false" customHeight="false" outlineLevel="0" collapsed="false">
      <c r="A206" s="14" t="str">
        <f aca="false">IF(OR(B206="",C206="",D206="",E206=""),"",UPPER(B206)&amp;TEXT(C206,"00")&amp;"-"&amp;D206&amp;"-"&amp;TEXT(E206,"00"))</f>
        <v/>
      </c>
      <c r="B206" s="12"/>
      <c r="C206" s="12"/>
      <c r="D206" s="12"/>
      <c r="E206" s="12"/>
      <c r="F206" s="16" t="str">
        <f aca="false">IF(B206="","",IFERROR(INDEX(Zones!$B$2:$B$15,MATCH(B206,Zones!$A$2:$A$15,0)),"⚠ zone inconnue"))</f>
        <v/>
      </c>
      <c r="G206" s="12"/>
      <c r="H206" s="12"/>
      <c r="I206" s="12"/>
      <c r="J206" s="12"/>
    </row>
    <row r="207" customFormat="false" ht="15" hidden="false" customHeight="false" outlineLevel="0" collapsed="false">
      <c r="A207" s="14" t="str">
        <f aca="false">IF(OR(B207="",C207="",D207="",E207=""),"",UPPER(B207)&amp;TEXT(C207,"00")&amp;"-"&amp;D207&amp;"-"&amp;TEXT(E207,"00"))</f>
        <v/>
      </c>
      <c r="B207" s="12"/>
      <c r="C207" s="12"/>
      <c r="D207" s="12"/>
      <c r="E207" s="12"/>
      <c r="F207" s="16" t="str">
        <f aca="false">IF(B207="","",IFERROR(INDEX(Zones!$B$2:$B$15,MATCH(B207,Zones!$A$2:$A$15,0)),"⚠ zone inconnue"))</f>
        <v/>
      </c>
      <c r="G207" s="12"/>
      <c r="H207" s="12"/>
      <c r="I207" s="12"/>
      <c r="J207" s="12"/>
    </row>
    <row r="208" customFormat="false" ht="15" hidden="false" customHeight="false" outlineLevel="0" collapsed="false">
      <c r="A208" s="14" t="str">
        <f aca="false">IF(OR(B208="",C208="",D208="",E208=""),"",UPPER(B208)&amp;TEXT(C208,"00")&amp;"-"&amp;D208&amp;"-"&amp;TEXT(E208,"00"))</f>
        <v/>
      </c>
      <c r="B208" s="12"/>
      <c r="C208" s="12"/>
      <c r="D208" s="12"/>
      <c r="E208" s="12"/>
      <c r="F208" s="16" t="str">
        <f aca="false">IF(B208="","",IFERROR(INDEX(Zones!$B$2:$B$15,MATCH(B208,Zones!$A$2:$A$15,0)),"⚠ zone inconnue"))</f>
        <v/>
      </c>
      <c r="G208" s="12"/>
      <c r="H208" s="12"/>
      <c r="I208" s="12"/>
      <c r="J208" s="12"/>
    </row>
    <row r="209" customFormat="false" ht="15" hidden="false" customHeight="false" outlineLevel="0" collapsed="false">
      <c r="A209" s="14" t="str">
        <f aca="false">IF(OR(B209="",C209="",D209="",E209=""),"",UPPER(B209)&amp;TEXT(C209,"00")&amp;"-"&amp;D209&amp;"-"&amp;TEXT(E209,"00"))</f>
        <v/>
      </c>
      <c r="B209" s="12"/>
      <c r="C209" s="12"/>
      <c r="D209" s="12"/>
      <c r="E209" s="12"/>
      <c r="F209" s="16" t="str">
        <f aca="false">IF(B209="","",IFERROR(INDEX(Zones!$B$2:$B$15,MATCH(B209,Zones!$A$2:$A$15,0)),"⚠ zone inconnue"))</f>
        <v/>
      </c>
      <c r="G209" s="12"/>
      <c r="H209" s="12"/>
      <c r="I209" s="12"/>
      <c r="J209" s="12"/>
    </row>
    <row r="210" customFormat="false" ht="15" hidden="false" customHeight="false" outlineLevel="0" collapsed="false">
      <c r="A210" s="14" t="str">
        <f aca="false">IF(OR(B210="",C210="",D210="",E210=""),"",UPPER(B210)&amp;TEXT(C210,"00")&amp;"-"&amp;D210&amp;"-"&amp;TEXT(E210,"00"))</f>
        <v/>
      </c>
      <c r="B210" s="12"/>
      <c r="C210" s="12"/>
      <c r="D210" s="12"/>
      <c r="E210" s="12"/>
      <c r="F210" s="16" t="str">
        <f aca="false">IF(B210="","",IFERROR(INDEX(Zones!$B$2:$B$15,MATCH(B210,Zones!$A$2:$A$15,0)),"⚠ zone inconnue"))</f>
        <v/>
      </c>
      <c r="G210" s="12"/>
      <c r="H210" s="12"/>
      <c r="I210" s="12"/>
      <c r="J210" s="12"/>
    </row>
    <row r="211" customFormat="false" ht="15" hidden="false" customHeight="false" outlineLevel="0" collapsed="false">
      <c r="A211" s="14" t="str">
        <f aca="false">IF(OR(B211="",C211="",D211="",E211=""),"",UPPER(B211)&amp;TEXT(C211,"00")&amp;"-"&amp;D211&amp;"-"&amp;TEXT(E211,"00"))</f>
        <v/>
      </c>
      <c r="B211" s="12"/>
      <c r="C211" s="12"/>
      <c r="D211" s="12"/>
      <c r="E211" s="12"/>
      <c r="F211" s="16" t="str">
        <f aca="false">IF(B211="","",IFERROR(INDEX(Zones!$B$2:$B$15,MATCH(B211,Zones!$A$2:$A$15,0)),"⚠ zone inconnue"))</f>
        <v/>
      </c>
      <c r="G211" s="12"/>
      <c r="H211" s="12"/>
      <c r="I211" s="12"/>
      <c r="J211" s="12"/>
    </row>
    <row r="212" customFormat="false" ht="15" hidden="false" customHeight="false" outlineLevel="0" collapsed="false">
      <c r="A212" s="14" t="str">
        <f aca="false">IF(OR(B212="",C212="",D212="",E212=""),"",UPPER(B212)&amp;TEXT(C212,"00")&amp;"-"&amp;D212&amp;"-"&amp;TEXT(E212,"00"))</f>
        <v/>
      </c>
      <c r="B212" s="12"/>
      <c r="C212" s="12"/>
      <c r="D212" s="12"/>
      <c r="E212" s="12"/>
      <c r="F212" s="16" t="str">
        <f aca="false">IF(B212="","",IFERROR(INDEX(Zones!$B$2:$B$15,MATCH(B212,Zones!$A$2:$A$15,0)),"⚠ zone inconnue"))</f>
        <v/>
      </c>
      <c r="G212" s="12"/>
      <c r="H212" s="12"/>
      <c r="I212" s="12"/>
      <c r="J212" s="12"/>
    </row>
    <row r="213" customFormat="false" ht="15" hidden="false" customHeight="false" outlineLevel="0" collapsed="false">
      <c r="A213" s="14" t="str">
        <f aca="false">IF(OR(B213="",C213="",D213="",E213=""),"",UPPER(B213)&amp;TEXT(C213,"00")&amp;"-"&amp;D213&amp;"-"&amp;TEXT(E213,"00"))</f>
        <v/>
      </c>
      <c r="B213" s="12"/>
      <c r="C213" s="12"/>
      <c r="D213" s="12"/>
      <c r="E213" s="12"/>
      <c r="F213" s="16" t="str">
        <f aca="false">IF(B213="","",IFERROR(INDEX(Zones!$B$2:$B$15,MATCH(B213,Zones!$A$2:$A$15,0)),"⚠ zone inconnue"))</f>
        <v/>
      </c>
      <c r="G213" s="12"/>
      <c r="H213" s="12"/>
      <c r="I213" s="12"/>
      <c r="J213" s="12"/>
    </row>
    <row r="214" customFormat="false" ht="15" hidden="false" customHeight="false" outlineLevel="0" collapsed="false">
      <c r="A214" s="14" t="str">
        <f aca="false">IF(OR(B214="",C214="",D214="",E214=""),"",UPPER(B214)&amp;TEXT(C214,"00")&amp;"-"&amp;D214&amp;"-"&amp;TEXT(E214,"00"))</f>
        <v/>
      </c>
      <c r="B214" s="12"/>
      <c r="C214" s="12"/>
      <c r="D214" s="12"/>
      <c r="E214" s="12"/>
      <c r="F214" s="16" t="str">
        <f aca="false">IF(B214="","",IFERROR(INDEX(Zones!$B$2:$B$15,MATCH(B214,Zones!$A$2:$A$15,0)),"⚠ zone inconnue"))</f>
        <v/>
      </c>
      <c r="G214" s="12"/>
      <c r="H214" s="12"/>
      <c r="I214" s="12"/>
      <c r="J214" s="12"/>
    </row>
    <row r="215" customFormat="false" ht="15" hidden="false" customHeight="false" outlineLevel="0" collapsed="false">
      <c r="A215" s="14" t="str">
        <f aca="false">IF(OR(B215="",C215="",D215="",E215=""),"",UPPER(B215)&amp;TEXT(C215,"00")&amp;"-"&amp;D215&amp;"-"&amp;TEXT(E215,"00"))</f>
        <v/>
      </c>
      <c r="B215" s="12"/>
      <c r="C215" s="12"/>
      <c r="D215" s="12"/>
      <c r="E215" s="12"/>
      <c r="F215" s="16" t="str">
        <f aca="false">IF(B215="","",IFERROR(INDEX(Zones!$B$2:$B$15,MATCH(B215,Zones!$A$2:$A$15,0)),"⚠ zone inconnue"))</f>
        <v/>
      </c>
      <c r="G215" s="12"/>
      <c r="H215" s="12"/>
      <c r="I215" s="12"/>
      <c r="J215" s="12"/>
    </row>
    <row r="216" customFormat="false" ht="15" hidden="false" customHeight="false" outlineLevel="0" collapsed="false">
      <c r="A216" s="14" t="str">
        <f aca="false">IF(OR(B216="",C216="",D216="",E216=""),"",UPPER(B216)&amp;TEXT(C216,"00")&amp;"-"&amp;D216&amp;"-"&amp;TEXT(E216,"00"))</f>
        <v/>
      </c>
      <c r="B216" s="12"/>
      <c r="C216" s="12"/>
      <c r="D216" s="12"/>
      <c r="E216" s="12"/>
      <c r="F216" s="16" t="str">
        <f aca="false">IF(B216="","",IFERROR(INDEX(Zones!$B$2:$B$15,MATCH(B216,Zones!$A$2:$A$15,0)),"⚠ zone inconnue"))</f>
        <v/>
      </c>
      <c r="G216" s="12"/>
      <c r="H216" s="12"/>
      <c r="I216" s="12"/>
      <c r="J216" s="12"/>
    </row>
    <row r="217" customFormat="false" ht="15" hidden="false" customHeight="false" outlineLevel="0" collapsed="false">
      <c r="A217" s="14" t="str">
        <f aca="false">IF(OR(B217="",C217="",D217="",E217=""),"",UPPER(B217)&amp;TEXT(C217,"00")&amp;"-"&amp;D217&amp;"-"&amp;TEXT(E217,"00"))</f>
        <v/>
      </c>
      <c r="B217" s="12"/>
      <c r="C217" s="12"/>
      <c r="D217" s="12"/>
      <c r="E217" s="12"/>
      <c r="F217" s="16" t="str">
        <f aca="false">IF(B217="","",IFERROR(INDEX(Zones!$B$2:$B$15,MATCH(B217,Zones!$A$2:$A$15,0)),"⚠ zone inconnue"))</f>
        <v/>
      </c>
      <c r="G217" s="12"/>
      <c r="H217" s="12"/>
      <c r="I217" s="12"/>
      <c r="J217" s="12"/>
    </row>
    <row r="218" customFormat="false" ht="15" hidden="false" customHeight="false" outlineLevel="0" collapsed="false">
      <c r="A218" s="14" t="str">
        <f aca="false">IF(OR(B218="",C218="",D218="",E218=""),"",UPPER(B218)&amp;TEXT(C218,"00")&amp;"-"&amp;D218&amp;"-"&amp;TEXT(E218,"00"))</f>
        <v/>
      </c>
      <c r="B218" s="12"/>
      <c r="C218" s="12"/>
      <c r="D218" s="12"/>
      <c r="E218" s="12"/>
      <c r="F218" s="16" t="str">
        <f aca="false">IF(B218="","",IFERROR(INDEX(Zones!$B$2:$B$15,MATCH(B218,Zones!$A$2:$A$15,0)),"⚠ zone inconnue"))</f>
        <v/>
      </c>
      <c r="G218" s="12"/>
      <c r="H218" s="12"/>
      <c r="I218" s="12"/>
      <c r="J218" s="12"/>
    </row>
    <row r="219" customFormat="false" ht="15" hidden="false" customHeight="false" outlineLevel="0" collapsed="false">
      <c r="A219" s="14" t="str">
        <f aca="false">IF(OR(B219="",C219="",D219="",E219=""),"",UPPER(B219)&amp;TEXT(C219,"00")&amp;"-"&amp;D219&amp;"-"&amp;TEXT(E219,"00"))</f>
        <v/>
      </c>
      <c r="B219" s="12"/>
      <c r="C219" s="12"/>
      <c r="D219" s="12"/>
      <c r="E219" s="12"/>
      <c r="F219" s="16" t="str">
        <f aca="false">IF(B219="","",IFERROR(INDEX(Zones!$B$2:$B$15,MATCH(B219,Zones!$A$2:$A$15,0)),"⚠ zone inconnue"))</f>
        <v/>
      </c>
      <c r="G219" s="12"/>
      <c r="H219" s="12"/>
      <c r="I219" s="12"/>
      <c r="J219" s="12"/>
    </row>
    <row r="220" customFormat="false" ht="15" hidden="false" customHeight="false" outlineLevel="0" collapsed="false">
      <c r="A220" s="14" t="str">
        <f aca="false">IF(OR(B220="",C220="",D220="",E220=""),"",UPPER(B220)&amp;TEXT(C220,"00")&amp;"-"&amp;D220&amp;"-"&amp;TEXT(E220,"00"))</f>
        <v/>
      </c>
      <c r="B220" s="12"/>
      <c r="C220" s="12"/>
      <c r="D220" s="12"/>
      <c r="E220" s="12"/>
      <c r="F220" s="16" t="str">
        <f aca="false">IF(B220="","",IFERROR(INDEX(Zones!$B$2:$B$15,MATCH(B220,Zones!$A$2:$A$15,0)),"⚠ zone inconnue"))</f>
        <v/>
      </c>
      <c r="G220" s="12"/>
      <c r="H220" s="12"/>
      <c r="I220" s="12"/>
      <c r="J220" s="12"/>
    </row>
    <row r="221" customFormat="false" ht="15" hidden="false" customHeight="false" outlineLevel="0" collapsed="false">
      <c r="A221" s="14" t="str">
        <f aca="false">IF(OR(B221="",C221="",D221="",E221=""),"",UPPER(B221)&amp;TEXT(C221,"00")&amp;"-"&amp;D221&amp;"-"&amp;TEXT(E221,"00"))</f>
        <v/>
      </c>
      <c r="B221" s="12"/>
      <c r="C221" s="12"/>
      <c r="D221" s="12"/>
      <c r="E221" s="12"/>
      <c r="F221" s="16" t="str">
        <f aca="false">IF(B221="","",IFERROR(INDEX(Zones!$B$2:$B$15,MATCH(B221,Zones!$A$2:$A$15,0)),"⚠ zone inconnue"))</f>
        <v/>
      </c>
      <c r="G221" s="12"/>
      <c r="H221" s="12"/>
      <c r="I221" s="12"/>
      <c r="J221" s="12"/>
    </row>
    <row r="222" customFormat="false" ht="15" hidden="false" customHeight="false" outlineLevel="0" collapsed="false">
      <c r="A222" s="14" t="str">
        <f aca="false">IF(OR(B222="",C222="",D222="",E222=""),"",UPPER(B222)&amp;TEXT(C222,"00")&amp;"-"&amp;D222&amp;"-"&amp;TEXT(E222,"00"))</f>
        <v/>
      </c>
      <c r="B222" s="12"/>
      <c r="C222" s="12"/>
      <c r="D222" s="12"/>
      <c r="E222" s="12"/>
      <c r="F222" s="16" t="str">
        <f aca="false">IF(B222="","",IFERROR(INDEX(Zones!$B$2:$B$15,MATCH(B222,Zones!$A$2:$A$15,0)),"⚠ zone inconnue"))</f>
        <v/>
      </c>
      <c r="G222" s="12"/>
      <c r="H222" s="12"/>
      <c r="I222" s="12"/>
      <c r="J222" s="12"/>
    </row>
    <row r="223" customFormat="false" ht="15" hidden="false" customHeight="false" outlineLevel="0" collapsed="false">
      <c r="A223" s="14" t="str">
        <f aca="false">IF(OR(B223="",C223="",D223="",E223=""),"",UPPER(B223)&amp;TEXT(C223,"00")&amp;"-"&amp;D223&amp;"-"&amp;TEXT(E223,"00"))</f>
        <v/>
      </c>
      <c r="B223" s="12"/>
      <c r="C223" s="12"/>
      <c r="D223" s="12"/>
      <c r="E223" s="12"/>
      <c r="F223" s="16" t="str">
        <f aca="false">IF(B223="","",IFERROR(INDEX(Zones!$B$2:$B$15,MATCH(B223,Zones!$A$2:$A$15,0)),"⚠ zone inconnue"))</f>
        <v/>
      </c>
      <c r="G223" s="12"/>
      <c r="H223" s="12"/>
      <c r="I223" s="12"/>
      <c r="J223" s="12"/>
    </row>
    <row r="224" customFormat="false" ht="15" hidden="false" customHeight="false" outlineLevel="0" collapsed="false">
      <c r="A224" s="14" t="str">
        <f aca="false">IF(OR(B224="",C224="",D224="",E224=""),"",UPPER(B224)&amp;TEXT(C224,"00")&amp;"-"&amp;D224&amp;"-"&amp;TEXT(E224,"00"))</f>
        <v/>
      </c>
      <c r="B224" s="12"/>
      <c r="C224" s="12"/>
      <c r="D224" s="12"/>
      <c r="E224" s="12"/>
      <c r="F224" s="16" t="str">
        <f aca="false">IF(B224="","",IFERROR(INDEX(Zones!$B$2:$B$15,MATCH(B224,Zones!$A$2:$A$15,0)),"⚠ zone inconnue"))</f>
        <v/>
      </c>
      <c r="G224" s="12"/>
      <c r="H224" s="12"/>
      <c r="I224" s="12"/>
      <c r="J224" s="12"/>
    </row>
    <row r="225" customFormat="false" ht="15" hidden="false" customHeight="false" outlineLevel="0" collapsed="false">
      <c r="A225" s="14" t="str">
        <f aca="false">IF(OR(B225="",C225="",D225="",E225=""),"",UPPER(B225)&amp;TEXT(C225,"00")&amp;"-"&amp;D225&amp;"-"&amp;TEXT(E225,"00"))</f>
        <v/>
      </c>
      <c r="B225" s="12"/>
      <c r="C225" s="12"/>
      <c r="D225" s="12"/>
      <c r="E225" s="12"/>
      <c r="F225" s="16" t="str">
        <f aca="false">IF(B225="","",IFERROR(INDEX(Zones!$B$2:$B$15,MATCH(B225,Zones!$A$2:$A$15,0)),"⚠ zone inconnue"))</f>
        <v/>
      </c>
      <c r="G225" s="12"/>
      <c r="H225" s="12"/>
      <c r="I225" s="12"/>
      <c r="J225" s="12"/>
    </row>
    <row r="226" customFormat="false" ht="15" hidden="false" customHeight="false" outlineLevel="0" collapsed="false">
      <c r="A226" s="14" t="str">
        <f aca="false">IF(OR(B226="",C226="",D226="",E226=""),"",UPPER(B226)&amp;TEXT(C226,"00")&amp;"-"&amp;D226&amp;"-"&amp;TEXT(E226,"00"))</f>
        <v/>
      </c>
      <c r="B226" s="12"/>
      <c r="C226" s="12"/>
      <c r="D226" s="12"/>
      <c r="E226" s="12"/>
      <c r="F226" s="16" t="str">
        <f aca="false">IF(B226="","",IFERROR(INDEX(Zones!$B$2:$B$15,MATCH(B226,Zones!$A$2:$A$15,0)),"⚠ zone inconnue"))</f>
        <v/>
      </c>
      <c r="G226" s="12"/>
      <c r="H226" s="12"/>
      <c r="I226" s="12"/>
      <c r="J226" s="12"/>
    </row>
    <row r="227" customFormat="false" ht="15" hidden="false" customHeight="false" outlineLevel="0" collapsed="false">
      <c r="A227" s="14" t="str">
        <f aca="false">IF(OR(B227="",C227="",D227="",E227=""),"",UPPER(B227)&amp;TEXT(C227,"00")&amp;"-"&amp;D227&amp;"-"&amp;TEXT(E227,"00"))</f>
        <v/>
      </c>
      <c r="B227" s="12"/>
      <c r="C227" s="12"/>
      <c r="D227" s="12"/>
      <c r="E227" s="12"/>
      <c r="F227" s="16" t="str">
        <f aca="false">IF(B227="","",IFERROR(INDEX(Zones!$B$2:$B$15,MATCH(B227,Zones!$A$2:$A$15,0)),"⚠ zone inconnue"))</f>
        <v/>
      </c>
      <c r="G227" s="12"/>
      <c r="H227" s="12"/>
      <c r="I227" s="12"/>
      <c r="J227" s="12"/>
    </row>
    <row r="228" customFormat="false" ht="15" hidden="false" customHeight="false" outlineLevel="0" collapsed="false">
      <c r="A228" s="14" t="str">
        <f aca="false">IF(OR(B228="",C228="",D228="",E228=""),"",UPPER(B228)&amp;TEXT(C228,"00")&amp;"-"&amp;D228&amp;"-"&amp;TEXT(E228,"00"))</f>
        <v/>
      </c>
      <c r="B228" s="12"/>
      <c r="C228" s="12"/>
      <c r="D228" s="12"/>
      <c r="E228" s="12"/>
      <c r="F228" s="16" t="str">
        <f aca="false">IF(B228="","",IFERROR(INDEX(Zones!$B$2:$B$15,MATCH(B228,Zones!$A$2:$A$15,0)),"⚠ zone inconnue"))</f>
        <v/>
      </c>
      <c r="G228" s="12"/>
      <c r="H228" s="12"/>
      <c r="I228" s="12"/>
      <c r="J228" s="12"/>
    </row>
    <row r="229" customFormat="false" ht="15" hidden="false" customHeight="false" outlineLevel="0" collapsed="false">
      <c r="A229" s="14" t="str">
        <f aca="false">IF(OR(B229="",C229="",D229="",E229=""),"",UPPER(B229)&amp;TEXT(C229,"00")&amp;"-"&amp;D229&amp;"-"&amp;TEXT(E229,"00"))</f>
        <v/>
      </c>
      <c r="B229" s="12"/>
      <c r="C229" s="12"/>
      <c r="D229" s="12"/>
      <c r="E229" s="12"/>
      <c r="F229" s="16" t="str">
        <f aca="false">IF(B229="","",IFERROR(INDEX(Zones!$B$2:$B$15,MATCH(B229,Zones!$A$2:$A$15,0)),"⚠ zone inconnue"))</f>
        <v/>
      </c>
      <c r="G229" s="12"/>
      <c r="H229" s="12"/>
      <c r="I229" s="12"/>
      <c r="J229" s="12"/>
    </row>
    <row r="230" customFormat="false" ht="15" hidden="false" customHeight="false" outlineLevel="0" collapsed="false">
      <c r="A230" s="14" t="str">
        <f aca="false">IF(OR(B230="",C230="",D230="",E230=""),"",UPPER(B230)&amp;TEXT(C230,"00")&amp;"-"&amp;D230&amp;"-"&amp;TEXT(E230,"00"))</f>
        <v/>
      </c>
      <c r="B230" s="12"/>
      <c r="C230" s="12"/>
      <c r="D230" s="12"/>
      <c r="E230" s="12"/>
      <c r="F230" s="16" t="str">
        <f aca="false">IF(B230="","",IFERROR(INDEX(Zones!$B$2:$B$15,MATCH(B230,Zones!$A$2:$A$15,0)),"⚠ zone inconnue"))</f>
        <v/>
      </c>
      <c r="G230" s="12"/>
      <c r="H230" s="12"/>
      <c r="I230" s="12"/>
      <c r="J230" s="12"/>
    </row>
    <row r="231" customFormat="false" ht="15" hidden="false" customHeight="false" outlineLevel="0" collapsed="false">
      <c r="A231" s="14" t="str">
        <f aca="false">IF(OR(B231="",C231="",D231="",E231=""),"",UPPER(B231)&amp;TEXT(C231,"00")&amp;"-"&amp;D231&amp;"-"&amp;TEXT(E231,"00"))</f>
        <v/>
      </c>
      <c r="B231" s="12"/>
      <c r="C231" s="12"/>
      <c r="D231" s="12"/>
      <c r="E231" s="12"/>
      <c r="F231" s="16" t="str">
        <f aca="false">IF(B231="","",IFERROR(INDEX(Zones!$B$2:$B$15,MATCH(B231,Zones!$A$2:$A$15,0)),"⚠ zone inconnue"))</f>
        <v/>
      </c>
      <c r="G231" s="12"/>
      <c r="H231" s="12"/>
      <c r="I231" s="12"/>
      <c r="J231" s="12"/>
    </row>
    <row r="232" customFormat="false" ht="15" hidden="false" customHeight="false" outlineLevel="0" collapsed="false">
      <c r="A232" s="14" t="str">
        <f aca="false">IF(OR(B232="",C232="",D232="",E232=""),"",UPPER(B232)&amp;TEXT(C232,"00")&amp;"-"&amp;D232&amp;"-"&amp;TEXT(E232,"00"))</f>
        <v/>
      </c>
      <c r="B232" s="12"/>
      <c r="C232" s="12"/>
      <c r="D232" s="12"/>
      <c r="E232" s="12"/>
      <c r="F232" s="16" t="str">
        <f aca="false">IF(B232="","",IFERROR(INDEX(Zones!$B$2:$B$15,MATCH(B232,Zones!$A$2:$A$15,0)),"⚠ zone inconnue"))</f>
        <v/>
      </c>
      <c r="G232" s="12"/>
      <c r="H232" s="12"/>
      <c r="I232" s="12"/>
      <c r="J232" s="12"/>
    </row>
    <row r="233" customFormat="false" ht="15" hidden="false" customHeight="false" outlineLevel="0" collapsed="false">
      <c r="A233" s="14" t="str">
        <f aca="false">IF(OR(B233="",C233="",D233="",E233=""),"",UPPER(B233)&amp;TEXT(C233,"00")&amp;"-"&amp;D233&amp;"-"&amp;TEXT(E233,"00"))</f>
        <v/>
      </c>
      <c r="B233" s="12"/>
      <c r="C233" s="12"/>
      <c r="D233" s="12"/>
      <c r="E233" s="12"/>
      <c r="F233" s="16" t="str">
        <f aca="false">IF(B233="","",IFERROR(INDEX(Zones!$B$2:$B$15,MATCH(B233,Zones!$A$2:$A$15,0)),"⚠ zone inconnue"))</f>
        <v/>
      </c>
      <c r="G233" s="12"/>
      <c r="H233" s="12"/>
      <c r="I233" s="12"/>
      <c r="J233" s="12"/>
    </row>
    <row r="234" customFormat="false" ht="15" hidden="false" customHeight="false" outlineLevel="0" collapsed="false">
      <c r="A234" s="14" t="str">
        <f aca="false">IF(OR(B234="",C234="",D234="",E234=""),"",UPPER(B234)&amp;TEXT(C234,"00")&amp;"-"&amp;D234&amp;"-"&amp;TEXT(E234,"00"))</f>
        <v/>
      </c>
      <c r="B234" s="12"/>
      <c r="C234" s="12"/>
      <c r="D234" s="12"/>
      <c r="E234" s="12"/>
      <c r="F234" s="16" t="str">
        <f aca="false">IF(B234="","",IFERROR(INDEX(Zones!$B$2:$B$15,MATCH(B234,Zones!$A$2:$A$15,0)),"⚠ zone inconnue"))</f>
        <v/>
      </c>
      <c r="G234" s="12"/>
      <c r="H234" s="12"/>
      <c r="I234" s="12"/>
      <c r="J234" s="12"/>
    </row>
    <row r="235" customFormat="false" ht="15" hidden="false" customHeight="false" outlineLevel="0" collapsed="false">
      <c r="A235" s="14" t="str">
        <f aca="false">IF(OR(B235="",C235="",D235="",E235=""),"",UPPER(B235)&amp;TEXT(C235,"00")&amp;"-"&amp;D235&amp;"-"&amp;TEXT(E235,"00"))</f>
        <v/>
      </c>
      <c r="B235" s="12"/>
      <c r="C235" s="12"/>
      <c r="D235" s="12"/>
      <c r="E235" s="12"/>
      <c r="F235" s="16" t="str">
        <f aca="false">IF(B235="","",IFERROR(INDEX(Zones!$B$2:$B$15,MATCH(B235,Zones!$A$2:$A$15,0)),"⚠ zone inconnue"))</f>
        <v/>
      </c>
      <c r="G235" s="12"/>
      <c r="H235" s="12"/>
      <c r="I235" s="12"/>
      <c r="J235" s="12"/>
    </row>
    <row r="236" customFormat="false" ht="15" hidden="false" customHeight="false" outlineLevel="0" collapsed="false">
      <c r="A236" s="14" t="str">
        <f aca="false">IF(OR(B236="",C236="",D236="",E236=""),"",UPPER(B236)&amp;TEXT(C236,"00")&amp;"-"&amp;D236&amp;"-"&amp;TEXT(E236,"00"))</f>
        <v/>
      </c>
      <c r="B236" s="12"/>
      <c r="C236" s="12"/>
      <c r="D236" s="12"/>
      <c r="E236" s="12"/>
      <c r="F236" s="16" t="str">
        <f aca="false">IF(B236="","",IFERROR(INDEX(Zones!$B$2:$B$15,MATCH(B236,Zones!$A$2:$A$15,0)),"⚠ zone inconnue"))</f>
        <v/>
      </c>
      <c r="G236" s="12"/>
      <c r="H236" s="12"/>
      <c r="I236" s="12"/>
      <c r="J236" s="12"/>
    </row>
    <row r="237" customFormat="false" ht="15" hidden="false" customHeight="false" outlineLevel="0" collapsed="false">
      <c r="A237" s="14" t="str">
        <f aca="false">IF(OR(B237="",C237="",D237="",E237=""),"",UPPER(B237)&amp;TEXT(C237,"00")&amp;"-"&amp;D237&amp;"-"&amp;TEXT(E237,"00"))</f>
        <v/>
      </c>
      <c r="B237" s="12"/>
      <c r="C237" s="12"/>
      <c r="D237" s="12"/>
      <c r="E237" s="12"/>
      <c r="F237" s="16" t="str">
        <f aca="false">IF(B237="","",IFERROR(INDEX(Zones!$B$2:$B$15,MATCH(B237,Zones!$A$2:$A$15,0)),"⚠ zone inconnue"))</f>
        <v/>
      </c>
      <c r="G237" s="12"/>
      <c r="H237" s="12"/>
      <c r="I237" s="12"/>
      <c r="J237" s="12"/>
    </row>
    <row r="238" customFormat="false" ht="15" hidden="false" customHeight="false" outlineLevel="0" collapsed="false">
      <c r="A238" s="14" t="str">
        <f aca="false">IF(OR(B238="",C238="",D238="",E238=""),"",UPPER(B238)&amp;TEXT(C238,"00")&amp;"-"&amp;D238&amp;"-"&amp;TEXT(E238,"00"))</f>
        <v/>
      </c>
      <c r="B238" s="12"/>
      <c r="C238" s="12"/>
      <c r="D238" s="12"/>
      <c r="E238" s="12"/>
      <c r="F238" s="16" t="str">
        <f aca="false">IF(B238="","",IFERROR(INDEX(Zones!$B$2:$B$15,MATCH(B238,Zones!$A$2:$A$15,0)),"⚠ zone inconnue"))</f>
        <v/>
      </c>
      <c r="G238" s="12"/>
      <c r="H238" s="12"/>
      <c r="I238" s="12"/>
      <c r="J238" s="12"/>
    </row>
    <row r="239" customFormat="false" ht="15" hidden="false" customHeight="false" outlineLevel="0" collapsed="false">
      <c r="A239" s="14" t="str">
        <f aca="false">IF(OR(B239="",C239="",D239="",E239=""),"",UPPER(B239)&amp;TEXT(C239,"00")&amp;"-"&amp;D239&amp;"-"&amp;TEXT(E239,"00"))</f>
        <v/>
      </c>
      <c r="B239" s="12"/>
      <c r="C239" s="12"/>
      <c r="D239" s="12"/>
      <c r="E239" s="12"/>
      <c r="F239" s="16" t="str">
        <f aca="false">IF(B239="","",IFERROR(INDEX(Zones!$B$2:$B$15,MATCH(B239,Zones!$A$2:$A$15,0)),"⚠ zone inconnue"))</f>
        <v/>
      </c>
      <c r="G239" s="12"/>
      <c r="H239" s="12"/>
      <c r="I239" s="12"/>
      <c r="J239" s="12"/>
    </row>
    <row r="240" customFormat="false" ht="15" hidden="false" customHeight="false" outlineLevel="0" collapsed="false">
      <c r="A240" s="14" t="str">
        <f aca="false">IF(OR(B240="",C240="",D240="",E240=""),"",UPPER(B240)&amp;TEXT(C240,"00")&amp;"-"&amp;D240&amp;"-"&amp;TEXT(E240,"00"))</f>
        <v/>
      </c>
      <c r="B240" s="12"/>
      <c r="C240" s="12"/>
      <c r="D240" s="12"/>
      <c r="E240" s="12"/>
      <c r="F240" s="16" t="str">
        <f aca="false">IF(B240="","",IFERROR(INDEX(Zones!$B$2:$B$15,MATCH(B240,Zones!$A$2:$A$15,0)),"⚠ zone inconnue"))</f>
        <v/>
      </c>
      <c r="G240" s="12"/>
      <c r="H240" s="12"/>
      <c r="I240" s="12"/>
      <c r="J240" s="12"/>
    </row>
    <row r="241" customFormat="false" ht="15" hidden="false" customHeight="false" outlineLevel="0" collapsed="false">
      <c r="A241" s="14" t="str">
        <f aca="false">IF(OR(B241="",C241="",D241="",E241=""),"",UPPER(B241)&amp;TEXT(C241,"00")&amp;"-"&amp;D241&amp;"-"&amp;TEXT(E241,"00"))</f>
        <v/>
      </c>
      <c r="B241" s="12"/>
      <c r="C241" s="12"/>
      <c r="D241" s="12"/>
      <c r="E241" s="12"/>
      <c r="F241" s="16" t="str">
        <f aca="false">IF(B241="","",IFERROR(INDEX(Zones!$B$2:$B$15,MATCH(B241,Zones!$A$2:$A$15,0)),"⚠ zone inconnue"))</f>
        <v/>
      </c>
      <c r="G241" s="12"/>
      <c r="H241" s="12"/>
      <c r="I241" s="12"/>
      <c r="J241" s="12"/>
    </row>
    <row r="242" customFormat="false" ht="15" hidden="false" customHeight="false" outlineLevel="0" collapsed="false">
      <c r="A242" s="14" t="str">
        <f aca="false">IF(OR(B242="",C242="",D242="",E242=""),"",UPPER(B242)&amp;TEXT(C242,"00")&amp;"-"&amp;D242&amp;"-"&amp;TEXT(E242,"00"))</f>
        <v/>
      </c>
      <c r="B242" s="12"/>
      <c r="C242" s="12"/>
      <c r="D242" s="12"/>
      <c r="E242" s="12"/>
      <c r="F242" s="16" t="str">
        <f aca="false">IF(B242="","",IFERROR(INDEX(Zones!$B$2:$B$15,MATCH(B242,Zones!$A$2:$A$15,0)),"⚠ zone inconnue"))</f>
        <v/>
      </c>
      <c r="G242" s="12"/>
      <c r="H242" s="12"/>
      <c r="I242" s="12"/>
      <c r="J242" s="12"/>
    </row>
    <row r="243" customFormat="false" ht="15" hidden="false" customHeight="false" outlineLevel="0" collapsed="false">
      <c r="A243" s="14" t="str">
        <f aca="false">IF(OR(B243="",C243="",D243="",E243=""),"",UPPER(B243)&amp;TEXT(C243,"00")&amp;"-"&amp;D243&amp;"-"&amp;TEXT(E243,"00"))</f>
        <v/>
      </c>
      <c r="B243" s="12"/>
      <c r="C243" s="12"/>
      <c r="D243" s="12"/>
      <c r="E243" s="12"/>
      <c r="F243" s="16" t="str">
        <f aca="false">IF(B243="","",IFERROR(INDEX(Zones!$B$2:$B$15,MATCH(B243,Zones!$A$2:$A$15,0)),"⚠ zone inconnue"))</f>
        <v/>
      </c>
      <c r="G243" s="12"/>
      <c r="H243" s="12"/>
      <c r="I243" s="12"/>
      <c r="J243" s="12"/>
    </row>
    <row r="244" customFormat="false" ht="15" hidden="false" customHeight="false" outlineLevel="0" collapsed="false">
      <c r="A244" s="14" t="str">
        <f aca="false">IF(OR(B244="",C244="",D244="",E244=""),"",UPPER(B244)&amp;TEXT(C244,"00")&amp;"-"&amp;D244&amp;"-"&amp;TEXT(E244,"00"))</f>
        <v/>
      </c>
      <c r="B244" s="12"/>
      <c r="C244" s="12"/>
      <c r="D244" s="12"/>
      <c r="E244" s="12"/>
      <c r="F244" s="16" t="str">
        <f aca="false">IF(B244="","",IFERROR(INDEX(Zones!$B$2:$B$15,MATCH(B244,Zones!$A$2:$A$15,0)),"⚠ zone inconnue"))</f>
        <v/>
      </c>
      <c r="G244" s="12"/>
      <c r="H244" s="12"/>
      <c r="I244" s="12"/>
      <c r="J244" s="12"/>
    </row>
    <row r="245" customFormat="false" ht="15" hidden="false" customHeight="false" outlineLevel="0" collapsed="false">
      <c r="A245" s="14" t="str">
        <f aca="false">IF(OR(B245="",C245="",D245="",E245=""),"",UPPER(B245)&amp;TEXT(C245,"00")&amp;"-"&amp;D245&amp;"-"&amp;TEXT(E245,"00"))</f>
        <v/>
      </c>
      <c r="B245" s="12"/>
      <c r="C245" s="12"/>
      <c r="D245" s="12"/>
      <c r="E245" s="12"/>
      <c r="F245" s="16" t="str">
        <f aca="false">IF(B245="","",IFERROR(INDEX(Zones!$B$2:$B$15,MATCH(B245,Zones!$A$2:$A$15,0)),"⚠ zone inconnue"))</f>
        <v/>
      </c>
      <c r="G245" s="12"/>
      <c r="H245" s="12"/>
      <c r="I245" s="12"/>
      <c r="J245" s="12"/>
    </row>
    <row r="246" customFormat="false" ht="15" hidden="false" customHeight="false" outlineLevel="0" collapsed="false">
      <c r="A246" s="14" t="str">
        <f aca="false">IF(OR(B246="",C246="",D246="",E246=""),"",UPPER(B246)&amp;TEXT(C246,"00")&amp;"-"&amp;D246&amp;"-"&amp;TEXT(E246,"00"))</f>
        <v/>
      </c>
      <c r="B246" s="12"/>
      <c r="C246" s="12"/>
      <c r="D246" s="12"/>
      <c r="E246" s="12"/>
      <c r="F246" s="16" t="str">
        <f aca="false">IF(B246="","",IFERROR(INDEX(Zones!$B$2:$B$15,MATCH(B246,Zones!$A$2:$A$15,0)),"⚠ zone inconnue"))</f>
        <v/>
      </c>
      <c r="G246" s="12"/>
      <c r="H246" s="12"/>
      <c r="I246" s="12"/>
      <c r="J246" s="12"/>
    </row>
    <row r="247" customFormat="false" ht="15" hidden="false" customHeight="false" outlineLevel="0" collapsed="false">
      <c r="A247" s="14" t="str">
        <f aca="false">IF(OR(B247="",C247="",D247="",E247=""),"",UPPER(B247)&amp;TEXT(C247,"00")&amp;"-"&amp;D247&amp;"-"&amp;TEXT(E247,"00"))</f>
        <v/>
      </c>
      <c r="B247" s="12"/>
      <c r="C247" s="12"/>
      <c r="D247" s="12"/>
      <c r="E247" s="12"/>
      <c r="F247" s="16" t="str">
        <f aca="false">IF(B247="","",IFERROR(INDEX(Zones!$B$2:$B$15,MATCH(B247,Zones!$A$2:$A$15,0)),"⚠ zone inconnue"))</f>
        <v/>
      </c>
      <c r="G247" s="12"/>
      <c r="H247" s="12"/>
      <c r="I247" s="12"/>
      <c r="J247" s="12"/>
    </row>
    <row r="248" customFormat="false" ht="15" hidden="false" customHeight="false" outlineLevel="0" collapsed="false">
      <c r="A248" s="14" t="str">
        <f aca="false">IF(OR(B248="",C248="",D248="",E248=""),"",UPPER(B248)&amp;TEXT(C248,"00")&amp;"-"&amp;D248&amp;"-"&amp;TEXT(E248,"00"))</f>
        <v/>
      </c>
      <c r="B248" s="12"/>
      <c r="C248" s="12"/>
      <c r="D248" s="12"/>
      <c r="E248" s="12"/>
      <c r="F248" s="16" t="str">
        <f aca="false">IF(B248="","",IFERROR(INDEX(Zones!$B$2:$B$15,MATCH(B248,Zones!$A$2:$A$15,0)),"⚠ zone inconnue"))</f>
        <v/>
      </c>
      <c r="G248" s="12"/>
      <c r="H248" s="12"/>
      <c r="I248" s="12"/>
      <c r="J248" s="12"/>
    </row>
    <row r="249" customFormat="false" ht="15" hidden="false" customHeight="false" outlineLevel="0" collapsed="false">
      <c r="A249" s="14" t="str">
        <f aca="false">IF(OR(B249="",C249="",D249="",E249=""),"",UPPER(B249)&amp;TEXT(C249,"00")&amp;"-"&amp;D249&amp;"-"&amp;TEXT(E249,"00"))</f>
        <v/>
      </c>
      <c r="B249" s="12"/>
      <c r="C249" s="12"/>
      <c r="D249" s="12"/>
      <c r="E249" s="12"/>
      <c r="F249" s="16" t="str">
        <f aca="false">IF(B249="","",IFERROR(INDEX(Zones!$B$2:$B$15,MATCH(B249,Zones!$A$2:$A$15,0)),"⚠ zone inconnue"))</f>
        <v/>
      </c>
      <c r="G249" s="12"/>
      <c r="H249" s="12"/>
      <c r="I249" s="12"/>
      <c r="J249" s="12"/>
    </row>
    <row r="250" customFormat="false" ht="15" hidden="false" customHeight="false" outlineLevel="0" collapsed="false">
      <c r="A250" s="14" t="str">
        <f aca="false">IF(OR(B250="",C250="",D250="",E250=""),"",UPPER(B250)&amp;TEXT(C250,"00")&amp;"-"&amp;D250&amp;"-"&amp;TEXT(E250,"00"))</f>
        <v/>
      </c>
      <c r="B250" s="12"/>
      <c r="C250" s="12"/>
      <c r="D250" s="12"/>
      <c r="E250" s="12"/>
      <c r="F250" s="16" t="str">
        <f aca="false">IF(B250="","",IFERROR(INDEX(Zones!$B$2:$B$15,MATCH(B250,Zones!$A$2:$A$15,0)),"⚠ zone inconnue"))</f>
        <v/>
      </c>
      <c r="G250" s="12"/>
      <c r="H250" s="12"/>
      <c r="I250" s="12"/>
      <c r="J250" s="12"/>
    </row>
    <row r="251" customFormat="false" ht="15" hidden="false" customHeight="false" outlineLevel="0" collapsed="false">
      <c r="A251" s="14" t="str">
        <f aca="false">IF(OR(B251="",C251="",D251="",E251=""),"",UPPER(B251)&amp;TEXT(C251,"00")&amp;"-"&amp;D251&amp;"-"&amp;TEXT(E251,"00"))</f>
        <v/>
      </c>
      <c r="B251" s="12"/>
      <c r="C251" s="12"/>
      <c r="D251" s="12"/>
      <c r="E251" s="12"/>
      <c r="F251" s="16" t="str">
        <f aca="false">IF(B251="","",IFERROR(INDEX(Zones!$B$2:$B$15,MATCH(B251,Zones!$A$2:$A$15,0)),"⚠ zone inconnue"))</f>
        <v/>
      </c>
      <c r="G251" s="12"/>
      <c r="H251" s="12"/>
      <c r="I251" s="12"/>
      <c r="J251" s="12"/>
    </row>
    <row r="252" customFormat="false" ht="15" hidden="false" customHeight="false" outlineLevel="0" collapsed="false">
      <c r="A252" s="14" t="str">
        <f aca="false">IF(OR(B252="",C252="",D252="",E252=""),"",UPPER(B252)&amp;TEXT(C252,"00")&amp;"-"&amp;D252&amp;"-"&amp;TEXT(E252,"00"))</f>
        <v/>
      </c>
      <c r="B252" s="12"/>
      <c r="C252" s="12"/>
      <c r="D252" s="12"/>
      <c r="E252" s="12"/>
      <c r="F252" s="16" t="str">
        <f aca="false">IF(B252="","",IFERROR(INDEX(Zones!$B$2:$B$15,MATCH(B252,Zones!$A$2:$A$15,0)),"⚠ zone inconnue"))</f>
        <v/>
      </c>
      <c r="G252" s="12"/>
      <c r="H252" s="12"/>
      <c r="I252" s="12"/>
      <c r="J252" s="12"/>
    </row>
    <row r="253" customFormat="false" ht="15" hidden="false" customHeight="false" outlineLevel="0" collapsed="false">
      <c r="A253" s="14" t="str">
        <f aca="false">IF(OR(B253="",C253="",D253="",E253=""),"",UPPER(B253)&amp;TEXT(C253,"00")&amp;"-"&amp;D253&amp;"-"&amp;TEXT(E253,"00"))</f>
        <v/>
      </c>
      <c r="B253" s="12"/>
      <c r="C253" s="12"/>
      <c r="D253" s="12"/>
      <c r="E253" s="12"/>
      <c r="F253" s="16" t="str">
        <f aca="false">IF(B253="","",IFERROR(INDEX(Zones!$B$2:$B$15,MATCH(B253,Zones!$A$2:$A$15,0)),"⚠ zone inconnue"))</f>
        <v/>
      </c>
      <c r="G253" s="12"/>
      <c r="H253" s="12"/>
      <c r="I253" s="12"/>
      <c r="J253" s="12"/>
    </row>
    <row r="254" customFormat="false" ht="15" hidden="false" customHeight="false" outlineLevel="0" collapsed="false">
      <c r="A254" s="14" t="str">
        <f aca="false">IF(OR(B254="",C254="",D254="",E254=""),"",UPPER(B254)&amp;TEXT(C254,"00")&amp;"-"&amp;D254&amp;"-"&amp;TEXT(E254,"00"))</f>
        <v/>
      </c>
      <c r="B254" s="12"/>
      <c r="C254" s="12"/>
      <c r="D254" s="12"/>
      <c r="E254" s="12"/>
      <c r="F254" s="16" t="str">
        <f aca="false">IF(B254="","",IFERROR(INDEX(Zones!$B$2:$B$15,MATCH(B254,Zones!$A$2:$A$15,0)),"⚠ zone inconnue"))</f>
        <v/>
      </c>
      <c r="G254" s="12"/>
      <c r="H254" s="12"/>
      <c r="I254" s="12"/>
      <c r="J254" s="12"/>
    </row>
    <row r="255" customFormat="false" ht="15" hidden="false" customHeight="false" outlineLevel="0" collapsed="false">
      <c r="A255" s="14" t="str">
        <f aca="false">IF(OR(B255="",C255="",D255="",E255=""),"",UPPER(B255)&amp;TEXT(C255,"00")&amp;"-"&amp;D255&amp;"-"&amp;TEXT(E255,"00"))</f>
        <v/>
      </c>
      <c r="B255" s="12"/>
      <c r="C255" s="12"/>
      <c r="D255" s="12"/>
      <c r="E255" s="12"/>
      <c r="F255" s="16" t="str">
        <f aca="false">IF(B255="","",IFERROR(INDEX(Zones!$B$2:$B$15,MATCH(B255,Zones!$A$2:$A$15,0)),"⚠ zone inconnue"))</f>
        <v/>
      </c>
      <c r="G255" s="12"/>
      <c r="H255" s="12"/>
      <c r="I255" s="12"/>
      <c r="J255" s="12"/>
    </row>
    <row r="256" customFormat="false" ht="15" hidden="false" customHeight="false" outlineLevel="0" collapsed="false">
      <c r="A256" s="14" t="str">
        <f aca="false">IF(OR(B256="",C256="",D256="",E256=""),"",UPPER(B256)&amp;TEXT(C256,"00")&amp;"-"&amp;D256&amp;"-"&amp;TEXT(E256,"00"))</f>
        <v/>
      </c>
      <c r="B256" s="12"/>
      <c r="C256" s="12"/>
      <c r="D256" s="12"/>
      <c r="E256" s="12"/>
      <c r="F256" s="16" t="str">
        <f aca="false">IF(B256="","",IFERROR(INDEX(Zones!$B$2:$B$15,MATCH(B256,Zones!$A$2:$A$15,0)),"⚠ zone inconnue"))</f>
        <v/>
      </c>
      <c r="G256" s="12"/>
      <c r="H256" s="12"/>
      <c r="I256" s="12"/>
      <c r="J256" s="12"/>
    </row>
    <row r="257" customFormat="false" ht="15" hidden="false" customHeight="false" outlineLevel="0" collapsed="false">
      <c r="A257" s="14" t="str">
        <f aca="false">IF(OR(B257="",C257="",D257="",E257=""),"",UPPER(B257)&amp;TEXT(C257,"00")&amp;"-"&amp;D257&amp;"-"&amp;TEXT(E257,"00"))</f>
        <v/>
      </c>
      <c r="B257" s="12"/>
      <c r="C257" s="12"/>
      <c r="D257" s="12"/>
      <c r="E257" s="12"/>
      <c r="F257" s="16" t="str">
        <f aca="false">IF(B257="","",IFERROR(INDEX(Zones!$B$2:$B$15,MATCH(B257,Zones!$A$2:$A$15,0)),"⚠ zone inconnue"))</f>
        <v/>
      </c>
      <c r="G257" s="12"/>
      <c r="H257" s="12"/>
      <c r="I257" s="12"/>
      <c r="J257" s="12"/>
    </row>
    <row r="258" customFormat="false" ht="15" hidden="false" customHeight="false" outlineLevel="0" collapsed="false">
      <c r="A258" s="14" t="str">
        <f aca="false">IF(OR(B258="",C258="",D258="",E258=""),"",UPPER(B258)&amp;TEXT(C258,"00")&amp;"-"&amp;D258&amp;"-"&amp;TEXT(E258,"00"))</f>
        <v/>
      </c>
      <c r="B258" s="12"/>
      <c r="C258" s="12"/>
      <c r="D258" s="12"/>
      <c r="E258" s="12"/>
      <c r="F258" s="16" t="str">
        <f aca="false">IF(B258="","",IFERROR(INDEX(Zones!$B$2:$B$15,MATCH(B258,Zones!$A$2:$A$15,0)),"⚠ zone inconnue"))</f>
        <v/>
      </c>
      <c r="G258" s="12"/>
      <c r="H258" s="12"/>
      <c r="I258" s="12"/>
      <c r="J258" s="12"/>
    </row>
    <row r="259" customFormat="false" ht="15" hidden="false" customHeight="false" outlineLevel="0" collapsed="false">
      <c r="A259" s="14" t="str">
        <f aca="false">IF(OR(B259="",C259="",D259="",E259=""),"",UPPER(B259)&amp;TEXT(C259,"00")&amp;"-"&amp;D259&amp;"-"&amp;TEXT(E259,"00"))</f>
        <v/>
      </c>
      <c r="B259" s="12"/>
      <c r="C259" s="12"/>
      <c r="D259" s="12"/>
      <c r="E259" s="12"/>
      <c r="F259" s="16" t="str">
        <f aca="false">IF(B259="","",IFERROR(INDEX(Zones!$B$2:$B$15,MATCH(B259,Zones!$A$2:$A$15,0)),"⚠ zone inconnue"))</f>
        <v/>
      </c>
      <c r="G259" s="12"/>
      <c r="H259" s="12"/>
      <c r="I259" s="12"/>
      <c r="J259" s="12"/>
    </row>
    <row r="260" customFormat="false" ht="15" hidden="false" customHeight="false" outlineLevel="0" collapsed="false">
      <c r="A260" s="14" t="str">
        <f aca="false">IF(OR(B260="",C260="",D260="",E260=""),"",UPPER(B260)&amp;TEXT(C260,"00")&amp;"-"&amp;D260&amp;"-"&amp;TEXT(E260,"00"))</f>
        <v/>
      </c>
      <c r="B260" s="12"/>
      <c r="C260" s="12"/>
      <c r="D260" s="12"/>
      <c r="E260" s="12"/>
      <c r="F260" s="16" t="str">
        <f aca="false">IF(B260="","",IFERROR(INDEX(Zones!$B$2:$B$15,MATCH(B260,Zones!$A$2:$A$15,0)),"⚠ zone inconnue"))</f>
        <v/>
      </c>
      <c r="G260" s="12"/>
      <c r="H260" s="12"/>
      <c r="I260" s="12"/>
      <c r="J260" s="12"/>
    </row>
    <row r="261" customFormat="false" ht="15" hidden="false" customHeight="false" outlineLevel="0" collapsed="false">
      <c r="A261" s="14" t="str">
        <f aca="false">IF(OR(B261="",C261="",D261="",E261=""),"",UPPER(B261)&amp;TEXT(C261,"00")&amp;"-"&amp;D261&amp;"-"&amp;TEXT(E261,"00"))</f>
        <v/>
      </c>
      <c r="B261" s="12"/>
      <c r="C261" s="12"/>
      <c r="D261" s="12"/>
      <c r="E261" s="12"/>
      <c r="F261" s="16" t="str">
        <f aca="false">IF(B261="","",IFERROR(INDEX(Zones!$B$2:$B$15,MATCH(B261,Zones!$A$2:$A$15,0)),"⚠ zone inconnue"))</f>
        <v/>
      </c>
      <c r="G261" s="12"/>
      <c r="H261" s="12"/>
      <c r="I261" s="12"/>
      <c r="J261" s="12"/>
    </row>
    <row r="262" customFormat="false" ht="15" hidden="false" customHeight="false" outlineLevel="0" collapsed="false">
      <c r="A262" s="14" t="str">
        <f aca="false">IF(OR(B262="",C262="",D262="",E262=""),"",UPPER(B262)&amp;TEXT(C262,"00")&amp;"-"&amp;D262&amp;"-"&amp;TEXT(E262,"00"))</f>
        <v/>
      </c>
      <c r="B262" s="12"/>
      <c r="C262" s="12"/>
      <c r="D262" s="12"/>
      <c r="E262" s="12"/>
      <c r="F262" s="16" t="str">
        <f aca="false">IF(B262="","",IFERROR(INDEX(Zones!$B$2:$B$15,MATCH(B262,Zones!$A$2:$A$15,0)),"⚠ zone inconnue"))</f>
        <v/>
      </c>
      <c r="G262" s="12"/>
      <c r="H262" s="12"/>
      <c r="I262" s="12"/>
      <c r="J262" s="12"/>
    </row>
    <row r="263" customFormat="false" ht="15" hidden="false" customHeight="false" outlineLevel="0" collapsed="false">
      <c r="A263" s="14" t="str">
        <f aca="false">IF(OR(B263="",C263="",D263="",E263=""),"",UPPER(B263)&amp;TEXT(C263,"00")&amp;"-"&amp;D263&amp;"-"&amp;TEXT(E263,"00"))</f>
        <v/>
      </c>
      <c r="B263" s="12"/>
      <c r="C263" s="12"/>
      <c r="D263" s="12"/>
      <c r="E263" s="12"/>
      <c r="F263" s="16" t="str">
        <f aca="false">IF(B263="","",IFERROR(INDEX(Zones!$B$2:$B$15,MATCH(B263,Zones!$A$2:$A$15,0)),"⚠ zone inconnue"))</f>
        <v/>
      </c>
      <c r="G263" s="12"/>
      <c r="H263" s="12"/>
      <c r="I263" s="12"/>
      <c r="J263" s="12"/>
    </row>
    <row r="264" customFormat="false" ht="15" hidden="false" customHeight="false" outlineLevel="0" collapsed="false">
      <c r="A264" s="14" t="str">
        <f aca="false">IF(OR(B264="",C264="",D264="",E264=""),"",UPPER(B264)&amp;TEXT(C264,"00")&amp;"-"&amp;D264&amp;"-"&amp;TEXT(E264,"00"))</f>
        <v/>
      </c>
      <c r="B264" s="12"/>
      <c r="C264" s="12"/>
      <c r="D264" s="12"/>
      <c r="E264" s="12"/>
      <c r="F264" s="16" t="str">
        <f aca="false">IF(B264="","",IFERROR(INDEX(Zones!$B$2:$B$15,MATCH(B264,Zones!$A$2:$A$15,0)),"⚠ zone inconnue"))</f>
        <v/>
      </c>
      <c r="G264" s="12"/>
      <c r="H264" s="12"/>
      <c r="I264" s="12"/>
      <c r="J264" s="12"/>
    </row>
    <row r="265" customFormat="false" ht="15" hidden="false" customHeight="false" outlineLevel="0" collapsed="false">
      <c r="A265" s="14" t="str">
        <f aca="false">IF(OR(B265="",C265="",D265="",E265=""),"",UPPER(B265)&amp;TEXT(C265,"00")&amp;"-"&amp;D265&amp;"-"&amp;TEXT(E265,"00"))</f>
        <v/>
      </c>
      <c r="B265" s="12"/>
      <c r="C265" s="12"/>
      <c r="D265" s="12"/>
      <c r="E265" s="12"/>
      <c r="F265" s="16" t="str">
        <f aca="false">IF(B265="","",IFERROR(INDEX(Zones!$B$2:$B$15,MATCH(B265,Zones!$A$2:$A$15,0)),"⚠ zone inconnue"))</f>
        <v/>
      </c>
      <c r="G265" s="12"/>
      <c r="H265" s="12"/>
      <c r="I265" s="12"/>
      <c r="J265" s="12"/>
    </row>
    <row r="266" customFormat="false" ht="15" hidden="false" customHeight="false" outlineLevel="0" collapsed="false">
      <c r="A266" s="14" t="str">
        <f aca="false">IF(OR(B266="",C266="",D266="",E266=""),"",UPPER(B266)&amp;TEXT(C266,"00")&amp;"-"&amp;D266&amp;"-"&amp;TEXT(E266,"00"))</f>
        <v/>
      </c>
      <c r="B266" s="12"/>
      <c r="C266" s="12"/>
      <c r="D266" s="12"/>
      <c r="E266" s="12"/>
      <c r="F266" s="16" t="str">
        <f aca="false">IF(B266="","",IFERROR(INDEX(Zones!$B$2:$B$15,MATCH(B266,Zones!$A$2:$A$15,0)),"⚠ zone inconnue"))</f>
        <v/>
      </c>
      <c r="G266" s="12"/>
      <c r="H266" s="12"/>
      <c r="I266" s="12"/>
      <c r="J266" s="12"/>
    </row>
    <row r="267" customFormat="false" ht="15" hidden="false" customHeight="false" outlineLevel="0" collapsed="false">
      <c r="A267" s="14" t="str">
        <f aca="false">IF(OR(B267="",C267="",D267="",E267=""),"",UPPER(B267)&amp;TEXT(C267,"00")&amp;"-"&amp;D267&amp;"-"&amp;TEXT(E267,"00"))</f>
        <v/>
      </c>
      <c r="B267" s="12"/>
      <c r="C267" s="12"/>
      <c r="D267" s="12"/>
      <c r="E267" s="12"/>
      <c r="F267" s="16" t="str">
        <f aca="false">IF(B267="","",IFERROR(INDEX(Zones!$B$2:$B$15,MATCH(B267,Zones!$A$2:$A$15,0)),"⚠ zone inconnue"))</f>
        <v/>
      </c>
      <c r="G267" s="12"/>
      <c r="H267" s="12"/>
      <c r="I267" s="12"/>
      <c r="J267" s="12"/>
    </row>
    <row r="268" customFormat="false" ht="15" hidden="false" customHeight="false" outlineLevel="0" collapsed="false">
      <c r="A268" s="14" t="str">
        <f aca="false">IF(OR(B268="",C268="",D268="",E268=""),"",UPPER(B268)&amp;TEXT(C268,"00")&amp;"-"&amp;D268&amp;"-"&amp;TEXT(E268,"00"))</f>
        <v/>
      </c>
      <c r="B268" s="12"/>
      <c r="C268" s="12"/>
      <c r="D268" s="12"/>
      <c r="E268" s="12"/>
      <c r="F268" s="16" t="str">
        <f aca="false">IF(B268="","",IFERROR(INDEX(Zones!$B$2:$B$15,MATCH(B268,Zones!$A$2:$A$15,0)),"⚠ zone inconnue"))</f>
        <v/>
      </c>
      <c r="G268" s="12"/>
      <c r="H268" s="12"/>
      <c r="I268" s="12"/>
      <c r="J268" s="12"/>
    </row>
    <row r="269" customFormat="false" ht="15" hidden="false" customHeight="false" outlineLevel="0" collapsed="false">
      <c r="A269" s="14" t="str">
        <f aca="false">IF(OR(B269="",C269="",D269="",E269=""),"",UPPER(B269)&amp;TEXT(C269,"00")&amp;"-"&amp;D269&amp;"-"&amp;TEXT(E269,"00"))</f>
        <v/>
      </c>
      <c r="B269" s="12"/>
      <c r="C269" s="12"/>
      <c r="D269" s="12"/>
      <c r="E269" s="12"/>
      <c r="F269" s="16" t="str">
        <f aca="false">IF(B269="","",IFERROR(INDEX(Zones!$B$2:$B$15,MATCH(B269,Zones!$A$2:$A$15,0)),"⚠ zone inconnue"))</f>
        <v/>
      </c>
      <c r="G269" s="12"/>
      <c r="H269" s="12"/>
      <c r="I269" s="12"/>
      <c r="J269" s="12"/>
    </row>
    <row r="270" customFormat="false" ht="15" hidden="false" customHeight="false" outlineLevel="0" collapsed="false">
      <c r="A270" s="14" t="str">
        <f aca="false">IF(OR(B270="",C270="",D270="",E270=""),"",UPPER(B270)&amp;TEXT(C270,"00")&amp;"-"&amp;D270&amp;"-"&amp;TEXT(E270,"00"))</f>
        <v/>
      </c>
      <c r="B270" s="12"/>
      <c r="C270" s="12"/>
      <c r="D270" s="12"/>
      <c r="E270" s="12"/>
      <c r="F270" s="16" t="str">
        <f aca="false">IF(B270="","",IFERROR(INDEX(Zones!$B$2:$B$15,MATCH(B270,Zones!$A$2:$A$15,0)),"⚠ zone inconnue"))</f>
        <v/>
      </c>
      <c r="G270" s="12"/>
      <c r="H270" s="12"/>
      <c r="I270" s="12"/>
      <c r="J270" s="12"/>
    </row>
    <row r="271" customFormat="false" ht="15" hidden="false" customHeight="false" outlineLevel="0" collapsed="false">
      <c r="A271" s="14" t="str">
        <f aca="false">IF(OR(B271="",C271="",D271="",E271=""),"",UPPER(B271)&amp;TEXT(C271,"00")&amp;"-"&amp;D271&amp;"-"&amp;TEXT(E271,"00"))</f>
        <v/>
      </c>
      <c r="B271" s="12"/>
      <c r="C271" s="12"/>
      <c r="D271" s="12"/>
      <c r="E271" s="12"/>
      <c r="F271" s="16" t="str">
        <f aca="false">IF(B271="","",IFERROR(INDEX(Zones!$B$2:$B$15,MATCH(B271,Zones!$A$2:$A$15,0)),"⚠ zone inconnue"))</f>
        <v/>
      </c>
      <c r="G271" s="12"/>
      <c r="H271" s="12"/>
      <c r="I271" s="12"/>
      <c r="J271" s="12"/>
    </row>
    <row r="272" customFormat="false" ht="15" hidden="false" customHeight="false" outlineLevel="0" collapsed="false">
      <c r="A272" s="14" t="str">
        <f aca="false">IF(OR(B272="",C272="",D272="",E272=""),"",UPPER(B272)&amp;TEXT(C272,"00")&amp;"-"&amp;D272&amp;"-"&amp;TEXT(E272,"00"))</f>
        <v/>
      </c>
      <c r="B272" s="12"/>
      <c r="C272" s="12"/>
      <c r="D272" s="12"/>
      <c r="E272" s="12"/>
      <c r="F272" s="16" t="str">
        <f aca="false">IF(B272="","",IFERROR(INDEX(Zones!$B$2:$B$15,MATCH(B272,Zones!$A$2:$A$15,0)),"⚠ zone inconnue"))</f>
        <v/>
      </c>
      <c r="G272" s="12"/>
      <c r="H272" s="12"/>
      <c r="I272" s="12"/>
      <c r="J272" s="12"/>
    </row>
    <row r="273" customFormat="false" ht="15" hidden="false" customHeight="false" outlineLevel="0" collapsed="false">
      <c r="A273" s="14" t="str">
        <f aca="false">IF(OR(B273="",C273="",D273="",E273=""),"",UPPER(B273)&amp;TEXT(C273,"00")&amp;"-"&amp;D273&amp;"-"&amp;TEXT(E273,"00"))</f>
        <v/>
      </c>
      <c r="B273" s="12"/>
      <c r="C273" s="12"/>
      <c r="D273" s="12"/>
      <c r="E273" s="12"/>
      <c r="F273" s="16" t="str">
        <f aca="false">IF(B273="","",IFERROR(INDEX(Zones!$B$2:$B$15,MATCH(B273,Zones!$A$2:$A$15,0)),"⚠ zone inconnue"))</f>
        <v/>
      </c>
      <c r="G273" s="12"/>
      <c r="H273" s="12"/>
      <c r="I273" s="12"/>
      <c r="J273" s="12"/>
    </row>
    <row r="274" customFormat="false" ht="15" hidden="false" customHeight="false" outlineLevel="0" collapsed="false">
      <c r="A274" s="14" t="str">
        <f aca="false">IF(OR(B274="",C274="",D274="",E274=""),"",UPPER(B274)&amp;TEXT(C274,"00")&amp;"-"&amp;D274&amp;"-"&amp;TEXT(E274,"00"))</f>
        <v/>
      </c>
      <c r="B274" s="12"/>
      <c r="C274" s="12"/>
      <c r="D274" s="12"/>
      <c r="E274" s="12"/>
      <c r="F274" s="16" t="str">
        <f aca="false">IF(B274="","",IFERROR(INDEX(Zones!$B$2:$B$15,MATCH(B274,Zones!$A$2:$A$15,0)),"⚠ zone inconnue"))</f>
        <v/>
      </c>
      <c r="G274" s="12"/>
      <c r="H274" s="12"/>
      <c r="I274" s="12"/>
      <c r="J274" s="12"/>
    </row>
    <row r="275" customFormat="false" ht="15" hidden="false" customHeight="false" outlineLevel="0" collapsed="false">
      <c r="A275" s="14" t="str">
        <f aca="false">IF(OR(B275="",C275="",D275="",E275=""),"",UPPER(B275)&amp;TEXT(C275,"00")&amp;"-"&amp;D275&amp;"-"&amp;TEXT(E275,"00"))</f>
        <v/>
      </c>
      <c r="B275" s="12"/>
      <c r="C275" s="12"/>
      <c r="D275" s="12"/>
      <c r="E275" s="12"/>
      <c r="F275" s="16" t="str">
        <f aca="false">IF(B275="","",IFERROR(INDEX(Zones!$B$2:$B$15,MATCH(B275,Zones!$A$2:$A$15,0)),"⚠ zone inconnue"))</f>
        <v/>
      </c>
      <c r="G275" s="12"/>
      <c r="H275" s="12"/>
      <c r="I275" s="12"/>
      <c r="J275" s="12"/>
    </row>
    <row r="276" customFormat="false" ht="15" hidden="false" customHeight="false" outlineLevel="0" collapsed="false">
      <c r="A276" s="14" t="str">
        <f aca="false">IF(OR(B276="",C276="",D276="",E276=""),"",UPPER(B276)&amp;TEXT(C276,"00")&amp;"-"&amp;D276&amp;"-"&amp;TEXT(E276,"00"))</f>
        <v/>
      </c>
      <c r="B276" s="12"/>
      <c r="C276" s="12"/>
      <c r="D276" s="12"/>
      <c r="E276" s="12"/>
      <c r="F276" s="16" t="str">
        <f aca="false">IF(B276="","",IFERROR(INDEX(Zones!$B$2:$B$15,MATCH(B276,Zones!$A$2:$A$15,0)),"⚠ zone inconnue"))</f>
        <v/>
      </c>
      <c r="G276" s="12"/>
      <c r="H276" s="12"/>
      <c r="I276" s="12"/>
      <c r="J276" s="12"/>
    </row>
    <row r="277" customFormat="false" ht="15" hidden="false" customHeight="false" outlineLevel="0" collapsed="false">
      <c r="A277" s="14" t="str">
        <f aca="false">IF(OR(B277="",C277="",D277="",E277=""),"",UPPER(B277)&amp;TEXT(C277,"00")&amp;"-"&amp;D277&amp;"-"&amp;TEXT(E277,"00"))</f>
        <v/>
      </c>
      <c r="B277" s="12"/>
      <c r="C277" s="12"/>
      <c r="D277" s="12"/>
      <c r="E277" s="12"/>
      <c r="F277" s="16" t="str">
        <f aca="false">IF(B277="","",IFERROR(INDEX(Zones!$B$2:$B$15,MATCH(B277,Zones!$A$2:$A$15,0)),"⚠ zone inconnue"))</f>
        <v/>
      </c>
      <c r="G277" s="12"/>
      <c r="H277" s="12"/>
      <c r="I277" s="12"/>
      <c r="J277" s="12"/>
    </row>
    <row r="278" customFormat="false" ht="15" hidden="false" customHeight="false" outlineLevel="0" collapsed="false">
      <c r="A278" s="14" t="str">
        <f aca="false">IF(OR(B278="",C278="",D278="",E278=""),"",UPPER(B278)&amp;TEXT(C278,"00")&amp;"-"&amp;D278&amp;"-"&amp;TEXT(E278,"00"))</f>
        <v/>
      </c>
      <c r="B278" s="12"/>
      <c r="C278" s="12"/>
      <c r="D278" s="12"/>
      <c r="E278" s="12"/>
      <c r="F278" s="16" t="str">
        <f aca="false">IF(B278="","",IFERROR(INDEX(Zones!$B$2:$B$15,MATCH(B278,Zones!$A$2:$A$15,0)),"⚠ zone inconnue"))</f>
        <v/>
      </c>
      <c r="G278" s="12"/>
      <c r="H278" s="12"/>
      <c r="I278" s="12"/>
      <c r="J278" s="12"/>
    </row>
    <row r="279" customFormat="false" ht="15" hidden="false" customHeight="false" outlineLevel="0" collapsed="false">
      <c r="A279" s="14" t="str">
        <f aca="false">IF(OR(B279="",C279="",D279="",E279=""),"",UPPER(B279)&amp;TEXT(C279,"00")&amp;"-"&amp;D279&amp;"-"&amp;TEXT(E279,"00"))</f>
        <v/>
      </c>
      <c r="B279" s="12"/>
      <c r="C279" s="12"/>
      <c r="D279" s="12"/>
      <c r="E279" s="12"/>
      <c r="F279" s="16" t="str">
        <f aca="false">IF(B279="","",IFERROR(INDEX(Zones!$B$2:$B$15,MATCH(B279,Zones!$A$2:$A$15,0)),"⚠ zone inconnue"))</f>
        <v/>
      </c>
      <c r="G279" s="12"/>
      <c r="H279" s="12"/>
      <c r="I279" s="12"/>
      <c r="J279" s="12"/>
    </row>
    <row r="280" customFormat="false" ht="15" hidden="false" customHeight="false" outlineLevel="0" collapsed="false">
      <c r="A280" s="14" t="str">
        <f aca="false">IF(OR(B280="",C280="",D280="",E280=""),"",UPPER(B280)&amp;TEXT(C280,"00")&amp;"-"&amp;D280&amp;"-"&amp;TEXT(E280,"00"))</f>
        <v/>
      </c>
      <c r="B280" s="12"/>
      <c r="C280" s="12"/>
      <c r="D280" s="12"/>
      <c r="E280" s="12"/>
      <c r="F280" s="16" t="str">
        <f aca="false">IF(B280="","",IFERROR(INDEX(Zones!$B$2:$B$15,MATCH(B280,Zones!$A$2:$A$15,0)),"⚠ zone inconnue"))</f>
        <v/>
      </c>
      <c r="G280" s="12"/>
      <c r="H280" s="12"/>
      <c r="I280" s="12"/>
      <c r="J280" s="12"/>
    </row>
    <row r="281" customFormat="false" ht="15" hidden="false" customHeight="false" outlineLevel="0" collapsed="false">
      <c r="A281" s="14" t="str">
        <f aca="false">IF(OR(B281="",C281="",D281="",E281=""),"",UPPER(B281)&amp;TEXT(C281,"00")&amp;"-"&amp;D281&amp;"-"&amp;TEXT(E281,"00"))</f>
        <v/>
      </c>
      <c r="B281" s="12"/>
      <c r="C281" s="12"/>
      <c r="D281" s="12"/>
      <c r="E281" s="12"/>
      <c r="F281" s="16" t="str">
        <f aca="false">IF(B281="","",IFERROR(INDEX(Zones!$B$2:$B$15,MATCH(B281,Zones!$A$2:$A$15,0)),"⚠ zone inconnue"))</f>
        <v/>
      </c>
      <c r="G281" s="12"/>
      <c r="H281" s="12"/>
      <c r="I281" s="12"/>
      <c r="J281" s="12"/>
    </row>
    <row r="282" customFormat="false" ht="15" hidden="false" customHeight="false" outlineLevel="0" collapsed="false">
      <c r="A282" s="14" t="str">
        <f aca="false">IF(OR(B282="",C282="",D282="",E282=""),"",UPPER(B282)&amp;TEXT(C282,"00")&amp;"-"&amp;D282&amp;"-"&amp;TEXT(E282,"00"))</f>
        <v/>
      </c>
      <c r="B282" s="12"/>
      <c r="C282" s="12"/>
      <c r="D282" s="12"/>
      <c r="E282" s="12"/>
      <c r="F282" s="16" t="str">
        <f aca="false">IF(B282="","",IFERROR(INDEX(Zones!$B$2:$B$15,MATCH(B282,Zones!$A$2:$A$15,0)),"⚠ zone inconnue"))</f>
        <v/>
      </c>
      <c r="G282" s="12"/>
      <c r="H282" s="12"/>
      <c r="I282" s="12"/>
      <c r="J282" s="12"/>
    </row>
    <row r="283" customFormat="false" ht="15" hidden="false" customHeight="false" outlineLevel="0" collapsed="false">
      <c r="A283" s="14" t="str">
        <f aca="false">IF(OR(B283="",C283="",D283="",E283=""),"",UPPER(B283)&amp;TEXT(C283,"00")&amp;"-"&amp;D283&amp;"-"&amp;TEXT(E283,"00"))</f>
        <v/>
      </c>
      <c r="B283" s="12"/>
      <c r="C283" s="12"/>
      <c r="D283" s="12"/>
      <c r="E283" s="12"/>
      <c r="F283" s="16" t="str">
        <f aca="false">IF(B283="","",IFERROR(INDEX(Zones!$B$2:$B$15,MATCH(B283,Zones!$A$2:$A$15,0)),"⚠ zone inconnue"))</f>
        <v/>
      </c>
      <c r="G283" s="12"/>
      <c r="H283" s="12"/>
      <c r="I283" s="12"/>
      <c r="J283" s="12"/>
    </row>
    <row r="284" customFormat="false" ht="15" hidden="false" customHeight="false" outlineLevel="0" collapsed="false">
      <c r="A284" s="14" t="str">
        <f aca="false">IF(OR(B284="",C284="",D284="",E284=""),"",UPPER(B284)&amp;TEXT(C284,"00")&amp;"-"&amp;D284&amp;"-"&amp;TEXT(E284,"00"))</f>
        <v/>
      </c>
      <c r="B284" s="12"/>
      <c r="C284" s="12"/>
      <c r="D284" s="12"/>
      <c r="E284" s="12"/>
      <c r="F284" s="16" t="str">
        <f aca="false">IF(B284="","",IFERROR(INDEX(Zones!$B$2:$B$15,MATCH(B284,Zones!$A$2:$A$15,0)),"⚠ zone inconnue"))</f>
        <v/>
      </c>
      <c r="G284" s="12"/>
      <c r="H284" s="12"/>
      <c r="I284" s="12"/>
      <c r="J284" s="12"/>
    </row>
    <row r="285" customFormat="false" ht="15" hidden="false" customHeight="false" outlineLevel="0" collapsed="false">
      <c r="A285" s="14" t="str">
        <f aca="false">IF(OR(B285="",C285="",D285="",E285=""),"",UPPER(B285)&amp;TEXT(C285,"00")&amp;"-"&amp;D285&amp;"-"&amp;TEXT(E285,"00"))</f>
        <v/>
      </c>
      <c r="B285" s="12"/>
      <c r="C285" s="12"/>
      <c r="D285" s="12"/>
      <c r="E285" s="12"/>
      <c r="F285" s="16" t="str">
        <f aca="false">IF(B285="","",IFERROR(INDEX(Zones!$B$2:$B$15,MATCH(B285,Zones!$A$2:$A$15,0)),"⚠ zone inconnue"))</f>
        <v/>
      </c>
      <c r="G285" s="12"/>
      <c r="H285" s="12"/>
      <c r="I285" s="12"/>
      <c r="J285" s="12"/>
    </row>
    <row r="286" customFormat="false" ht="15" hidden="false" customHeight="false" outlineLevel="0" collapsed="false">
      <c r="A286" s="14" t="str">
        <f aca="false">IF(OR(B286="",C286="",D286="",E286=""),"",UPPER(B286)&amp;TEXT(C286,"00")&amp;"-"&amp;D286&amp;"-"&amp;TEXT(E286,"00"))</f>
        <v/>
      </c>
      <c r="B286" s="12"/>
      <c r="C286" s="12"/>
      <c r="D286" s="12"/>
      <c r="E286" s="12"/>
      <c r="F286" s="16" t="str">
        <f aca="false">IF(B286="","",IFERROR(INDEX(Zones!$B$2:$B$15,MATCH(B286,Zones!$A$2:$A$15,0)),"⚠ zone inconnue"))</f>
        <v/>
      </c>
      <c r="G286" s="12"/>
      <c r="H286" s="12"/>
      <c r="I286" s="12"/>
      <c r="J286" s="12"/>
    </row>
    <row r="287" customFormat="false" ht="15" hidden="false" customHeight="false" outlineLevel="0" collapsed="false">
      <c r="A287" s="14" t="str">
        <f aca="false">IF(OR(B287="",C287="",D287="",E287=""),"",UPPER(B287)&amp;TEXT(C287,"00")&amp;"-"&amp;D287&amp;"-"&amp;TEXT(E287,"00"))</f>
        <v/>
      </c>
      <c r="B287" s="12"/>
      <c r="C287" s="12"/>
      <c r="D287" s="12"/>
      <c r="E287" s="12"/>
      <c r="F287" s="16" t="str">
        <f aca="false">IF(B287="","",IFERROR(INDEX(Zones!$B$2:$B$15,MATCH(B287,Zones!$A$2:$A$15,0)),"⚠ zone inconnue"))</f>
        <v/>
      </c>
      <c r="G287" s="12"/>
      <c r="H287" s="12"/>
      <c r="I287" s="12"/>
      <c r="J287" s="12"/>
    </row>
    <row r="288" customFormat="false" ht="15" hidden="false" customHeight="false" outlineLevel="0" collapsed="false">
      <c r="A288" s="14" t="str">
        <f aca="false">IF(OR(B288="",C288="",D288="",E288=""),"",UPPER(B288)&amp;TEXT(C288,"00")&amp;"-"&amp;D288&amp;"-"&amp;TEXT(E288,"00"))</f>
        <v/>
      </c>
      <c r="B288" s="12"/>
      <c r="C288" s="12"/>
      <c r="D288" s="12"/>
      <c r="E288" s="12"/>
      <c r="F288" s="16" t="str">
        <f aca="false">IF(B288="","",IFERROR(INDEX(Zones!$B$2:$B$15,MATCH(B288,Zones!$A$2:$A$15,0)),"⚠ zone inconnue"))</f>
        <v/>
      </c>
      <c r="G288" s="12"/>
      <c r="H288" s="12"/>
      <c r="I288" s="12"/>
      <c r="J288" s="12"/>
    </row>
    <row r="289" customFormat="false" ht="15" hidden="false" customHeight="false" outlineLevel="0" collapsed="false">
      <c r="A289" s="14" t="str">
        <f aca="false">IF(OR(B289="",C289="",D289="",E289=""),"",UPPER(B289)&amp;TEXT(C289,"00")&amp;"-"&amp;D289&amp;"-"&amp;TEXT(E289,"00"))</f>
        <v/>
      </c>
      <c r="B289" s="12"/>
      <c r="C289" s="12"/>
      <c r="D289" s="12"/>
      <c r="E289" s="12"/>
      <c r="F289" s="16" t="str">
        <f aca="false">IF(B289="","",IFERROR(INDEX(Zones!$B$2:$B$15,MATCH(B289,Zones!$A$2:$A$15,0)),"⚠ zone inconnue"))</f>
        <v/>
      </c>
      <c r="G289" s="12"/>
      <c r="H289" s="12"/>
      <c r="I289" s="12"/>
      <c r="J289" s="12"/>
    </row>
    <row r="290" customFormat="false" ht="15" hidden="false" customHeight="false" outlineLevel="0" collapsed="false">
      <c r="A290" s="14" t="str">
        <f aca="false">IF(OR(B290="",C290="",D290="",E290=""),"",UPPER(B290)&amp;TEXT(C290,"00")&amp;"-"&amp;D290&amp;"-"&amp;TEXT(E290,"00"))</f>
        <v/>
      </c>
      <c r="B290" s="12"/>
      <c r="C290" s="12"/>
      <c r="D290" s="12"/>
      <c r="E290" s="12"/>
      <c r="F290" s="16" t="str">
        <f aca="false">IF(B290="","",IFERROR(INDEX(Zones!$B$2:$B$15,MATCH(B290,Zones!$A$2:$A$15,0)),"⚠ zone inconnue"))</f>
        <v/>
      </c>
      <c r="G290" s="12"/>
      <c r="H290" s="12"/>
      <c r="I290" s="12"/>
      <c r="J290" s="12"/>
    </row>
    <row r="291" customFormat="false" ht="15" hidden="false" customHeight="false" outlineLevel="0" collapsed="false">
      <c r="A291" s="14" t="str">
        <f aca="false">IF(OR(B291="",C291="",D291="",E291=""),"",UPPER(B291)&amp;TEXT(C291,"00")&amp;"-"&amp;D291&amp;"-"&amp;TEXT(E291,"00"))</f>
        <v/>
      </c>
      <c r="B291" s="12"/>
      <c r="C291" s="12"/>
      <c r="D291" s="12"/>
      <c r="E291" s="12"/>
      <c r="F291" s="16" t="str">
        <f aca="false">IF(B291="","",IFERROR(INDEX(Zones!$B$2:$B$15,MATCH(B291,Zones!$A$2:$A$15,0)),"⚠ zone inconnue"))</f>
        <v/>
      </c>
      <c r="G291" s="12"/>
      <c r="H291" s="12"/>
      <c r="I291" s="12"/>
      <c r="J291" s="12"/>
    </row>
    <row r="292" customFormat="false" ht="15" hidden="false" customHeight="false" outlineLevel="0" collapsed="false">
      <c r="A292" s="14" t="str">
        <f aca="false">IF(OR(B292="",C292="",D292="",E292=""),"",UPPER(B292)&amp;TEXT(C292,"00")&amp;"-"&amp;D292&amp;"-"&amp;TEXT(E292,"00"))</f>
        <v/>
      </c>
      <c r="B292" s="12"/>
      <c r="C292" s="12"/>
      <c r="D292" s="12"/>
      <c r="E292" s="12"/>
      <c r="F292" s="16" t="str">
        <f aca="false">IF(B292="","",IFERROR(INDEX(Zones!$B$2:$B$15,MATCH(B292,Zones!$A$2:$A$15,0)),"⚠ zone inconnue"))</f>
        <v/>
      </c>
      <c r="G292" s="12"/>
      <c r="H292" s="12"/>
      <c r="I292" s="12"/>
      <c r="J292" s="12"/>
    </row>
    <row r="293" customFormat="false" ht="15" hidden="false" customHeight="false" outlineLevel="0" collapsed="false">
      <c r="A293" s="14" t="str">
        <f aca="false">IF(OR(B293="",C293="",D293="",E293=""),"",UPPER(B293)&amp;TEXT(C293,"00")&amp;"-"&amp;D293&amp;"-"&amp;TEXT(E293,"00"))</f>
        <v/>
      </c>
      <c r="B293" s="12"/>
      <c r="C293" s="12"/>
      <c r="D293" s="12"/>
      <c r="E293" s="12"/>
      <c r="F293" s="16" t="str">
        <f aca="false">IF(B293="","",IFERROR(INDEX(Zones!$B$2:$B$15,MATCH(B293,Zones!$A$2:$A$15,0)),"⚠ zone inconnue"))</f>
        <v/>
      </c>
      <c r="G293" s="12"/>
      <c r="H293" s="12"/>
      <c r="I293" s="12"/>
      <c r="J293" s="12"/>
    </row>
    <row r="294" customFormat="false" ht="15" hidden="false" customHeight="false" outlineLevel="0" collapsed="false">
      <c r="A294" s="14" t="str">
        <f aca="false">IF(OR(B294="",C294="",D294="",E294=""),"",UPPER(B294)&amp;TEXT(C294,"00")&amp;"-"&amp;D294&amp;"-"&amp;TEXT(E294,"00"))</f>
        <v/>
      </c>
      <c r="B294" s="12"/>
      <c r="C294" s="12"/>
      <c r="D294" s="12"/>
      <c r="E294" s="12"/>
      <c r="F294" s="16" t="str">
        <f aca="false">IF(B294="","",IFERROR(INDEX(Zones!$B$2:$B$15,MATCH(B294,Zones!$A$2:$A$15,0)),"⚠ zone inconnue"))</f>
        <v/>
      </c>
      <c r="G294" s="12"/>
      <c r="H294" s="12"/>
      <c r="I294" s="12"/>
      <c r="J294" s="12"/>
    </row>
    <row r="295" customFormat="false" ht="15" hidden="false" customHeight="false" outlineLevel="0" collapsed="false">
      <c r="A295" s="14" t="str">
        <f aca="false">IF(OR(B295="",C295="",D295="",E295=""),"",UPPER(B295)&amp;TEXT(C295,"00")&amp;"-"&amp;D295&amp;"-"&amp;TEXT(E295,"00"))</f>
        <v/>
      </c>
      <c r="B295" s="12"/>
      <c r="C295" s="12"/>
      <c r="D295" s="12"/>
      <c r="E295" s="12"/>
      <c r="F295" s="16" t="str">
        <f aca="false">IF(B295="","",IFERROR(INDEX(Zones!$B$2:$B$15,MATCH(B295,Zones!$A$2:$A$15,0)),"⚠ zone inconnue"))</f>
        <v/>
      </c>
      <c r="G295" s="12"/>
      <c r="H295" s="12"/>
      <c r="I295" s="12"/>
      <c r="J295" s="12"/>
    </row>
    <row r="296" customFormat="false" ht="15" hidden="false" customHeight="false" outlineLevel="0" collapsed="false">
      <c r="A296" s="14" t="str">
        <f aca="false">IF(OR(B296="",C296="",D296="",E296=""),"",UPPER(B296)&amp;TEXT(C296,"00")&amp;"-"&amp;D296&amp;"-"&amp;TEXT(E296,"00"))</f>
        <v/>
      </c>
      <c r="B296" s="12"/>
      <c r="C296" s="12"/>
      <c r="D296" s="12"/>
      <c r="E296" s="12"/>
      <c r="F296" s="16" t="str">
        <f aca="false">IF(B296="","",IFERROR(INDEX(Zones!$B$2:$B$15,MATCH(B296,Zones!$A$2:$A$15,0)),"⚠ zone inconnue"))</f>
        <v/>
      </c>
      <c r="G296" s="12"/>
      <c r="H296" s="12"/>
      <c r="I296" s="12"/>
      <c r="J296" s="12"/>
    </row>
    <row r="297" customFormat="false" ht="15" hidden="false" customHeight="false" outlineLevel="0" collapsed="false">
      <c r="A297" s="14" t="str">
        <f aca="false">IF(OR(B297="",C297="",D297="",E297=""),"",UPPER(B297)&amp;TEXT(C297,"00")&amp;"-"&amp;D297&amp;"-"&amp;TEXT(E297,"00"))</f>
        <v/>
      </c>
      <c r="B297" s="12"/>
      <c r="C297" s="12"/>
      <c r="D297" s="12"/>
      <c r="E297" s="12"/>
      <c r="F297" s="16" t="str">
        <f aca="false">IF(B297="","",IFERROR(INDEX(Zones!$B$2:$B$15,MATCH(B297,Zones!$A$2:$A$15,0)),"⚠ zone inconnue"))</f>
        <v/>
      </c>
      <c r="G297" s="12"/>
      <c r="H297" s="12"/>
      <c r="I297" s="12"/>
      <c r="J297" s="12"/>
    </row>
    <row r="298" customFormat="false" ht="15" hidden="false" customHeight="false" outlineLevel="0" collapsed="false">
      <c r="A298" s="14" t="str">
        <f aca="false">IF(OR(B298="",C298="",D298="",E298=""),"",UPPER(B298)&amp;TEXT(C298,"00")&amp;"-"&amp;D298&amp;"-"&amp;TEXT(E298,"00"))</f>
        <v/>
      </c>
      <c r="B298" s="12"/>
      <c r="C298" s="12"/>
      <c r="D298" s="12"/>
      <c r="E298" s="12"/>
      <c r="F298" s="16" t="str">
        <f aca="false">IF(B298="","",IFERROR(INDEX(Zones!$B$2:$B$15,MATCH(B298,Zones!$A$2:$A$15,0)),"⚠ zone inconnue"))</f>
        <v/>
      </c>
      <c r="G298" s="12"/>
      <c r="H298" s="12"/>
      <c r="I298" s="12"/>
      <c r="J298" s="12"/>
    </row>
    <row r="299" customFormat="false" ht="15" hidden="false" customHeight="false" outlineLevel="0" collapsed="false">
      <c r="A299" s="14" t="str">
        <f aca="false">IF(OR(B299="",C299="",D299="",E299=""),"",UPPER(B299)&amp;TEXT(C299,"00")&amp;"-"&amp;D299&amp;"-"&amp;TEXT(E299,"00"))</f>
        <v/>
      </c>
      <c r="B299" s="12"/>
      <c r="C299" s="12"/>
      <c r="D299" s="12"/>
      <c r="E299" s="12"/>
      <c r="F299" s="16" t="str">
        <f aca="false">IF(B299="","",IFERROR(INDEX(Zones!$B$2:$B$15,MATCH(B299,Zones!$A$2:$A$15,0)),"⚠ zone inconnue"))</f>
        <v/>
      </c>
      <c r="G299" s="12"/>
      <c r="H299" s="12"/>
      <c r="I299" s="12"/>
      <c r="J299" s="12"/>
    </row>
    <row r="300" customFormat="false" ht="15" hidden="false" customHeight="false" outlineLevel="0" collapsed="false">
      <c r="A300" s="14" t="str">
        <f aca="false">IF(OR(B300="",C300="",D300="",E300=""),"",UPPER(B300)&amp;TEXT(C300,"00")&amp;"-"&amp;D300&amp;"-"&amp;TEXT(E300,"00"))</f>
        <v/>
      </c>
      <c r="B300" s="12"/>
      <c r="C300" s="12"/>
      <c r="D300" s="12"/>
      <c r="E300" s="12"/>
      <c r="F300" s="16" t="str">
        <f aca="false">IF(B300="","",IFERROR(INDEX(Zones!$B$2:$B$15,MATCH(B300,Zones!$A$2:$A$15,0)),"⚠ zone inconnue"))</f>
        <v/>
      </c>
      <c r="G300" s="12"/>
      <c r="H300" s="12"/>
      <c r="I300" s="12"/>
      <c r="J300" s="12"/>
    </row>
    <row r="301" customFormat="false" ht="15" hidden="false" customHeight="false" outlineLevel="0" collapsed="false">
      <c r="A301" s="14" t="str">
        <f aca="false">IF(OR(B301="",C301="",D301="",E301=""),"",UPPER(B301)&amp;TEXT(C301,"00")&amp;"-"&amp;D301&amp;"-"&amp;TEXT(E301,"00"))</f>
        <v/>
      </c>
      <c r="B301" s="12"/>
      <c r="C301" s="12"/>
      <c r="D301" s="12"/>
      <c r="E301" s="12"/>
      <c r="F301" s="16" t="str">
        <f aca="false">IF(B301="","",IFERROR(INDEX(Zones!$B$2:$B$15,MATCH(B301,Zones!$A$2:$A$15,0)),"⚠ zone inconnue"))</f>
        <v/>
      </c>
      <c r="G301" s="12"/>
      <c r="H301" s="12"/>
      <c r="I301" s="12"/>
      <c r="J301" s="12"/>
    </row>
    <row r="302" customFormat="false" ht="15" hidden="false" customHeight="false" outlineLevel="0" collapsed="false">
      <c r="A302" s="14" t="str">
        <f aca="false">IF(OR(B302="",C302="",D302="",E302=""),"",UPPER(B302)&amp;TEXT(C302,"00")&amp;"-"&amp;D302&amp;"-"&amp;TEXT(E302,"00"))</f>
        <v/>
      </c>
      <c r="B302" s="12"/>
      <c r="C302" s="12"/>
      <c r="D302" s="12"/>
      <c r="E302" s="12"/>
      <c r="F302" s="16" t="str">
        <f aca="false">IF(B302="","",IFERROR(INDEX(Zones!$B$2:$B$15,MATCH(B302,Zones!$A$2:$A$15,0)),"⚠ zone inconnue"))</f>
        <v/>
      </c>
      <c r="G302" s="12"/>
      <c r="H302" s="12"/>
      <c r="I302" s="12"/>
      <c r="J302" s="12"/>
    </row>
    <row r="303" customFormat="false" ht="15" hidden="false" customHeight="false" outlineLevel="0" collapsed="false">
      <c r="A303" s="14" t="str">
        <f aca="false">IF(OR(B303="",C303="",D303="",E303=""),"",UPPER(B303)&amp;TEXT(C303,"00")&amp;"-"&amp;D303&amp;"-"&amp;TEXT(E303,"00"))</f>
        <v/>
      </c>
      <c r="B303" s="12"/>
      <c r="C303" s="12"/>
      <c r="D303" s="12"/>
      <c r="E303" s="12"/>
      <c r="F303" s="16" t="str">
        <f aca="false">IF(B303="","",IFERROR(INDEX(Zones!$B$2:$B$15,MATCH(B303,Zones!$A$2:$A$15,0)),"⚠ zone inconnue"))</f>
        <v/>
      </c>
      <c r="G303" s="12"/>
      <c r="H303" s="12"/>
      <c r="I303" s="12"/>
      <c r="J303" s="12"/>
    </row>
    <row r="304" customFormat="false" ht="15" hidden="false" customHeight="false" outlineLevel="0" collapsed="false">
      <c r="A304" s="14" t="str">
        <f aca="false">IF(OR(B304="",C304="",D304="",E304=""),"",UPPER(B304)&amp;TEXT(C304,"00")&amp;"-"&amp;D304&amp;"-"&amp;TEXT(E304,"00"))</f>
        <v/>
      </c>
      <c r="B304" s="12"/>
      <c r="C304" s="12"/>
      <c r="D304" s="12"/>
      <c r="E304" s="12"/>
      <c r="F304" s="16" t="str">
        <f aca="false">IF(B304="","",IFERROR(INDEX(Zones!$B$2:$B$15,MATCH(B304,Zones!$A$2:$A$15,0)),"⚠ zone inconnue"))</f>
        <v/>
      </c>
      <c r="G304" s="12"/>
      <c r="H304" s="12"/>
      <c r="I304" s="12"/>
      <c r="J304" s="12"/>
    </row>
    <row r="305" customFormat="false" ht="15" hidden="false" customHeight="false" outlineLevel="0" collapsed="false">
      <c r="A305" s="14" t="str">
        <f aca="false">IF(OR(B305="",C305="",D305="",E305=""),"",UPPER(B305)&amp;TEXT(C305,"00")&amp;"-"&amp;D305&amp;"-"&amp;TEXT(E305,"00"))</f>
        <v/>
      </c>
      <c r="B305" s="12"/>
      <c r="C305" s="12"/>
      <c r="D305" s="12"/>
      <c r="E305" s="12"/>
      <c r="F305" s="16" t="str">
        <f aca="false">IF(B305="","",IFERROR(INDEX(Zones!$B$2:$B$15,MATCH(B305,Zones!$A$2:$A$15,0)),"⚠ zone inconnue"))</f>
        <v/>
      </c>
      <c r="G305" s="12"/>
      <c r="H305" s="12"/>
      <c r="I305" s="12"/>
      <c r="J305" s="12"/>
    </row>
    <row r="306" customFormat="false" ht="15" hidden="false" customHeight="false" outlineLevel="0" collapsed="false">
      <c r="A306" s="14" t="str">
        <f aca="false">IF(OR(B306="",C306="",D306="",E306=""),"",UPPER(B306)&amp;TEXT(C306,"00")&amp;"-"&amp;D306&amp;"-"&amp;TEXT(E306,"00"))</f>
        <v/>
      </c>
      <c r="B306" s="12"/>
      <c r="C306" s="12"/>
      <c r="D306" s="12"/>
      <c r="E306" s="12"/>
      <c r="F306" s="16" t="str">
        <f aca="false">IF(B306="","",IFERROR(INDEX(Zones!$B$2:$B$15,MATCH(B306,Zones!$A$2:$A$15,0)),"⚠ zone inconnue"))</f>
        <v/>
      </c>
      <c r="G306" s="12"/>
      <c r="H306" s="12"/>
      <c r="I306" s="12"/>
      <c r="J306" s="12"/>
    </row>
    <row r="307" customFormat="false" ht="15" hidden="false" customHeight="false" outlineLevel="0" collapsed="false">
      <c r="A307" s="14" t="str">
        <f aca="false">IF(OR(B307="",C307="",D307="",E307=""),"",UPPER(B307)&amp;TEXT(C307,"00")&amp;"-"&amp;D307&amp;"-"&amp;TEXT(E307,"00"))</f>
        <v/>
      </c>
      <c r="B307" s="12"/>
      <c r="C307" s="12"/>
      <c r="D307" s="12"/>
      <c r="E307" s="12"/>
      <c r="F307" s="16" t="str">
        <f aca="false">IF(B307="","",IFERROR(INDEX(Zones!$B$2:$B$15,MATCH(B307,Zones!$A$2:$A$15,0)),"⚠ zone inconnue"))</f>
        <v/>
      </c>
      <c r="G307" s="12"/>
      <c r="H307" s="12"/>
      <c r="I307" s="12"/>
      <c r="J307" s="12"/>
    </row>
    <row r="308" customFormat="false" ht="15" hidden="false" customHeight="false" outlineLevel="0" collapsed="false">
      <c r="A308" s="14" t="str">
        <f aca="false">IF(OR(B308="",C308="",D308="",E308=""),"",UPPER(B308)&amp;TEXT(C308,"00")&amp;"-"&amp;D308&amp;"-"&amp;TEXT(E308,"00"))</f>
        <v/>
      </c>
      <c r="B308" s="12"/>
      <c r="C308" s="12"/>
      <c r="D308" s="12"/>
      <c r="E308" s="12"/>
      <c r="F308" s="16" t="str">
        <f aca="false">IF(B308="","",IFERROR(INDEX(Zones!$B$2:$B$15,MATCH(B308,Zones!$A$2:$A$15,0)),"⚠ zone inconnue"))</f>
        <v/>
      </c>
      <c r="G308" s="12"/>
      <c r="H308" s="12"/>
      <c r="I308" s="12"/>
      <c r="J308" s="12"/>
    </row>
    <row r="309" customFormat="false" ht="15" hidden="false" customHeight="false" outlineLevel="0" collapsed="false">
      <c r="A309" s="14" t="str">
        <f aca="false">IF(OR(B309="",C309="",D309="",E309=""),"",UPPER(B309)&amp;TEXT(C309,"00")&amp;"-"&amp;D309&amp;"-"&amp;TEXT(E309,"00"))</f>
        <v/>
      </c>
      <c r="B309" s="12"/>
      <c r="C309" s="12"/>
      <c r="D309" s="12"/>
      <c r="E309" s="12"/>
      <c r="F309" s="16" t="str">
        <f aca="false">IF(B309="","",IFERROR(INDEX(Zones!$B$2:$B$15,MATCH(B309,Zones!$A$2:$A$15,0)),"⚠ zone inconnue"))</f>
        <v/>
      </c>
      <c r="G309" s="12"/>
      <c r="H309" s="12"/>
      <c r="I309" s="12"/>
      <c r="J309" s="12"/>
    </row>
    <row r="310" customFormat="false" ht="15" hidden="false" customHeight="false" outlineLevel="0" collapsed="false">
      <c r="A310" s="14" t="str">
        <f aca="false">IF(OR(B310="",C310="",D310="",E310=""),"",UPPER(B310)&amp;TEXT(C310,"00")&amp;"-"&amp;D310&amp;"-"&amp;TEXT(E310,"00"))</f>
        <v/>
      </c>
      <c r="B310" s="12"/>
      <c r="C310" s="12"/>
      <c r="D310" s="12"/>
      <c r="E310" s="12"/>
      <c r="F310" s="16" t="str">
        <f aca="false">IF(B310="","",IFERROR(INDEX(Zones!$B$2:$B$15,MATCH(B310,Zones!$A$2:$A$15,0)),"⚠ zone inconnue"))</f>
        <v/>
      </c>
      <c r="G310" s="12"/>
      <c r="H310" s="12"/>
      <c r="I310" s="12"/>
      <c r="J310" s="12"/>
    </row>
    <row r="311" customFormat="false" ht="15" hidden="false" customHeight="false" outlineLevel="0" collapsed="false">
      <c r="A311" s="14" t="str">
        <f aca="false">IF(OR(B311="",C311="",D311="",E311=""),"",UPPER(B311)&amp;TEXT(C311,"00")&amp;"-"&amp;D311&amp;"-"&amp;TEXT(E311,"00"))</f>
        <v/>
      </c>
      <c r="B311" s="12"/>
      <c r="C311" s="12"/>
      <c r="D311" s="12"/>
      <c r="E311" s="12"/>
      <c r="F311" s="16" t="str">
        <f aca="false">IF(B311="","",IFERROR(INDEX(Zones!$B$2:$B$15,MATCH(B311,Zones!$A$2:$A$15,0)),"⚠ zone inconnue"))</f>
        <v/>
      </c>
      <c r="G311" s="12"/>
      <c r="H311" s="12"/>
      <c r="I311" s="12"/>
      <c r="J311" s="12"/>
    </row>
    <row r="312" customFormat="false" ht="15" hidden="false" customHeight="false" outlineLevel="0" collapsed="false">
      <c r="A312" s="14" t="str">
        <f aca="false">IF(OR(B312="",C312="",D312="",E312=""),"",UPPER(B312)&amp;TEXT(C312,"00")&amp;"-"&amp;D312&amp;"-"&amp;TEXT(E312,"00"))</f>
        <v/>
      </c>
      <c r="B312" s="12"/>
      <c r="C312" s="12"/>
      <c r="D312" s="12"/>
      <c r="E312" s="12"/>
      <c r="F312" s="16" t="str">
        <f aca="false">IF(B312="","",IFERROR(INDEX(Zones!$B$2:$B$15,MATCH(B312,Zones!$A$2:$A$15,0)),"⚠ zone inconnue"))</f>
        <v/>
      </c>
      <c r="G312" s="12"/>
      <c r="H312" s="12"/>
      <c r="I312" s="12"/>
      <c r="J312" s="12"/>
    </row>
    <row r="313" customFormat="false" ht="15" hidden="false" customHeight="false" outlineLevel="0" collapsed="false">
      <c r="A313" s="14" t="str">
        <f aca="false">IF(OR(B313="",C313="",D313="",E313=""),"",UPPER(B313)&amp;TEXT(C313,"00")&amp;"-"&amp;D313&amp;"-"&amp;TEXT(E313,"00"))</f>
        <v/>
      </c>
      <c r="B313" s="12"/>
      <c r="C313" s="12"/>
      <c r="D313" s="12"/>
      <c r="E313" s="12"/>
      <c r="F313" s="16" t="str">
        <f aca="false">IF(B313="","",IFERROR(INDEX(Zones!$B$2:$B$15,MATCH(B313,Zones!$A$2:$A$15,0)),"⚠ zone inconnue"))</f>
        <v/>
      </c>
      <c r="G313" s="12"/>
      <c r="H313" s="12"/>
      <c r="I313" s="12"/>
      <c r="J313" s="12"/>
    </row>
    <row r="314" customFormat="false" ht="15" hidden="false" customHeight="false" outlineLevel="0" collapsed="false">
      <c r="A314" s="14" t="str">
        <f aca="false">IF(OR(B314="",C314="",D314="",E314=""),"",UPPER(B314)&amp;TEXT(C314,"00")&amp;"-"&amp;D314&amp;"-"&amp;TEXT(E314,"00"))</f>
        <v/>
      </c>
      <c r="B314" s="12"/>
      <c r="C314" s="12"/>
      <c r="D314" s="12"/>
      <c r="E314" s="12"/>
      <c r="F314" s="16" t="str">
        <f aca="false">IF(B314="","",IFERROR(INDEX(Zones!$B$2:$B$15,MATCH(B314,Zones!$A$2:$A$15,0)),"⚠ zone inconnue"))</f>
        <v/>
      </c>
      <c r="G314" s="12"/>
      <c r="H314" s="12"/>
      <c r="I314" s="12"/>
      <c r="J314" s="12"/>
    </row>
    <row r="315" customFormat="false" ht="15" hidden="false" customHeight="false" outlineLevel="0" collapsed="false">
      <c r="A315" s="14" t="str">
        <f aca="false">IF(OR(B315="",C315="",D315="",E315=""),"",UPPER(B315)&amp;TEXT(C315,"00")&amp;"-"&amp;D315&amp;"-"&amp;TEXT(E315,"00"))</f>
        <v/>
      </c>
      <c r="B315" s="12"/>
      <c r="C315" s="12"/>
      <c r="D315" s="12"/>
      <c r="E315" s="12"/>
      <c r="F315" s="16" t="str">
        <f aca="false">IF(B315="","",IFERROR(INDEX(Zones!$B$2:$B$15,MATCH(B315,Zones!$A$2:$A$15,0)),"⚠ zone inconnue"))</f>
        <v/>
      </c>
      <c r="G315" s="12"/>
      <c r="H315" s="12"/>
      <c r="I315" s="12"/>
      <c r="J315" s="12"/>
    </row>
    <row r="316" customFormat="false" ht="15" hidden="false" customHeight="false" outlineLevel="0" collapsed="false">
      <c r="A316" s="14" t="str">
        <f aca="false">IF(OR(B316="",C316="",D316="",E316=""),"",UPPER(B316)&amp;TEXT(C316,"00")&amp;"-"&amp;D316&amp;"-"&amp;TEXT(E316,"00"))</f>
        <v/>
      </c>
      <c r="B316" s="12"/>
      <c r="C316" s="12"/>
      <c r="D316" s="12"/>
      <c r="E316" s="12"/>
      <c r="F316" s="16" t="str">
        <f aca="false">IF(B316="","",IFERROR(INDEX(Zones!$B$2:$B$15,MATCH(B316,Zones!$A$2:$A$15,0)),"⚠ zone inconnue"))</f>
        <v/>
      </c>
      <c r="G316" s="12"/>
      <c r="H316" s="12"/>
      <c r="I316" s="12"/>
      <c r="J316" s="12"/>
    </row>
    <row r="317" customFormat="false" ht="15" hidden="false" customHeight="false" outlineLevel="0" collapsed="false">
      <c r="A317" s="14" t="str">
        <f aca="false">IF(OR(B317="",C317="",D317="",E317=""),"",UPPER(B317)&amp;TEXT(C317,"00")&amp;"-"&amp;D317&amp;"-"&amp;TEXT(E317,"00"))</f>
        <v/>
      </c>
      <c r="B317" s="12"/>
      <c r="C317" s="12"/>
      <c r="D317" s="12"/>
      <c r="E317" s="12"/>
      <c r="F317" s="16" t="str">
        <f aca="false">IF(B317="","",IFERROR(INDEX(Zones!$B$2:$B$15,MATCH(B317,Zones!$A$2:$A$15,0)),"⚠ zone inconnue"))</f>
        <v/>
      </c>
      <c r="G317" s="12"/>
      <c r="H317" s="12"/>
      <c r="I317" s="12"/>
      <c r="J317" s="12"/>
    </row>
    <row r="318" customFormat="false" ht="15" hidden="false" customHeight="false" outlineLevel="0" collapsed="false">
      <c r="A318" s="14" t="str">
        <f aca="false">IF(OR(B318="",C318="",D318="",E318=""),"",UPPER(B318)&amp;TEXT(C318,"00")&amp;"-"&amp;D318&amp;"-"&amp;TEXT(E318,"00"))</f>
        <v/>
      </c>
      <c r="B318" s="12"/>
      <c r="C318" s="12"/>
      <c r="D318" s="12"/>
      <c r="E318" s="12"/>
      <c r="F318" s="16" t="str">
        <f aca="false">IF(B318="","",IFERROR(INDEX(Zones!$B$2:$B$15,MATCH(B318,Zones!$A$2:$A$15,0)),"⚠ zone inconnue"))</f>
        <v/>
      </c>
      <c r="G318" s="12"/>
      <c r="H318" s="12"/>
      <c r="I318" s="12"/>
      <c r="J318" s="12"/>
    </row>
    <row r="319" customFormat="false" ht="15" hidden="false" customHeight="false" outlineLevel="0" collapsed="false">
      <c r="A319" s="14" t="str">
        <f aca="false">IF(OR(B319="",C319="",D319="",E319=""),"",UPPER(B319)&amp;TEXT(C319,"00")&amp;"-"&amp;D319&amp;"-"&amp;TEXT(E319,"00"))</f>
        <v/>
      </c>
      <c r="B319" s="12"/>
      <c r="C319" s="12"/>
      <c r="D319" s="12"/>
      <c r="E319" s="12"/>
      <c r="F319" s="16" t="str">
        <f aca="false">IF(B319="","",IFERROR(INDEX(Zones!$B$2:$B$15,MATCH(B319,Zones!$A$2:$A$15,0)),"⚠ zone inconnue"))</f>
        <v/>
      </c>
      <c r="G319" s="12"/>
      <c r="H319" s="12"/>
      <c r="I319" s="12"/>
      <c r="J319" s="12"/>
    </row>
    <row r="320" customFormat="false" ht="15" hidden="false" customHeight="false" outlineLevel="0" collapsed="false">
      <c r="A320" s="14" t="str">
        <f aca="false">IF(OR(B320="",C320="",D320="",E320=""),"",UPPER(B320)&amp;TEXT(C320,"00")&amp;"-"&amp;D320&amp;"-"&amp;TEXT(E320,"00"))</f>
        <v/>
      </c>
      <c r="B320" s="12"/>
      <c r="C320" s="12"/>
      <c r="D320" s="12"/>
      <c r="E320" s="12"/>
      <c r="F320" s="16" t="str">
        <f aca="false">IF(B320="","",IFERROR(INDEX(Zones!$B$2:$B$15,MATCH(B320,Zones!$A$2:$A$15,0)),"⚠ zone inconnue"))</f>
        <v/>
      </c>
      <c r="G320" s="12"/>
      <c r="H320" s="12"/>
      <c r="I320" s="12"/>
      <c r="J320" s="12"/>
    </row>
    <row r="321" customFormat="false" ht="15" hidden="false" customHeight="false" outlineLevel="0" collapsed="false">
      <c r="A321" s="14" t="str">
        <f aca="false">IF(OR(B321="",C321="",D321="",E321=""),"",UPPER(B321)&amp;TEXT(C321,"00")&amp;"-"&amp;D321&amp;"-"&amp;TEXT(E321,"00"))</f>
        <v/>
      </c>
      <c r="B321" s="12"/>
      <c r="C321" s="12"/>
      <c r="D321" s="12"/>
      <c r="E321" s="12"/>
      <c r="F321" s="16" t="str">
        <f aca="false">IF(B321="","",IFERROR(INDEX(Zones!$B$2:$B$15,MATCH(B321,Zones!$A$2:$A$15,0)),"⚠ zone inconnue"))</f>
        <v/>
      </c>
      <c r="G321" s="12"/>
      <c r="H321" s="12"/>
      <c r="I321" s="12"/>
      <c r="J321" s="12"/>
    </row>
    <row r="322" customFormat="false" ht="15" hidden="false" customHeight="false" outlineLevel="0" collapsed="false">
      <c r="A322" s="14" t="str">
        <f aca="false">IF(OR(B322="",C322="",D322="",E322=""),"",UPPER(B322)&amp;TEXT(C322,"00")&amp;"-"&amp;D322&amp;"-"&amp;TEXT(E322,"00"))</f>
        <v/>
      </c>
      <c r="B322" s="12"/>
      <c r="C322" s="12"/>
      <c r="D322" s="12"/>
      <c r="E322" s="12"/>
      <c r="F322" s="16" t="str">
        <f aca="false">IF(B322="","",IFERROR(INDEX(Zones!$B$2:$B$15,MATCH(B322,Zones!$A$2:$A$15,0)),"⚠ zone inconnue"))</f>
        <v/>
      </c>
      <c r="G322" s="12"/>
      <c r="H322" s="12"/>
      <c r="I322" s="12"/>
      <c r="J322" s="12"/>
    </row>
    <row r="323" customFormat="false" ht="15" hidden="false" customHeight="false" outlineLevel="0" collapsed="false">
      <c r="A323" s="14" t="str">
        <f aca="false">IF(OR(B323="",C323="",D323="",E323=""),"",UPPER(B323)&amp;TEXT(C323,"00")&amp;"-"&amp;D323&amp;"-"&amp;TEXT(E323,"00"))</f>
        <v/>
      </c>
      <c r="B323" s="12"/>
      <c r="C323" s="12"/>
      <c r="D323" s="12"/>
      <c r="E323" s="12"/>
      <c r="F323" s="16" t="str">
        <f aca="false">IF(B323="","",IFERROR(INDEX(Zones!$B$2:$B$15,MATCH(B323,Zones!$A$2:$A$15,0)),"⚠ zone inconnue"))</f>
        <v/>
      </c>
      <c r="G323" s="12"/>
      <c r="H323" s="12"/>
      <c r="I323" s="12"/>
      <c r="J323" s="12"/>
    </row>
    <row r="324" customFormat="false" ht="15" hidden="false" customHeight="false" outlineLevel="0" collapsed="false">
      <c r="A324" s="14" t="str">
        <f aca="false">IF(OR(B324="",C324="",D324="",E324=""),"",UPPER(B324)&amp;TEXT(C324,"00")&amp;"-"&amp;D324&amp;"-"&amp;TEXT(E324,"00"))</f>
        <v/>
      </c>
      <c r="B324" s="12"/>
      <c r="C324" s="12"/>
      <c r="D324" s="12"/>
      <c r="E324" s="12"/>
      <c r="F324" s="16" t="str">
        <f aca="false">IF(B324="","",IFERROR(INDEX(Zones!$B$2:$B$15,MATCH(B324,Zones!$A$2:$A$15,0)),"⚠ zone inconnue"))</f>
        <v/>
      </c>
      <c r="G324" s="12"/>
      <c r="H324" s="12"/>
      <c r="I324" s="12"/>
      <c r="J324" s="12"/>
    </row>
    <row r="325" customFormat="false" ht="15" hidden="false" customHeight="false" outlineLevel="0" collapsed="false">
      <c r="A325" s="14" t="str">
        <f aca="false">IF(OR(B325="",C325="",D325="",E325=""),"",UPPER(B325)&amp;TEXT(C325,"00")&amp;"-"&amp;D325&amp;"-"&amp;TEXT(E325,"00"))</f>
        <v/>
      </c>
      <c r="B325" s="12"/>
      <c r="C325" s="12"/>
      <c r="D325" s="12"/>
      <c r="E325" s="12"/>
      <c r="F325" s="16" t="str">
        <f aca="false">IF(B325="","",IFERROR(INDEX(Zones!$B$2:$B$15,MATCH(B325,Zones!$A$2:$A$15,0)),"⚠ zone inconnue"))</f>
        <v/>
      </c>
      <c r="G325" s="12"/>
      <c r="H325" s="12"/>
      <c r="I325" s="12"/>
      <c r="J325" s="12"/>
    </row>
    <row r="326" customFormat="false" ht="15" hidden="false" customHeight="false" outlineLevel="0" collapsed="false">
      <c r="A326" s="14" t="str">
        <f aca="false">IF(OR(B326="",C326="",D326="",E326=""),"",UPPER(B326)&amp;TEXT(C326,"00")&amp;"-"&amp;D326&amp;"-"&amp;TEXT(E326,"00"))</f>
        <v/>
      </c>
      <c r="B326" s="12"/>
      <c r="C326" s="12"/>
      <c r="D326" s="12"/>
      <c r="E326" s="12"/>
      <c r="F326" s="16" t="str">
        <f aca="false">IF(B326="","",IFERROR(INDEX(Zones!$B$2:$B$15,MATCH(B326,Zones!$A$2:$A$15,0)),"⚠ zone inconnue"))</f>
        <v/>
      </c>
      <c r="G326" s="12"/>
      <c r="H326" s="12"/>
      <c r="I326" s="12"/>
      <c r="J326" s="12"/>
    </row>
    <row r="327" customFormat="false" ht="15" hidden="false" customHeight="false" outlineLevel="0" collapsed="false">
      <c r="A327" s="14" t="str">
        <f aca="false">IF(OR(B327="",C327="",D327="",E327=""),"",UPPER(B327)&amp;TEXT(C327,"00")&amp;"-"&amp;D327&amp;"-"&amp;TEXT(E327,"00"))</f>
        <v/>
      </c>
      <c r="B327" s="12"/>
      <c r="C327" s="12"/>
      <c r="D327" s="12"/>
      <c r="E327" s="12"/>
      <c r="F327" s="16" t="str">
        <f aca="false">IF(B327="","",IFERROR(INDEX(Zones!$B$2:$B$15,MATCH(B327,Zones!$A$2:$A$15,0)),"⚠ zone inconnue"))</f>
        <v/>
      </c>
      <c r="G327" s="12"/>
      <c r="H327" s="12"/>
      <c r="I327" s="12"/>
      <c r="J327" s="12"/>
    </row>
    <row r="328" customFormat="false" ht="15" hidden="false" customHeight="false" outlineLevel="0" collapsed="false">
      <c r="A328" s="14" t="str">
        <f aca="false">IF(OR(B328="",C328="",D328="",E328=""),"",UPPER(B328)&amp;TEXT(C328,"00")&amp;"-"&amp;D328&amp;"-"&amp;TEXT(E328,"00"))</f>
        <v/>
      </c>
      <c r="B328" s="12"/>
      <c r="C328" s="12"/>
      <c r="D328" s="12"/>
      <c r="E328" s="12"/>
      <c r="F328" s="16" t="str">
        <f aca="false">IF(B328="","",IFERROR(INDEX(Zones!$B$2:$B$15,MATCH(B328,Zones!$A$2:$A$15,0)),"⚠ zone inconnue"))</f>
        <v/>
      </c>
      <c r="G328" s="12"/>
      <c r="H328" s="12"/>
      <c r="I328" s="12"/>
      <c r="J328" s="12"/>
    </row>
    <row r="329" customFormat="false" ht="15" hidden="false" customHeight="false" outlineLevel="0" collapsed="false">
      <c r="A329" s="14" t="str">
        <f aca="false">IF(OR(B329="",C329="",D329="",E329=""),"",UPPER(B329)&amp;TEXT(C329,"00")&amp;"-"&amp;D329&amp;"-"&amp;TEXT(E329,"00"))</f>
        <v/>
      </c>
      <c r="B329" s="12"/>
      <c r="C329" s="12"/>
      <c r="D329" s="12"/>
      <c r="E329" s="12"/>
      <c r="F329" s="16" t="str">
        <f aca="false">IF(B329="","",IFERROR(INDEX(Zones!$B$2:$B$15,MATCH(B329,Zones!$A$2:$A$15,0)),"⚠ zone inconnue"))</f>
        <v/>
      </c>
      <c r="G329" s="12"/>
      <c r="H329" s="12"/>
      <c r="I329" s="12"/>
      <c r="J329" s="12"/>
    </row>
    <row r="330" customFormat="false" ht="15" hidden="false" customHeight="false" outlineLevel="0" collapsed="false">
      <c r="A330" s="14" t="str">
        <f aca="false">IF(OR(B330="",C330="",D330="",E330=""),"",UPPER(B330)&amp;TEXT(C330,"00")&amp;"-"&amp;D330&amp;"-"&amp;TEXT(E330,"00"))</f>
        <v/>
      </c>
      <c r="B330" s="12"/>
      <c r="C330" s="12"/>
      <c r="D330" s="12"/>
      <c r="E330" s="12"/>
      <c r="F330" s="16" t="str">
        <f aca="false">IF(B330="","",IFERROR(INDEX(Zones!$B$2:$B$15,MATCH(B330,Zones!$A$2:$A$15,0)),"⚠ zone inconnue"))</f>
        <v/>
      </c>
      <c r="G330" s="12"/>
      <c r="H330" s="12"/>
      <c r="I330" s="12"/>
      <c r="J330" s="12"/>
    </row>
    <row r="331" customFormat="false" ht="15" hidden="false" customHeight="false" outlineLevel="0" collapsed="false">
      <c r="A331" s="14" t="str">
        <f aca="false">IF(OR(B331="",C331="",D331="",E331=""),"",UPPER(B331)&amp;TEXT(C331,"00")&amp;"-"&amp;D331&amp;"-"&amp;TEXT(E331,"00"))</f>
        <v/>
      </c>
      <c r="B331" s="12"/>
      <c r="C331" s="12"/>
      <c r="D331" s="12"/>
      <c r="E331" s="12"/>
      <c r="F331" s="16" t="str">
        <f aca="false">IF(B331="","",IFERROR(INDEX(Zones!$B$2:$B$15,MATCH(B331,Zones!$A$2:$A$15,0)),"⚠ zone inconnue"))</f>
        <v/>
      </c>
      <c r="G331" s="12"/>
      <c r="H331" s="12"/>
      <c r="I331" s="12"/>
      <c r="J331" s="12"/>
    </row>
    <row r="332" customFormat="false" ht="15" hidden="false" customHeight="false" outlineLevel="0" collapsed="false">
      <c r="A332" s="14" t="str">
        <f aca="false">IF(OR(B332="",C332="",D332="",E332=""),"",UPPER(B332)&amp;TEXT(C332,"00")&amp;"-"&amp;D332&amp;"-"&amp;TEXT(E332,"00"))</f>
        <v/>
      </c>
      <c r="B332" s="12"/>
      <c r="C332" s="12"/>
      <c r="D332" s="12"/>
      <c r="E332" s="12"/>
      <c r="F332" s="16" t="str">
        <f aca="false">IF(B332="","",IFERROR(INDEX(Zones!$B$2:$B$15,MATCH(B332,Zones!$A$2:$A$15,0)),"⚠ zone inconnue"))</f>
        <v/>
      </c>
      <c r="G332" s="12"/>
      <c r="H332" s="12"/>
      <c r="I332" s="12"/>
      <c r="J332" s="12"/>
    </row>
    <row r="333" customFormat="false" ht="15" hidden="false" customHeight="false" outlineLevel="0" collapsed="false">
      <c r="A333" s="14" t="str">
        <f aca="false">IF(OR(B333="",C333="",D333="",E333=""),"",UPPER(B333)&amp;TEXT(C333,"00")&amp;"-"&amp;D333&amp;"-"&amp;TEXT(E333,"00"))</f>
        <v/>
      </c>
      <c r="B333" s="12"/>
      <c r="C333" s="12"/>
      <c r="D333" s="12"/>
      <c r="E333" s="12"/>
      <c r="F333" s="16" t="str">
        <f aca="false">IF(B333="","",IFERROR(INDEX(Zones!$B$2:$B$15,MATCH(B333,Zones!$A$2:$A$15,0)),"⚠ zone inconnue"))</f>
        <v/>
      </c>
      <c r="G333" s="12"/>
      <c r="H333" s="12"/>
      <c r="I333" s="12"/>
      <c r="J333" s="12"/>
    </row>
    <row r="334" customFormat="false" ht="15" hidden="false" customHeight="false" outlineLevel="0" collapsed="false">
      <c r="A334" s="14" t="str">
        <f aca="false">IF(OR(B334="",C334="",D334="",E334=""),"",UPPER(B334)&amp;TEXT(C334,"00")&amp;"-"&amp;D334&amp;"-"&amp;TEXT(E334,"00"))</f>
        <v/>
      </c>
      <c r="B334" s="12"/>
      <c r="C334" s="12"/>
      <c r="D334" s="12"/>
      <c r="E334" s="12"/>
      <c r="F334" s="16" t="str">
        <f aca="false">IF(B334="","",IFERROR(INDEX(Zones!$B$2:$B$15,MATCH(B334,Zones!$A$2:$A$15,0)),"⚠ zone inconnue"))</f>
        <v/>
      </c>
      <c r="G334" s="12"/>
      <c r="H334" s="12"/>
      <c r="I334" s="12"/>
      <c r="J334" s="12"/>
    </row>
    <row r="335" customFormat="false" ht="15" hidden="false" customHeight="false" outlineLevel="0" collapsed="false">
      <c r="A335" s="14" t="str">
        <f aca="false">IF(OR(B335="",C335="",D335="",E335=""),"",UPPER(B335)&amp;TEXT(C335,"00")&amp;"-"&amp;D335&amp;"-"&amp;TEXT(E335,"00"))</f>
        <v/>
      </c>
      <c r="B335" s="12"/>
      <c r="C335" s="12"/>
      <c r="D335" s="12"/>
      <c r="E335" s="12"/>
      <c r="F335" s="16" t="str">
        <f aca="false">IF(B335="","",IFERROR(INDEX(Zones!$B$2:$B$15,MATCH(B335,Zones!$A$2:$A$15,0)),"⚠ zone inconnue"))</f>
        <v/>
      </c>
      <c r="G335" s="12"/>
      <c r="H335" s="12"/>
      <c r="I335" s="12"/>
      <c r="J335" s="12"/>
    </row>
    <row r="336" customFormat="false" ht="15" hidden="false" customHeight="false" outlineLevel="0" collapsed="false">
      <c r="A336" s="14" t="str">
        <f aca="false">IF(OR(B336="",C336="",D336="",E336=""),"",UPPER(B336)&amp;TEXT(C336,"00")&amp;"-"&amp;D336&amp;"-"&amp;TEXT(E336,"00"))</f>
        <v/>
      </c>
      <c r="B336" s="12"/>
      <c r="C336" s="12"/>
      <c r="D336" s="12"/>
      <c r="E336" s="12"/>
      <c r="F336" s="16" t="str">
        <f aca="false">IF(B336="","",IFERROR(INDEX(Zones!$B$2:$B$15,MATCH(B336,Zones!$A$2:$A$15,0)),"⚠ zone inconnue"))</f>
        <v/>
      </c>
      <c r="G336" s="12"/>
      <c r="H336" s="12"/>
      <c r="I336" s="12"/>
      <c r="J336" s="12"/>
    </row>
    <row r="337" customFormat="false" ht="15" hidden="false" customHeight="false" outlineLevel="0" collapsed="false">
      <c r="A337" s="14" t="str">
        <f aca="false">IF(OR(B337="",C337="",D337="",E337=""),"",UPPER(B337)&amp;TEXT(C337,"00")&amp;"-"&amp;D337&amp;"-"&amp;TEXT(E337,"00"))</f>
        <v/>
      </c>
      <c r="B337" s="12"/>
      <c r="C337" s="12"/>
      <c r="D337" s="12"/>
      <c r="E337" s="12"/>
      <c r="F337" s="16" t="str">
        <f aca="false">IF(B337="","",IFERROR(INDEX(Zones!$B$2:$B$15,MATCH(B337,Zones!$A$2:$A$15,0)),"⚠ zone inconnue"))</f>
        <v/>
      </c>
      <c r="G337" s="12"/>
      <c r="H337" s="12"/>
      <c r="I337" s="12"/>
      <c r="J337" s="12"/>
    </row>
    <row r="338" customFormat="false" ht="15" hidden="false" customHeight="false" outlineLevel="0" collapsed="false">
      <c r="A338" s="14" t="str">
        <f aca="false">IF(OR(B338="",C338="",D338="",E338=""),"",UPPER(B338)&amp;TEXT(C338,"00")&amp;"-"&amp;D338&amp;"-"&amp;TEXT(E338,"00"))</f>
        <v/>
      </c>
      <c r="B338" s="12"/>
      <c r="C338" s="12"/>
      <c r="D338" s="12"/>
      <c r="E338" s="12"/>
      <c r="F338" s="16" t="str">
        <f aca="false">IF(B338="","",IFERROR(INDEX(Zones!$B$2:$B$15,MATCH(B338,Zones!$A$2:$A$15,0)),"⚠ zone inconnue"))</f>
        <v/>
      </c>
      <c r="G338" s="12"/>
      <c r="H338" s="12"/>
      <c r="I338" s="12"/>
      <c r="J338" s="12"/>
    </row>
    <row r="339" customFormat="false" ht="15" hidden="false" customHeight="false" outlineLevel="0" collapsed="false">
      <c r="A339" s="14" t="str">
        <f aca="false">IF(OR(B339="",C339="",D339="",E339=""),"",UPPER(B339)&amp;TEXT(C339,"00")&amp;"-"&amp;D339&amp;"-"&amp;TEXT(E339,"00"))</f>
        <v/>
      </c>
      <c r="B339" s="12"/>
      <c r="C339" s="12"/>
      <c r="D339" s="12"/>
      <c r="E339" s="12"/>
      <c r="F339" s="16" t="str">
        <f aca="false">IF(B339="","",IFERROR(INDEX(Zones!$B$2:$B$15,MATCH(B339,Zones!$A$2:$A$15,0)),"⚠ zone inconnue"))</f>
        <v/>
      </c>
      <c r="G339" s="12"/>
      <c r="H339" s="12"/>
      <c r="I339" s="12"/>
      <c r="J339" s="12"/>
    </row>
    <row r="340" customFormat="false" ht="15" hidden="false" customHeight="false" outlineLevel="0" collapsed="false">
      <c r="A340" s="14" t="str">
        <f aca="false">IF(OR(B340="",C340="",D340="",E340=""),"",UPPER(B340)&amp;TEXT(C340,"00")&amp;"-"&amp;D340&amp;"-"&amp;TEXT(E340,"00"))</f>
        <v/>
      </c>
      <c r="B340" s="12"/>
      <c r="C340" s="12"/>
      <c r="D340" s="12"/>
      <c r="E340" s="12"/>
      <c r="F340" s="16" t="str">
        <f aca="false">IF(B340="","",IFERROR(INDEX(Zones!$B$2:$B$15,MATCH(B340,Zones!$A$2:$A$15,0)),"⚠ zone inconnue"))</f>
        <v/>
      </c>
      <c r="G340" s="12"/>
      <c r="H340" s="12"/>
      <c r="I340" s="12"/>
      <c r="J340" s="12"/>
    </row>
    <row r="341" customFormat="false" ht="15" hidden="false" customHeight="false" outlineLevel="0" collapsed="false">
      <c r="A341" s="14" t="str">
        <f aca="false">IF(OR(B341="",C341="",D341="",E341=""),"",UPPER(B341)&amp;TEXT(C341,"00")&amp;"-"&amp;D341&amp;"-"&amp;TEXT(E341,"00"))</f>
        <v/>
      </c>
      <c r="B341" s="12"/>
      <c r="C341" s="12"/>
      <c r="D341" s="12"/>
      <c r="E341" s="12"/>
      <c r="F341" s="16" t="str">
        <f aca="false">IF(B341="","",IFERROR(INDEX(Zones!$B$2:$B$15,MATCH(B341,Zones!$A$2:$A$15,0)),"⚠ zone inconnue"))</f>
        <v/>
      </c>
      <c r="G341" s="12"/>
      <c r="H341" s="12"/>
      <c r="I341" s="12"/>
      <c r="J341" s="12"/>
    </row>
    <row r="342" customFormat="false" ht="15" hidden="false" customHeight="false" outlineLevel="0" collapsed="false">
      <c r="A342" s="14" t="str">
        <f aca="false">IF(OR(B342="",C342="",D342="",E342=""),"",UPPER(B342)&amp;TEXT(C342,"00")&amp;"-"&amp;D342&amp;"-"&amp;TEXT(E342,"00"))</f>
        <v/>
      </c>
      <c r="B342" s="12"/>
      <c r="C342" s="12"/>
      <c r="D342" s="12"/>
      <c r="E342" s="12"/>
      <c r="F342" s="16" t="str">
        <f aca="false">IF(B342="","",IFERROR(INDEX(Zones!$B$2:$B$15,MATCH(B342,Zones!$A$2:$A$15,0)),"⚠ zone inconnue"))</f>
        <v/>
      </c>
      <c r="G342" s="12"/>
      <c r="H342" s="12"/>
      <c r="I342" s="12"/>
      <c r="J342" s="12"/>
    </row>
    <row r="343" customFormat="false" ht="15" hidden="false" customHeight="false" outlineLevel="0" collapsed="false">
      <c r="A343" s="14" t="str">
        <f aca="false">IF(OR(B343="",C343="",D343="",E343=""),"",UPPER(B343)&amp;TEXT(C343,"00")&amp;"-"&amp;D343&amp;"-"&amp;TEXT(E343,"00"))</f>
        <v/>
      </c>
      <c r="B343" s="12"/>
      <c r="C343" s="12"/>
      <c r="D343" s="12"/>
      <c r="E343" s="12"/>
      <c r="F343" s="16" t="str">
        <f aca="false">IF(B343="","",IFERROR(INDEX(Zones!$B$2:$B$15,MATCH(B343,Zones!$A$2:$A$15,0)),"⚠ zone inconnue"))</f>
        <v/>
      </c>
      <c r="G343" s="12"/>
      <c r="H343" s="12"/>
      <c r="I343" s="12"/>
      <c r="J343" s="12"/>
    </row>
    <row r="344" customFormat="false" ht="15" hidden="false" customHeight="false" outlineLevel="0" collapsed="false">
      <c r="A344" s="14" t="str">
        <f aca="false">IF(OR(B344="",C344="",D344="",E344=""),"",UPPER(B344)&amp;TEXT(C344,"00")&amp;"-"&amp;D344&amp;"-"&amp;TEXT(E344,"00"))</f>
        <v/>
      </c>
      <c r="B344" s="12"/>
      <c r="C344" s="12"/>
      <c r="D344" s="12"/>
      <c r="E344" s="12"/>
      <c r="F344" s="16" t="str">
        <f aca="false">IF(B344="","",IFERROR(INDEX(Zones!$B$2:$B$15,MATCH(B344,Zones!$A$2:$A$15,0)),"⚠ zone inconnue"))</f>
        <v/>
      </c>
      <c r="G344" s="12"/>
      <c r="H344" s="12"/>
      <c r="I344" s="12"/>
      <c r="J344" s="12"/>
    </row>
    <row r="345" customFormat="false" ht="15" hidden="false" customHeight="false" outlineLevel="0" collapsed="false">
      <c r="A345" s="14" t="str">
        <f aca="false">IF(OR(B345="",C345="",D345="",E345=""),"",UPPER(B345)&amp;TEXT(C345,"00")&amp;"-"&amp;D345&amp;"-"&amp;TEXT(E345,"00"))</f>
        <v/>
      </c>
      <c r="B345" s="12"/>
      <c r="C345" s="12"/>
      <c r="D345" s="12"/>
      <c r="E345" s="12"/>
      <c r="F345" s="16" t="str">
        <f aca="false">IF(B345="","",IFERROR(INDEX(Zones!$B$2:$B$15,MATCH(B345,Zones!$A$2:$A$15,0)),"⚠ zone inconnue"))</f>
        <v/>
      </c>
      <c r="G345" s="12"/>
      <c r="H345" s="12"/>
      <c r="I345" s="12"/>
      <c r="J345" s="12"/>
    </row>
    <row r="346" customFormat="false" ht="15" hidden="false" customHeight="false" outlineLevel="0" collapsed="false">
      <c r="A346" s="14" t="str">
        <f aca="false">IF(OR(B346="",C346="",D346="",E346=""),"",UPPER(B346)&amp;TEXT(C346,"00")&amp;"-"&amp;D346&amp;"-"&amp;TEXT(E346,"00"))</f>
        <v/>
      </c>
      <c r="B346" s="12"/>
      <c r="C346" s="12"/>
      <c r="D346" s="12"/>
      <c r="E346" s="12"/>
      <c r="F346" s="16" t="str">
        <f aca="false">IF(B346="","",IFERROR(INDEX(Zones!$B$2:$B$15,MATCH(B346,Zones!$A$2:$A$15,0)),"⚠ zone inconnue"))</f>
        <v/>
      </c>
      <c r="G346" s="12"/>
      <c r="H346" s="12"/>
      <c r="I346" s="12"/>
      <c r="J346" s="12"/>
    </row>
    <row r="347" customFormat="false" ht="15" hidden="false" customHeight="false" outlineLevel="0" collapsed="false">
      <c r="A347" s="14" t="str">
        <f aca="false">IF(OR(B347="",C347="",D347="",E347=""),"",UPPER(B347)&amp;TEXT(C347,"00")&amp;"-"&amp;D347&amp;"-"&amp;TEXT(E347,"00"))</f>
        <v/>
      </c>
      <c r="B347" s="12"/>
      <c r="C347" s="12"/>
      <c r="D347" s="12"/>
      <c r="E347" s="12"/>
      <c r="F347" s="16" t="str">
        <f aca="false">IF(B347="","",IFERROR(INDEX(Zones!$B$2:$B$15,MATCH(B347,Zones!$A$2:$A$15,0)),"⚠ zone inconnue"))</f>
        <v/>
      </c>
      <c r="G347" s="12"/>
      <c r="H347" s="12"/>
      <c r="I347" s="12"/>
      <c r="J347" s="12"/>
    </row>
    <row r="348" customFormat="false" ht="15" hidden="false" customHeight="false" outlineLevel="0" collapsed="false">
      <c r="A348" s="14" t="str">
        <f aca="false">IF(OR(B348="",C348="",D348="",E348=""),"",UPPER(B348)&amp;TEXT(C348,"00")&amp;"-"&amp;D348&amp;"-"&amp;TEXT(E348,"00"))</f>
        <v/>
      </c>
      <c r="B348" s="12"/>
      <c r="C348" s="12"/>
      <c r="D348" s="12"/>
      <c r="E348" s="12"/>
      <c r="F348" s="16" t="str">
        <f aca="false">IF(B348="","",IFERROR(INDEX(Zones!$B$2:$B$15,MATCH(B348,Zones!$A$2:$A$15,0)),"⚠ zone inconnue"))</f>
        <v/>
      </c>
      <c r="G348" s="12"/>
      <c r="H348" s="12"/>
      <c r="I348" s="12"/>
      <c r="J348" s="12"/>
    </row>
    <row r="349" customFormat="false" ht="15" hidden="false" customHeight="false" outlineLevel="0" collapsed="false">
      <c r="A349" s="14" t="str">
        <f aca="false">IF(OR(B349="",C349="",D349="",E349=""),"",UPPER(B349)&amp;TEXT(C349,"00")&amp;"-"&amp;D349&amp;"-"&amp;TEXT(E349,"00"))</f>
        <v/>
      </c>
      <c r="B349" s="12"/>
      <c r="C349" s="12"/>
      <c r="D349" s="12"/>
      <c r="E349" s="12"/>
      <c r="F349" s="16" t="str">
        <f aca="false">IF(B349="","",IFERROR(INDEX(Zones!$B$2:$B$15,MATCH(B349,Zones!$A$2:$A$15,0)),"⚠ zone inconnue"))</f>
        <v/>
      </c>
      <c r="G349" s="12"/>
      <c r="H349" s="12"/>
      <c r="I349" s="12"/>
      <c r="J349" s="12"/>
    </row>
    <row r="350" customFormat="false" ht="15" hidden="false" customHeight="false" outlineLevel="0" collapsed="false">
      <c r="A350" s="14" t="str">
        <f aca="false">IF(OR(B350="",C350="",D350="",E350=""),"",UPPER(B350)&amp;TEXT(C350,"00")&amp;"-"&amp;D350&amp;"-"&amp;TEXT(E350,"00"))</f>
        <v/>
      </c>
      <c r="B350" s="12"/>
      <c r="C350" s="12"/>
      <c r="D350" s="12"/>
      <c r="E350" s="12"/>
      <c r="F350" s="16" t="str">
        <f aca="false">IF(B350="","",IFERROR(INDEX(Zones!$B$2:$B$15,MATCH(B350,Zones!$A$2:$A$15,0)),"⚠ zone inconnue"))</f>
        <v/>
      </c>
      <c r="G350" s="12"/>
      <c r="H350" s="12"/>
      <c r="I350" s="12"/>
      <c r="J350" s="12"/>
    </row>
    <row r="351" customFormat="false" ht="15" hidden="false" customHeight="false" outlineLevel="0" collapsed="false">
      <c r="A351" s="14" t="str">
        <f aca="false">IF(OR(B351="",C351="",D351="",E351=""),"",UPPER(B351)&amp;TEXT(C351,"00")&amp;"-"&amp;D351&amp;"-"&amp;TEXT(E351,"00"))</f>
        <v/>
      </c>
      <c r="B351" s="12"/>
      <c r="C351" s="12"/>
      <c r="D351" s="12"/>
      <c r="E351" s="12"/>
      <c r="F351" s="16" t="str">
        <f aca="false">IF(B351="","",IFERROR(INDEX(Zones!$B$2:$B$15,MATCH(B351,Zones!$A$2:$A$15,0)),"⚠ zone inconnue"))</f>
        <v/>
      </c>
      <c r="G351" s="12"/>
      <c r="H351" s="12"/>
      <c r="I351" s="12"/>
      <c r="J351" s="12"/>
    </row>
    <row r="352" customFormat="false" ht="15" hidden="false" customHeight="false" outlineLevel="0" collapsed="false">
      <c r="A352" s="14" t="str">
        <f aca="false">IF(OR(B352="",C352="",D352="",E352=""),"",UPPER(B352)&amp;TEXT(C352,"00")&amp;"-"&amp;D352&amp;"-"&amp;TEXT(E352,"00"))</f>
        <v/>
      </c>
      <c r="B352" s="12"/>
      <c r="C352" s="12"/>
      <c r="D352" s="12"/>
      <c r="E352" s="12"/>
      <c r="F352" s="16" t="str">
        <f aca="false">IF(B352="","",IFERROR(INDEX(Zones!$B$2:$B$15,MATCH(B352,Zones!$A$2:$A$15,0)),"⚠ zone inconnue"))</f>
        <v/>
      </c>
      <c r="G352" s="12"/>
      <c r="H352" s="12"/>
      <c r="I352" s="12"/>
      <c r="J352" s="12"/>
    </row>
    <row r="353" customFormat="false" ht="15" hidden="false" customHeight="false" outlineLevel="0" collapsed="false">
      <c r="A353" s="14" t="str">
        <f aca="false">IF(OR(B353="",C353="",D353="",E353=""),"",UPPER(B353)&amp;TEXT(C353,"00")&amp;"-"&amp;D353&amp;"-"&amp;TEXT(E353,"00"))</f>
        <v/>
      </c>
      <c r="B353" s="12"/>
      <c r="C353" s="12"/>
      <c r="D353" s="12"/>
      <c r="E353" s="12"/>
      <c r="F353" s="16" t="str">
        <f aca="false">IF(B353="","",IFERROR(INDEX(Zones!$B$2:$B$15,MATCH(B353,Zones!$A$2:$A$15,0)),"⚠ zone inconnue"))</f>
        <v/>
      </c>
      <c r="G353" s="12"/>
      <c r="H353" s="12"/>
      <c r="I353" s="12"/>
      <c r="J353" s="12"/>
    </row>
    <row r="354" customFormat="false" ht="15" hidden="false" customHeight="false" outlineLevel="0" collapsed="false">
      <c r="A354" s="14" t="str">
        <f aca="false">IF(OR(B354="",C354="",D354="",E354=""),"",UPPER(B354)&amp;TEXT(C354,"00")&amp;"-"&amp;D354&amp;"-"&amp;TEXT(E354,"00"))</f>
        <v/>
      </c>
      <c r="B354" s="12"/>
      <c r="C354" s="12"/>
      <c r="D354" s="12"/>
      <c r="E354" s="12"/>
      <c r="F354" s="16" t="str">
        <f aca="false">IF(B354="","",IFERROR(INDEX(Zones!$B$2:$B$15,MATCH(B354,Zones!$A$2:$A$15,0)),"⚠ zone inconnue"))</f>
        <v/>
      </c>
      <c r="G354" s="12"/>
      <c r="H354" s="12"/>
      <c r="I354" s="12"/>
      <c r="J354" s="12"/>
    </row>
    <row r="355" customFormat="false" ht="15" hidden="false" customHeight="false" outlineLevel="0" collapsed="false">
      <c r="A355" s="14" t="str">
        <f aca="false">IF(OR(B355="",C355="",D355="",E355=""),"",UPPER(B355)&amp;TEXT(C355,"00")&amp;"-"&amp;D355&amp;"-"&amp;TEXT(E355,"00"))</f>
        <v/>
      </c>
      <c r="B355" s="12"/>
      <c r="C355" s="12"/>
      <c r="D355" s="12"/>
      <c r="E355" s="12"/>
      <c r="F355" s="16" t="str">
        <f aca="false">IF(B355="","",IFERROR(INDEX(Zones!$B$2:$B$15,MATCH(B355,Zones!$A$2:$A$15,0)),"⚠ zone inconnue"))</f>
        <v/>
      </c>
      <c r="G355" s="12"/>
      <c r="H355" s="12"/>
      <c r="I355" s="12"/>
      <c r="J355" s="12"/>
    </row>
    <row r="356" customFormat="false" ht="15" hidden="false" customHeight="false" outlineLevel="0" collapsed="false">
      <c r="A356" s="14" t="str">
        <f aca="false">IF(OR(B356="",C356="",D356="",E356=""),"",UPPER(B356)&amp;TEXT(C356,"00")&amp;"-"&amp;D356&amp;"-"&amp;TEXT(E356,"00"))</f>
        <v/>
      </c>
      <c r="B356" s="12"/>
      <c r="C356" s="12"/>
      <c r="D356" s="12"/>
      <c r="E356" s="12"/>
      <c r="F356" s="16" t="str">
        <f aca="false">IF(B356="","",IFERROR(INDEX(Zones!$B$2:$B$15,MATCH(B356,Zones!$A$2:$A$15,0)),"⚠ zone inconnue"))</f>
        <v/>
      </c>
      <c r="G356" s="12"/>
      <c r="H356" s="12"/>
      <c r="I356" s="12"/>
      <c r="J356" s="12"/>
    </row>
    <row r="357" customFormat="false" ht="15" hidden="false" customHeight="false" outlineLevel="0" collapsed="false">
      <c r="A357" s="14" t="str">
        <f aca="false">IF(OR(B357="",C357="",D357="",E357=""),"",UPPER(B357)&amp;TEXT(C357,"00")&amp;"-"&amp;D357&amp;"-"&amp;TEXT(E357,"00"))</f>
        <v/>
      </c>
      <c r="B357" s="12"/>
      <c r="C357" s="12"/>
      <c r="D357" s="12"/>
      <c r="E357" s="12"/>
      <c r="F357" s="16" t="str">
        <f aca="false">IF(B357="","",IFERROR(INDEX(Zones!$B$2:$B$15,MATCH(B357,Zones!$A$2:$A$15,0)),"⚠ zone inconnue"))</f>
        <v/>
      </c>
      <c r="G357" s="12"/>
      <c r="H357" s="12"/>
      <c r="I357" s="12"/>
      <c r="J357" s="12"/>
    </row>
    <row r="358" customFormat="false" ht="15" hidden="false" customHeight="false" outlineLevel="0" collapsed="false">
      <c r="A358" s="14" t="str">
        <f aca="false">IF(OR(B358="",C358="",D358="",E358=""),"",UPPER(B358)&amp;TEXT(C358,"00")&amp;"-"&amp;D358&amp;"-"&amp;TEXT(E358,"00"))</f>
        <v/>
      </c>
      <c r="B358" s="12"/>
      <c r="C358" s="12"/>
      <c r="D358" s="12"/>
      <c r="E358" s="12"/>
      <c r="F358" s="16" t="str">
        <f aca="false">IF(B358="","",IFERROR(INDEX(Zones!$B$2:$B$15,MATCH(B358,Zones!$A$2:$A$15,0)),"⚠ zone inconnue"))</f>
        <v/>
      </c>
      <c r="G358" s="12"/>
      <c r="H358" s="12"/>
      <c r="I358" s="12"/>
      <c r="J358" s="12"/>
    </row>
    <row r="359" customFormat="false" ht="15" hidden="false" customHeight="false" outlineLevel="0" collapsed="false">
      <c r="A359" s="14" t="str">
        <f aca="false">IF(OR(B359="",C359="",D359="",E359=""),"",UPPER(B359)&amp;TEXT(C359,"00")&amp;"-"&amp;D359&amp;"-"&amp;TEXT(E359,"00"))</f>
        <v/>
      </c>
      <c r="B359" s="12"/>
      <c r="C359" s="12"/>
      <c r="D359" s="12"/>
      <c r="E359" s="12"/>
      <c r="F359" s="16" t="str">
        <f aca="false">IF(B359="","",IFERROR(INDEX(Zones!$B$2:$B$15,MATCH(B359,Zones!$A$2:$A$15,0)),"⚠ zone inconnue"))</f>
        <v/>
      </c>
      <c r="G359" s="12"/>
      <c r="H359" s="12"/>
      <c r="I359" s="12"/>
      <c r="J359" s="12"/>
    </row>
    <row r="360" customFormat="false" ht="15" hidden="false" customHeight="false" outlineLevel="0" collapsed="false">
      <c r="A360" s="14" t="str">
        <f aca="false">IF(OR(B360="",C360="",D360="",E360=""),"",UPPER(B360)&amp;TEXT(C360,"00")&amp;"-"&amp;D360&amp;"-"&amp;TEXT(E360,"00"))</f>
        <v/>
      </c>
      <c r="B360" s="12"/>
      <c r="C360" s="12"/>
      <c r="D360" s="12"/>
      <c r="E360" s="12"/>
      <c r="F360" s="16" t="str">
        <f aca="false">IF(B360="","",IFERROR(INDEX(Zones!$B$2:$B$15,MATCH(B360,Zones!$A$2:$A$15,0)),"⚠ zone inconnue"))</f>
        <v/>
      </c>
      <c r="G360" s="12"/>
      <c r="H360" s="12"/>
      <c r="I360" s="12"/>
      <c r="J360" s="12"/>
    </row>
    <row r="361" customFormat="false" ht="15" hidden="false" customHeight="false" outlineLevel="0" collapsed="false">
      <c r="A361" s="14" t="str">
        <f aca="false">IF(OR(B361="",C361="",D361="",E361=""),"",UPPER(B361)&amp;TEXT(C361,"00")&amp;"-"&amp;D361&amp;"-"&amp;TEXT(E361,"00"))</f>
        <v/>
      </c>
      <c r="B361" s="12"/>
      <c r="C361" s="12"/>
      <c r="D361" s="12"/>
      <c r="E361" s="12"/>
      <c r="F361" s="16" t="str">
        <f aca="false">IF(B361="","",IFERROR(INDEX(Zones!$B$2:$B$15,MATCH(B361,Zones!$A$2:$A$15,0)),"⚠ zone inconnue"))</f>
        <v/>
      </c>
      <c r="G361" s="12"/>
      <c r="H361" s="12"/>
      <c r="I361" s="12"/>
      <c r="J361" s="12"/>
    </row>
    <row r="362" customFormat="false" ht="15" hidden="false" customHeight="false" outlineLevel="0" collapsed="false">
      <c r="A362" s="14" t="str">
        <f aca="false">IF(OR(B362="",C362="",D362="",E362=""),"",UPPER(B362)&amp;TEXT(C362,"00")&amp;"-"&amp;D362&amp;"-"&amp;TEXT(E362,"00"))</f>
        <v/>
      </c>
      <c r="B362" s="12"/>
      <c r="C362" s="12"/>
      <c r="D362" s="12"/>
      <c r="E362" s="12"/>
      <c r="F362" s="16" t="str">
        <f aca="false">IF(B362="","",IFERROR(INDEX(Zones!$B$2:$B$15,MATCH(B362,Zones!$A$2:$A$15,0)),"⚠ zone inconnue"))</f>
        <v/>
      </c>
      <c r="G362" s="12"/>
      <c r="H362" s="12"/>
      <c r="I362" s="12"/>
      <c r="J362" s="12"/>
    </row>
    <row r="363" customFormat="false" ht="15" hidden="false" customHeight="false" outlineLevel="0" collapsed="false">
      <c r="A363" s="14" t="str">
        <f aca="false">IF(OR(B363="",C363="",D363="",E363=""),"",UPPER(B363)&amp;TEXT(C363,"00")&amp;"-"&amp;D363&amp;"-"&amp;TEXT(E363,"00"))</f>
        <v/>
      </c>
      <c r="B363" s="12"/>
      <c r="C363" s="12"/>
      <c r="D363" s="12"/>
      <c r="E363" s="12"/>
      <c r="F363" s="16" t="str">
        <f aca="false">IF(B363="","",IFERROR(INDEX(Zones!$B$2:$B$15,MATCH(B363,Zones!$A$2:$A$15,0)),"⚠ zone inconnue"))</f>
        <v/>
      </c>
      <c r="G363" s="12"/>
      <c r="H363" s="12"/>
      <c r="I363" s="12"/>
      <c r="J363" s="12"/>
    </row>
    <row r="364" customFormat="false" ht="15" hidden="false" customHeight="false" outlineLevel="0" collapsed="false">
      <c r="A364" s="14" t="str">
        <f aca="false">IF(OR(B364="",C364="",D364="",E364=""),"",UPPER(B364)&amp;TEXT(C364,"00")&amp;"-"&amp;D364&amp;"-"&amp;TEXT(E364,"00"))</f>
        <v/>
      </c>
      <c r="B364" s="12"/>
      <c r="C364" s="12"/>
      <c r="D364" s="12"/>
      <c r="E364" s="12"/>
      <c r="F364" s="16" t="str">
        <f aca="false">IF(B364="","",IFERROR(INDEX(Zones!$B$2:$B$15,MATCH(B364,Zones!$A$2:$A$15,0)),"⚠ zone inconnue"))</f>
        <v/>
      </c>
      <c r="G364" s="12"/>
      <c r="H364" s="12"/>
      <c r="I364" s="12"/>
      <c r="J364" s="12"/>
    </row>
    <row r="365" customFormat="false" ht="15" hidden="false" customHeight="false" outlineLevel="0" collapsed="false">
      <c r="A365" s="14" t="str">
        <f aca="false">IF(OR(B365="",C365="",D365="",E365=""),"",UPPER(B365)&amp;TEXT(C365,"00")&amp;"-"&amp;D365&amp;"-"&amp;TEXT(E365,"00"))</f>
        <v/>
      </c>
      <c r="B365" s="12"/>
      <c r="C365" s="12"/>
      <c r="D365" s="12"/>
      <c r="E365" s="12"/>
      <c r="F365" s="16" t="str">
        <f aca="false">IF(B365="","",IFERROR(INDEX(Zones!$B$2:$B$15,MATCH(B365,Zones!$A$2:$A$15,0)),"⚠ zone inconnue"))</f>
        <v/>
      </c>
      <c r="G365" s="12"/>
      <c r="H365" s="12"/>
      <c r="I365" s="12"/>
      <c r="J365" s="12"/>
    </row>
    <row r="366" customFormat="false" ht="15" hidden="false" customHeight="false" outlineLevel="0" collapsed="false">
      <c r="A366" s="14" t="str">
        <f aca="false">IF(OR(B366="",C366="",D366="",E366=""),"",UPPER(B366)&amp;TEXT(C366,"00")&amp;"-"&amp;D366&amp;"-"&amp;TEXT(E366,"00"))</f>
        <v/>
      </c>
      <c r="B366" s="12"/>
      <c r="C366" s="12"/>
      <c r="D366" s="12"/>
      <c r="E366" s="12"/>
      <c r="F366" s="16" t="str">
        <f aca="false">IF(B366="","",IFERROR(INDEX(Zones!$B$2:$B$15,MATCH(B366,Zones!$A$2:$A$15,0)),"⚠ zone inconnue"))</f>
        <v/>
      </c>
      <c r="G366" s="12"/>
      <c r="H366" s="12"/>
      <c r="I366" s="12"/>
      <c r="J366" s="12"/>
    </row>
    <row r="367" customFormat="false" ht="15" hidden="false" customHeight="false" outlineLevel="0" collapsed="false">
      <c r="A367" s="14" t="str">
        <f aca="false">IF(OR(B367="",C367="",D367="",E367=""),"",UPPER(B367)&amp;TEXT(C367,"00")&amp;"-"&amp;D367&amp;"-"&amp;TEXT(E367,"00"))</f>
        <v/>
      </c>
      <c r="B367" s="12"/>
      <c r="C367" s="12"/>
      <c r="D367" s="12"/>
      <c r="E367" s="12"/>
      <c r="F367" s="16" t="str">
        <f aca="false">IF(B367="","",IFERROR(INDEX(Zones!$B$2:$B$15,MATCH(B367,Zones!$A$2:$A$15,0)),"⚠ zone inconnue"))</f>
        <v/>
      </c>
      <c r="G367" s="12"/>
      <c r="H367" s="12"/>
      <c r="I367" s="12"/>
      <c r="J367" s="12"/>
    </row>
    <row r="368" customFormat="false" ht="15" hidden="false" customHeight="false" outlineLevel="0" collapsed="false">
      <c r="A368" s="14" t="str">
        <f aca="false">IF(OR(B368="",C368="",D368="",E368=""),"",UPPER(B368)&amp;TEXT(C368,"00")&amp;"-"&amp;D368&amp;"-"&amp;TEXT(E368,"00"))</f>
        <v/>
      </c>
      <c r="B368" s="12"/>
      <c r="C368" s="12"/>
      <c r="D368" s="12"/>
      <c r="E368" s="12"/>
      <c r="F368" s="16" t="str">
        <f aca="false">IF(B368="","",IFERROR(INDEX(Zones!$B$2:$B$15,MATCH(B368,Zones!$A$2:$A$15,0)),"⚠ zone inconnue"))</f>
        <v/>
      </c>
      <c r="G368" s="12"/>
      <c r="H368" s="12"/>
      <c r="I368" s="12"/>
      <c r="J368" s="12"/>
    </row>
    <row r="369" customFormat="false" ht="15" hidden="false" customHeight="false" outlineLevel="0" collapsed="false">
      <c r="A369" s="14" t="str">
        <f aca="false">IF(OR(B369="",C369="",D369="",E369=""),"",UPPER(B369)&amp;TEXT(C369,"00")&amp;"-"&amp;D369&amp;"-"&amp;TEXT(E369,"00"))</f>
        <v/>
      </c>
      <c r="B369" s="12"/>
      <c r="C369" s="12"/>
      <c r="D369" s="12"/>
      <c r="E369" s="12"/>
      <c r="F369" s="16" t="str">
        <f aca="false">IF(B369="","",IFERROR(INDEX(Zones!$B$2:$B$15,MATCH(B369,Zones!$A$2:$A$15,0)),"⚠ zone inconnue"))</f>
        <v/>
      </c>
      <c r="G369" s="12"/>
      <c r="H369" s="12"/>
      <c r="I369" s="12"/>
      <c r="J369" s="12"/>
    </row>
    <row r="370" customFormat="false" ht="15" hidden="false" customHeight="false" outlineLevel="0" collapsed="false">
      <c r="A370" s="14" t="str">
        <f aca="false">IF(OR(B370="",C370="",D370="",E370=""),"",UPPER(B370)&amp;TEXT(C370,"00")&amp;"-"&amp;D370&amp;"-"&amp;TEXT(E370,"00"))</f>
        <v/>
      </c>
      <c r="B370" s="12"/>
      <c r="C370" s="12"/>
      <c r="D370" s="12"/>
      <c r="E370" s="12"/>
      <c r="F370" s="16" t="str">
        <f aca="false">IF(B370="","",IFERROR(INDEX(Zones!$B$2:$B$15,MATCH(B370,Zones!$A$2:$A$15,0)),"⚠ zone inconnue"))</f>
        <v/>
      </c>
      <c r="G370" s="12"/>
      <c r="H370" s="12"/>
      <c r="I370" s="12"/>
      <c r="J370" s="12"/>
    </row>
    <row r="371" customFormat="false" ht="15" hidden="false" customHeight="false" outlineLevel="0" collapsed="false">
      <c r="A371" s="14" t="str">
        <f aca="false">IF(OR(B371="",C371="",D371="",E371=""),"",UPPER(B371)&amp;TEXT(C371,"00")&amp;"-"&amp;D371&amp;"-"&amp;TEXT(E371,"00"))</f>
        <v/>
      </c>
      <c r="B371" s="12"/>
      <c r="C371" s="12"/>
      <c r="D371" s="12"/>
      <c r="E371" s="12"/>
      <c r="F371" s="16" t="str">
        <f aca="false">IF(B371="","",IFERROR(INDEX(Zones!$B$2:$B$15,MATCH(B371,Zones!$A$2:$A$15,0)),"⚠ zone inconnue"))</f>
        <v/>
      </c>
      <c r="G371" s="12"/>
      <c r="H371" s="12"/>
      <c r="I371" s="12"/>
      <c r="J371" s="12"/>
    </row>
    <row r="372" customFormat="false" ht="15" hidden="false" customHeight="false" outlineLevel="0" collapsed="false">
      <c r="A372" s="14" t="str">
        <f aca="false">IF(OR(B372="",C372="",D372="",E372=""),"",UPPER(B372)&amp;TEXT(C372,"00")&amp;"-"&amp;D372&amp;"-"&amp;TEXT(E372,"00"))</f>
        <v/>
      </c>
      <c r="B372" s="12"/>
      <c r="C372" s="12"/>
      <c r="D372" s="12"/>
      <c r="E372" s="12"/>
      <c r="F372" s="16" t="str">
        <f aca="false">IF(B372="","",IFERROR(INDEX(Zones!$B$2:$B$15,MATCH(B372,Zones!$A$2:$A$15,0)),"⚠ zone inconnue"))</f>
        <v/>
      </c>
      <c r="G372" s="12"/>
      <c r="H372" s="12"/>
      <c r="I372" s="12"/>
      <c r="J372" s="12"/>
    </row>
    <row r="373" customFormat="false" ht="15" hidden="false" customHeight="false" outlineLevel="0" collapsed="false">
      <c r="A373" s="14" t="str">
        <f aca="false">IF(OR(B373="",C373="",D373="",E373=""),"",UPPER(B373)&amp;TEXT(C373,"00")&amp;"-"&amp;D373&amp;"-"&amp;TEXT(E373,"00"))</f>
        <v/>
      </c>
      <c r="B373" s="12"/>
      <c r="C373" s="12"/>
      <c r="D373" s="12"/>
      <c r="E373" s="12"/>
      <c r="F373" s="16" t="str">
        <f aca="false">IF(B373="","",IFERROR(INDEX(Zones!$B$2:$B$15,MATCH(B373,Zones!$A$2:$A$15,0)),"⚠ zone inconnue"))</f>
        <v/>
      </c>
      <c r="G373" s="12"/>
      <c r="H373" s="12"/>
      <c r="I373" s="12"/>
      <c r="J373" s="12"/>
    </row>
    <row r="374" customFormat="false" ht="15" hidden="false" customHeight="false" outlineLevel="0" collapsed="false">
      <c r="A374" s="14" t="str">
        <f aca="false">IF(OR(B374="",C374="",D374="",E374=""),"",UPPER(B374)&amp;TEXT(C374,"00")&amp;"-"&amp;D374&amp;"-"&amp;TEXT(E374,"00"))</f>
        <v/>
      </c>
      <c r="B374" s="12"/>
      <c r="C374" s="12"/>
      <c r="D374" s="12"/>
      <c r="E374" s="12"/>
      <c r="F374" s="16" t="str">
        <f aca="false">IF(B374="","",IFERROR(INDEX(Zones!$B$2:$B$15,MATCH(B374,Zones!$A$2:$A$15,0)),"⚠ zone inconnue"))</f>
        <v/>
      </c>
      <c r="G374" s="12"/>
      <c r="H374" s="12"/>
      <c r="I374" s="12"/>
      <c r="J374" s="12"/>
    </row>
    <row r="375" customFormat="false" ht="15" hidden="false" customHeight="false" outlineLevel="0" collapsed="false">
      <c r="A375" s="14" t="str">
        <f aca="false">IF(OR(B375="",C375="",D375="",E375=""),"",UPPER(B375)&amp;TEXT(C375,"00")&amp;"-"&amp;D375&amp;"-"&amp;TEXT(E375,"00"))</f>
        <v/>
      </c>
      <c r="B375" s="12"/>
      <c r="C375" s="12"/>
      <c r="D375" s="12"/>
      <c r="E375" s="12"/>
      <c r="F375" s="16" t="str">
        <f aca="false">IF(B375="","",IFERROR(INDEX(Zones!$B$2:$B$15,MATCH(B375,Zones!$A$2:$A$15,0)),"⚠ zone inconnue"))</f>
        <v/>
      </c>
      <c r="G375" s="12"/>
      <c r="H375" s="12"/>
      <c r="I375" s="12"/>
      <c r="J375" s="12"/>
    </row>
    <row r="376" customFormat="false" ht="15" hidden="false" customHeight="false" outlineLevel="0" collapsed="false">
      <c r="A376" s="14" t="str">
        <f aca="false">IF(OR(B376="",C376="",D376="",E376=""),"",UPPER(B376)&amp;TEXT(C376,"00")&amp;"-"&amp;D376&amp;"-"&amp;TEXT(E376,"00"))</f>
        <v/>
      </c>
      <c r="B376" s="12"/>
      <c r="C376" s="12"/>
      <c r="D376" s="12"/>
      <c r="E376" s="12"/>
      <c r="F376" s="16" t="str">
        <f aca="false">IF(B376="","",IFERROR(INDEX(Zones!$B$2:$B$15,MATCH(B376,Zones!$A$2:$A$15,0)),"⚠ zone inconnue"))</f>
        <v/>
      </c>
      <c r="G376" s="12"/>
      <c r="H376" s="12"/>
      <c r="I376" s="12"/>
      <c r="J376" s="12"/>
    </row>
    <row r="377" customFormat="false" ht="15" hidden="false" customHeight="false" outlineLevel="0" collapsed="false">
      <c r="A377" s="14" t="str">
        <f aca="false">IF(OR(B377="",C377="",D377="",E377=""),"",UPPER(B377)&amp;TEXT(C377,"00")&amp;"-"&amp;D377&amp;"-"&amp;TEXT(E377,"00"))</f>
        <v/>
      </c>
      <c r="B377" s="12"/>
      <c r="C377" s="12"/>
      <c r="D377" s="12"/>
      <c r="E377" s="12"/>
      <c r="F377" s="16" t="str">
        <f aca="false">IF(B377="","",IFERROR(INDEX(Zones!$B$2:$B$15,MATCH(B377,Zones!$A$2:$A$15,0)),"⚠ zone inconnue"))</f>
        <v/>
      </c>
      <c r="G377" s="12"/>
      <c r="H377" s="12"/>
      <c r="I377" s="12"/>
      <c r="J377" s="12"/>
    </row>
    <row r="378" customFormat="false" ht="15" hidden="false" customHeight="false" outlineLevel="0" collapsed="false">
      <c r="A378" s="14" t="str">
        <f aca="false">IF(OR(B378="",C378="",D378="",E378=""),"",UPPER(B378)&amp;TEXT(C378,"00")&amp;"-"&amp;D378&amp;"-"&amp;TEXT(E378,"00"))</f>
        <v/>
      </c>
      <c r="B378" s="12"/>
      <c r="C378" s="12"/>
      <c r="D378" s="12"/>
      <c r="E378" s="12"/>
      <c r="F378" s="16" t="str">
        <f aca="false">IF(B378="","",IFERROR(INDEX(Zones!$B$2:$B$15,MATCH(B378,Zones!$A$2:$A$15,0)),"⚠ zone inconnue"))</f>
        <v/>
      </c>
      <c r="G378" s="12"/>
      <c r="H378" s="12"/>
      <c r="I378" s="12"/>
      <c r="J378" s="12"/>
    </row>
    <row r="379" customFormat="false" ht="15" hidden="false" customHeight="false" outlineLevel="0" collapsed="false">
      <c r="A379" s="14" t="str">
        <f aca="false">IF(OR(B379="",C379="",D379="",E379=""),"",UPPER(B379)&amp;TEXT(C379,"00")&amp;"-"&amp;D379&amp;"-"&amp;TEXT(E379,"00"))</f>
        <v/>
      </c>
      <c r="B379" s="12"/>
      <c r="C379" s="12"/>
      <c r="D379" s="12"/>
      <c r="E379" s="12"/>
      <c r="F379" s="16" t="str">
        <f aca="false">IF(B379="","",IFERROR(INDEX(Zones!$B$2:$B$15,MATCH(B379,Zones!$A$2:$A$15,0)),"⚠ zone inconnue"))</f>
        <v/>
      </c>
      <c r="G379" s="12"/>
      <c r="H379" s="12"/>
      <c r="I379" s="12"/>
      <c r="J379" s="12"/>
    </row>
    <row r="380" customFormat="false" ht="15" hidden="false" customHeight="false" outlineLevel="0" collapsed="false">
      <c r="A380" s="14" t="str">
        <f aca="false">IF(OR(B380="",C380="",D380="",E380=""),"",UPPER(B380)&amp;TEXT(C380,"00")&amp;"-"&amp;D380&amp;"-"&amp;TEXT(E380,"00"))</f>
        <v/>
      </c>
      <c r="B380" s="12"/>
      <c r="C380" s="12"/>
      <c r="D380" s="12"/>
      <c r="E380" s="12"/>
      <c r="F380" s="16" t="str">
        <f aca="false">IF(B380="","",IFERROR(INDEX(Zones!$B$2:$B$15,MATCH(B380,Zones!$A$2:$A$15,0)),"⚠ zone inconnue"))</f>
        <v/>
      </c>
      <c r="G380" s="12"/>
      <c r="H380" s="12"/>
      <c r="I380" s="12"/>
      <c r="J380" s="12"/>
    </row>
    <row r="381" customFormat="false" ht="15" hidden="false" customHeight="false" outlineLevel="0" collapsed="false">
      <c r="A381" s="14" t="str">
        <f aca="false">IF(OR(B381="",C381="",D381="",E381=""),"",UPPER(B381)&amp;TEXT(C381,"00")&amp;"-"&amp;D381&amp;"-"&amp;TEXT(E381,"00"))</f>
        <v/>
      </c>
      <c r="B381" s="12"/>
      <c r="C381" s="12"/>
      <c r="D381" s="12"/>
      <c r="E381" s="12"/>
      <c r="F381" s="16" t="str">
        <f aca="false">IF(B381="","",IFERROR(INDEX(Zones!$B$2:$B$15,MATCH(B381,Zones!$A$2:$A$15,0)),"⚠ zone inconnue"))</f>
        <v/>
      </c>
      <c r="G381" s="12"/>
      <c r="H381" s="12"/>
      <c r="I381" s="12"/>
      <c r="J381" s="12"/>
    </row>
    <row r="382" customFormat="false" ht="15" hidden="false" customHeight="false" outlineLevel="0" collapsed="false">
      <c r="A382" s="14" t="str">
        <f aca="false">IF(OR(B382="",C382="",D382="",E382=""),"",UPPER(B382)&amp;TEXT(C382,"00")&amp;"-"&amp;D382&amp;"-"&amp;TEXT(E382,"00"))</f>
        <v/>
      </c>
      <c r="B382" s="12"/>
      <c r="C382" s="12"/>
      <c r="D382" s="12"/>
      <c r="E382" s="12"/>
      <c r="F382" s="16" t="str">
        <f aca="false">IF(B382="","",IFERROR(INDEX(Zones!$B$2:$B$15,MATCH(B382,Zones!$A$2:$A$15,0)),"⚠ zone inconnue"))</f>
        <v/>
      </c>
      <c r="G382" s="12"/>
      <c r="H382" s="12"/>
      <c r="I382" s="12"/>
      <c r="J382" s="12"/>
    </row>
    <row r="383" customFormat="false" ht="15" hidden="false" customHeight="false" outlineLevel="0" collapsed="false">
      <c r="A383" s="14" t="str">
        <f aca="false">IF(OR(B383="",C383="",D383="",E383=""),"",UPPER(B383)&amp;TEXT(C383,"00")&amp;"-"&amp;D383&amp;"-"&amp;TEXT(E383,"00"))</f>
        <v/>
      </c>
      <c r="B383" s="12"/>
      <c r="C383" s="12"/>
      <c r="D383" s="12"/>
      <c r="E383" s="12"/>
      <c r="F383" s="16" t="str">
        <f aca="false">IF(B383="","",IFERROR(INDEX(Zones!$B$2:$B$15,MATCH(B383,Zones!$A$2:$A$15,0)),"⚠ zone inconnue"))</f>
        <v/>
      </c>
      <c r="G383" s="12"/>
      <c r="H383" s="12"/>
      <c r="I383" s="12"/>
      <c r="J383" s="12"/>
    </row>
    <row r="384" customFormat="false" ht="15" hidden="false" customHeight="false" outlineLevel="0" collapsed="false">
      <c r="A384" s="14" t="str">
        <f aca="false">IF(OR(B384="",C384="",D384="",E384=""),"",UPPER(B384)&amp;TEXT(C384,"00")&amp;"-"&amp;D384&amp;"-"&amp;TEXT(E384,"00"))</f>
        <v/>
      </c>
      <c r="B384" s="12"/>
      <c r="C384" s="12"/>
      <c r="D384" s="12"/>
      <c r="E384" s="12"/>
      <c r="F384" s="16" t="str">
        <f aca="false">IF(B384="","",IFERROR(INDEX(Zones!$B$2:$B$15,MATCH(B384,Zones!$A$2:$A$15,0)),"⚠ zone inconnue"))</f>
        <v/>
      </c>
      <c r="G384" s="12"/>
      <c r="H384" s="12"/>
      <c r="I384" s="12"/>
      <c r="J384" s="12"/>
    </row>
    <row r="385" customFormat="false" ht="15" hidden="false" customHeight="false" outlineLevel="0" collapsed="false">
      <c r="A385" s="14" t="str">
        <f aca="false">IF(OR(B385="",C385="",D385="",E385=""),"",UPPER(B385)&amp;TEXT(C385,"00")&amp;"-"&amp;D385&amp;"-"&amp;TEXT(E385,"00"))</f>
        <v/>
      </c>
      <c r="B385" s="12"/>
      <c r="C385" s="12"/>
      <c r="D385" s="12"/>
      <c r="E385" s="12"/>
      <c r="F385" s="16" t="str">
        <f aca="false">IF(B385="","",IFERROR(INDEX(Zones!$B$2:$B$15,MATCH(B385,Zones!$A$2:$A$15,0)),"⚠ zone inconnue"))</f>
        <v/>
      </c>
      <c r="G385" s="12"/>
      <c r="H385" s="12"/>
      <c r="I385" s="12"/>
      <c r="J385" s="12"/>
    </row>
    <row r="386" customFormat="false" ht="15" hidden="false" customHeight="false" outlineLevel="0" collapsed="false">
      <c r="A386" s="14" t="str">
        <f aca="false">IF(OR(B386="",C386="",D386="",E386=""),"",UPPER(B386)&amp;TEXT(C386,"00")&amp;"-"&amp;D386&amp;"-"&amp;TEXT(E386,"00"))</f>
        <v/>
      </c>
      <c r="B386" s="12"/>
      <c r="C386" s="12"/>
      <c r="D386" s="12"/>
      <c r="E386" s="12"/>
      <c r="F386" s="16" t="str">
        <f aca="false">IF(B386="","",IFERROR(INDEX(Zones!$B$2:$B$15,MATCH(B386,Zones!$A$2:$A$15,0)),"⚠ zone inconnue"))</f>
        <v/>
      </c>
      <c r="G386" s="12"/>
      <c r="H386" s="12"/>
      <c r="I386" s="12"/>
      <c r="J386" s="12"/>
    </row>
    <row r="387" customFormat="false" ht="15" hidden="false" customHeight="false" outlineLevel="0" collapsed="false">
      <c r="A387" s="14" t="str">
        <f aca="false">IF(OR(B387="",C387="",D387="",E387=""),"",UPPER(B387)&amp;TEXT(C387,"00")&amp;"-"&amp;D387&amp;"-"&amp;TEXT(E387,"00"))</f>
        <v/>
      </c>
      <c r="B387" s="12"/>
      <c r="C387" s="12"/>
      <c r="D387" s="12"/>
      <c r="E387" s="12"/>
      <c r="F387" s="16" t="str">
        <f aca="false">IF(B387="","",IFERROR(INDEX(Zones!$B$2:$B$15,MATCH(B387,Zones!$A$2:$A$15,0)),"⚠ zone inconnue"))</f>
        <v/>
      </c>
      <c r="G387" s="12"/>
      <c r="H387" s="12"/>
      <c r="I387" s="12"/>
      <c r="J387" s="12"/>
    </row>
    <row r="388" customFormat="false" ht="15" hidden="false" customHeight="false" outlineLevel="0" collapsed="false">
      <c r="A388" s="14" t="str">
        <f aca="false">IF(OR(B388="",C388="",D388="",E388=""),"",UPPER(B388)&amp;TEXT(C388,"00")&amp;"-"&amp;D388&amp;"-"&amp;TEXT(E388,"00"))</f>
        <v/>
      </c>
      <c r="B388" s="12"/>
      <c r="C388" s="12"/>
      <c r="D388" s="12"/>
      <c r="E388" s="12"/>
      <c r="F388" s="16" t="str">
        <f aca="false">IF(B388="","",IFERROR(INDEX(Zones!$B$2:$B$15,MATCH(B388,Zones!$A$2:$A$15,0)),"⚠ zone inconnue"))</f>
        <v/>
      </c>
      <c r="G388" s="12"/>
      <c r="H388" s="12"/>
      <c r="I388" s="12"/>
      <c r="J388" s="12"/>
    </row>
    <row r="389" customFormat="false" ht="15" hidden="false" customHeight="false" outlineLevel="0" collapsed="false">
      <c r="A389" s="14" t="str">
        <f aca="false">IF(OR(B389="",C389="",D389="",E389=""),"",UPPER(B389)&amp;TEXT(C389,"00")&amp;"-"&amp;D389&amp;"-"&amp;TEXT(E389,"00"))</f>
        <v/>
      </c>
      <c r="B389" s="12"/>
      <c r="C389" s="12"/>
      <c r="D389" s="12"/>
      <c r="E389" s="12"/>
      <c r="F389" s="16" t="str">
        <f aca="false">IF(B389="","",IFERROR(INDEX(Zones!$B$2:$B$15,MATCH(B389,Zones!$A$2:$A$15,0)),"⚠ zone inconnue"))</f>
        <v/>
      </c>
      <c r="G389" s="12"/>
      <c r="H389" s="12"/>
      <c r="I389" s="12"/>
      <c r="J389" s="12"/>
    </row>
    <row r="390" customFormat="false" ht="15" hidden="false" customHeight="false" outlineLevel="0" collapsed="false">
      <c r="A390" s="14" t="str">
        <f aca="false">IF(OR(B390="",C390="",D390="",E390=""),"",UPPER(B390)&amp;TEXT(C390,"00")&amp;"-"&amp;D390&amp;"-"&amp;TEXT(E390,"00"))</f>
        <v/>
      </c>
      <c r="B390" s="12"/>
      <c r="C390" s="12"/>
      <c r="D390" s="12"/>
      <c r="E390" s="12"/>
      <c r="F390" s="16" t="str">
        <f aca="false">IF(B390="","",IFERROR(INDEX(Zones!$B$2:$B$15,MATCH(B390,Zones!$A$2:$A$15,0)),"⚠ zone inconnue"))</f>
        <v/>
      </c>
      <c r="G390" s="12"/>
      <c r="H390" s="12"/>
      <c r="I390" s="12"/>
      <c r="J390" s="12"/>
    </row>
    <row r="391" customFormat="false" ht="15" hidden="false" customHeight="false" outlineLevel="0" collapsed="false">
      <c r="A391" s="14" t="str">
        <f aca="false">IF(OR(B391="",C391="",D391="",E391=""),"",UPPER(B391)&amp;TEXT(C391,"00")&amp;"-"&amp;D391&amp;"-"&amp;TEXT(E391,"00"))</f>
        <v/>
      </c>
      <c r="B391" s="12"/>
      <c r="C391" s="12"/>
      <c r="D391" s="12"/>
      <c r="E391" s="12"/>
      <c r="F391" s="16" t="str">
        <f aca="false">IF(B391="","",IFERROR(INDEX(Zones!$B$2:$B$15,MATCH(B391,Zones!$A$2:$A$15,0)),"⚠ zone inconnue"))</f>
        <v/>
      </c>
      <c r="G391" s="12"/>
      <c r="H391" s="12"/>
      <c r="I391" s="12"/>
      <c r="J391" s="12"/>
    </row>
    <row r="392" customFormat="false" ht="15" hidden="false" customHeight="false" outlineLevel="0" collapsed="false">
      <c r="A392" s="14" t="str">
        <f aca="false">IF(OR(B392="",C392="",D392="",E392=""),"",UPPER(B392)&amp;TEXT(C392,"00")&amp;"-"&amp;D392&amp;"-"&amp;TEXT(E392,"00"))</f>
        <v/>
      </c>
      <c r="B392" s="12"/>
      <c r="C392" s="12"/>
      <c r="D392" s="12"/>
      <c r="E392" s="12"/>
      <c r="F392" s="16" t="str">
        <f aca="false">IF(B392="","",IFERROR(INDEX(Zones!$B$2:$B$15,MATCH(B392,Zones!$A$2:$A$15,0)),"⚠ zone inconnue"))</f>
        <v/>
      </c>
      <c r="G392" s="12"/>
      <c r="H392" s="12"/>
      <c r="I392" s="12"/>
      <c r="J392" s="12"/>
    </row>
    <row r="393" customFormat="false" ht="15" hidden="false" customHeight="false" outlineLevel="0" collapsed="false">
      <c r="A393" s="14" t="str">
        <f aca="false">IF(OR(B393="",C393="",D393="",E393=""),"",UPPER(B393)&amp;TEXT(C393,"00")&amp;"-"&amp;D393&amp;"-"&amp;TEXT(E393,"00"))</f>
        <v/>
      </c>
      <c r="B393" s="12"/>
      <c r="C393" s="12"/>
      <c r="D393" s="12"/>
      <c r="E393" s="12"/>
      <c r="F393" s="16" t="str">
        <f aca="false">IF(B393="","",IFERROR(INDEX(Zones!$B$2:$B$15,MATCH(B393,Zones!$A$2:$A$15,0)),"⚠ zone inconnue"))</f>
        <v/>
      </c>
      <c r="G393" s="12"/>
      <c r="H393" s="12"/>
      <c r="I393" s="12"/>
      <c r="J393" s="12"/>
    </row>
    <row r="394" customFormat="false" ht="15" hidden="false" customHeight="false" outlineLevel="0" collapsed="false">
      <c r="A394" s="14" t="str">
        <f aca="false">IF(OR(B394="",C394="",D394="",E394=""),"",UPPER(B394)&amp;TEXT(C394,"00")&amp;"-"&amp;D394&amp;"-"&amp;TEXT(E394,"00"))</f>
        <v/>
      </c>
      <c r="B394" s="12"/>
      <c r="C394" s="12"/>
      <c r="D394" s="12"/>
      <c r="E394" s="12"/>
      <c r="F394" s="16" t="str">
        <f aca="false">IF(B394="","",IFERROR(INDEX(Zones!$B$2:$B$15,MATCH(B394,Zones!$A$2:$A$15,0)),"⚠ zone inconnue"))</f>
        <v/>
      </c>
      <c r="G394" s="12"/>
      <c r="H394" s="12"/>
      <c r="I394" s="12"/>
      <c r="J394" s="12"/>
    </row>
    <row r="395" customFormat="false" ht="15" hidden="false" customHeight="false" outlineLevel="0" collapsed="false">
      <c r="A395" s="14" t="str">
        <f aca="false">IF(OR(B395="",C395="",D395="",E395=""),"",UPPER(B395)&amp;TEXT(C395,"00")&amp;"-"&amp;D395&amp;"-"&amp;TEXT(E395,"00"))</f>
        <v/>
      </c>
      <c r="B395" s="12"/>
      <c r="C395" s="12"/>
      <c r="D395" s="12"/>
      <c r="E395" s="12"/>
      <c r="F395" s="16" t="str">
        <f aca="false">IF(B395="","",IFERROR(INDEX(Zones!$B$2:$B$15,MATCH(B395,Zones!$A$2:$A$15,0)),"⚠ zone inconnue"))</f>
        <v/>
      </c>
      <c r="G395" s="12"/>
      <c r="H395" s="12"/>
      <c r="I395" s="12"/>
      <c r="J395" s="12"/>
    </row>
    <row r="396" customFormat="false" ht="15" hidden="false" customHeight="false" outlineLevel="0" collapsed="false">
      <c r="A396" s="14" t="str">
        <f aca="false">IF(OR(B396="",C396="",D396="",E396=""),"",UPPER(B396)&amp;TEXT(C396,"00")&amp;"-"&amp;D396&amp;"-"&amp;TEXT(E396,"00"))</f>
        <v/>
      </c>
      <c r="B396" s="12"/>
      <c r="C396" s="12"/>
      <c r="D396" s="12"/>
      <c r="E396" s="12"/>
      <c r="F396" s="16" t="str">
        <f aca="false">IF(B396="","",IFERROR(INDEX(Zones!$B$2:$B$15,MATCH(B396,Zones!$A$2:$A$15,0)),"⚠ zone inconnue"))</f>
        <v/>
      </c>
      <c r="G396" s="12"/>
      <c r="H396" s="12"/>
      <c r="I396" s="12"/>
      <c r="J396" s="12"/>
    </row>
    <row r="397" customFormat="false" ht="15" hidden="false" customHeight="false" outlineLevel="0" collapsed="false">
      <c r="A397" s="14" t="str">
        <f aca="false">IF(OR(B397="",C397="",D397="",E397=""),"",UPPER(B397)&amp;TEXT(C397,"00")&amp;"-"&amp;D397&amp;"-"&amp;TEXT(E397,"00"))</f>
        <v/>
      </c>
      <c r="B397" s="12"/>
      <c r="C397" s="12"/>
      <c r="D397" s="12"/>
      <c r="E397" s="12"/>
      <c r="F397" s="16" t="str">
        <f aca="false">IF(B397="","",IFERROR(INDEX(Zones!$B$2:$B$15,MATCH(B397,Zones!$A$2:$A$15,0)),"⚠ zone inconnue"))</f>
        <v/>
      </c>
      <c r="G397" s="12"/>
      <c r="H397" s="12"/>
      <c r="I397" s="12"/>
      <c r="J397" s="12"/>
    </row>
    <row r="398" customFormat="false" ht="15" hidden="false" customHeight="false" outlineLevel="0" collapsed="false">
      <c r="A398" s="14" t="str">
        <f aca="false">IF(OR(B398="",C398="",D398="",E398=""),"",UPPER(B398)&amp;TEXT(C398,"00")&amp;"-"&amp;D398&amp;"-"&amp;TEXT(E398,"00"))</f>
        <v/>
      </c>
      <c r="B398" s="12"/>
      <c r="C398" s="12"/>
      <c r="D398" s="12"/>
      <c r="E398" s="12"/>
      <c r="F398" s="16" t="str">
        <f aca="false">IF(B398="","",IFERROR(INDEX(Zones!$B$2:$B$15,MATCH(B398,Zones!$A$2:$A$15,0)),"⚠ zone inconnue"))</f>
        <v/>
      </c>
      <c r="G398" s="12"/>
      <c r="H398" s="12"/>
      <c r="I398" s="12"/>
      <c r="J398" s="12"/>
    </row>
    <row r="399" customFormat="false" ht="15" hidden="false" customHeight="false" outlineLevel="0" collapsed="false">
      <c r="A399" s="14" t="str">
        <f aca="false">IF(OR(B399="",C399="",D399="",E399=""),"",UPPER(B399)&amp;TEXT(C399,"00")&amp;"-"&amp;D399&amp;"-"&amp;TEXT(E399,"00"))</f>
        <v/>
      </c>
      <c r="B399" s="12"/>
      <c r="C399" s="12"/>
      <c r="D399" s="12"/>
      <c r="E399" s="12"/>
      <c r="F399" s="16" t="str">
        <f aca="false">IF(B399="","",IFERROR(INDEX(Zones!$B$2:$B$15,MATCH(B399,Zones!$A$2:$A$15,0)),"⚠ zone inconnue"))</f>
        <v/>
      </c>
      <c r="G399" s="12"/>
      <c r="H399" s="12"/>
      <c r="I399" s="12"/>
      <c r="J399" s="12"/>
    </row>
    <row r="400" customFormat="false" ht="15" hidden="false" customHeight="false" outlineLevel="0" collapsed="false">
      <c r="A400" s="14" t="str">
        <f aca="false">IF(OR(B400="",C400="",D400="",E400=""),"",UPPER(B400)&amp;TEXT(C400,"00")&amp;"-"&amp;D400&amp;"-"&amp;TEXT(E400,"00"))</f>
        <v/>
      </c>
      <c r="B400" s="12"/>
      <c r="C400" s="12"/>
      <c r="D400" s="12"/>
      <c r="E400" s="12"/>
      <c r="F400" s="16" t="str">
        <f aca="false">IF(B400="","",IFERROR(INDEX(Zones!$B$2:$B$15,MATCH(B400,Zones!$A$2:$A$15,0)),"⚠ zone inconnue"))</f>
        <v/>
      </c>
      <c r="G400" s="12"/>
      <c r="H400" s="12"/>
      <c r="I400" s="12"/>
      <c r="J400" s="12"/>
    </row>
    <row r="401" customFormat="false" ht="15" hidden="false" customHeight="false" outlineLevel="0" collapsed="false">
      <c r="A401" s="14" t="str">
        <f aca="false">IF(OR(B401="",C401="",D401="",E401=""),"",UPPER(B401)&amp;TEXT(C401,"00")&amp;"-"&amp;D401&amp;"-"&amp;TEXT(E401,"00"))</f>
        <v/>
      </c>
      <c r="B401" s="12"/>
      <c r="C401" s="12"/>
      <c r="D401" s="12"/>
      <c r="E401" s="12"/>
      <c r="F401" s="16" t="str">
        <f aca="false">IF(B401="","",IFERROR(INDEX(Zones!$B$2:$B$15,MATCH(B401,Zones!$A$2:$A$15,0)),"⚠ zone inconnue"))</f>
        <v/>
      </c>
      <c r="G401" s="12"/>
      <c r="H401" s="12"/>
      <c r="I401" s="12"/>
      <c r="J401" s="12"/>
    </row>
    <row r="402" customFormat="false" ht="15" hidden="false" customHeight="false" outlineLevel="0" collapsed="false">
      <c r="A402" s="14" t="str">
        <f aca="false">IF(OR(B402="",C402="",D402="",E402=""),"",UPPER(B402)&amp;TEXT(C402,"00")&amp;"-"&amp;D402&amp;"-"&amp;TEXT(E402,"00"))</f>
        <v/>
      </c>
      <c r="B402" s="12"/>
      <c r="C402" s="12"/>
      <c r="D402" s="12"/>
      <c r="E402" s="12"/>
      <c r="F402" s="16" t="str">
        <f aca="false">IF(B402="","",IFERROR(INDEX(Zones!$B$2:$B$15,MATCH(B402,Zones!$A$2:$A$15,0)),"⚠ zone inconnue"))</f>
        <v/>
      </c>
      <c r="G402" s="12"/>
      <c r="H402" s="12"/>
      <c r="I402" s="12"/>
      <c r="J402" s="12"/>
    </row>
    <row r="403" customFormat="false" ht="15" hidden="false" customHeight="false" outlineLevel="0" collapsed="false">
      <c r="A403" s="14" t="str">
        <f aca="false">IF(OR(B403="",C403="",D403="",E403=""),"",UPPER(B403)&amp;TEXT(C403,"00")&amp;"-"&amp;D403&amp;"-"&amp;TEXT(E403,"00"))</f>
        <v/>
      </c>
      <c r="B403" s="12"/>
      <c r="C403" s="12"/>
      <c r="D403" s="12"/>
      <c r="E403" s="12"/>
      <c r="F403" s="16" t="str">
        <f aca="false">IF(B403="","",IFERROR(INDEX(Zones!$B$2:$B$15,MATCH(B403,Zones!$A$2:$A$15,0)),"⚠ zone inconnue"))</f>
        <v/>
      </c>
      <c r="G403" s="12"/>
      <c r="H403" s="12"/>
      <c r="I403" s="12"/>
      <c r="J403" s="12"/>
    </row>
    <row r="404" customFormat="false" ht="15" hidden="false" customHeight="false" outlineLevel="0" collapsed="false">
      <c r="A404" s="14" t="str">
        <f aca="false">IF(OR(B404="",C404="",D404="",E404=""),"",UPPER(B404)&amp;TEXT(C404,"00")&amp;"-"&amp;D404&amp;"-"&amp;TEXT(E404,"00"))</f>
        <v/>
      </c>
      <c r="B404" s="12"/>
      <c r="C404" s="12"/>
      <c r="D404" s="12"/>
      <c r="E404" s="12"/>
      <c r="F404" s="16" t="str">
        <f aca="false">IF(B404="","",IFERROR(INDEX(Zones!$B$2:$B$15,MATCH(B404,Zones!$A$2:$A$15,0)),"⚠ zone inconnue"))</f>
        <v/>
      </c>
      <c r="G404" s="12"/>
      <c r="H404" s="12"/>
      <c r="I404" s="12"/>
      <c r="J404" s="12"/>
    </row>
    <row r="405" customFormat="false" ht="15" hidden="false" customHeight="false" outlineLevel="0" collapsed="false">
      <c r="A405" s="14" t="str">
        <f aca="false">IF(OR(B405="",C405="",D405="",E405=""),"",UPPER(B405)&amp;TEXT(C405,"00")&amp;"-"&amp;D405&amp;"-"&amp;TEXT(E405,"00"))</f>
        <v/>
      </c>
      <c r="B405" s="12"/>
      <c r="C405" s="12"/>
      <c r="D405" s="12"/>
      <c r="E405" s="12"/>
      <c r="F405" s="16" t="str">
        <f aca="false">IF(B405="","",IFERROR(INDEX(Zones!$B$2:$B$15,MATCH(B405,Zones!$A$2:$A$15,0)),"⚠ zone inconnue"))</f>
        <v/>
      </c>
      <c r="G405" s="12"/>
      <c r="H405" s="12"/>
      <c r="I405" s="12"/>
      <c r="J405" s="12"/>
    </row>
    <row r="406" customFormat="false" ht="15" hidden="false" customHeight="false" outlineLevel="0" collapsed="false">
      <c r="A406" s="14" t="str">
        <f aca="false">IF(OR(B406="",C406="",D406="",E406=""),"",UPPER(B406)&amp;TEXT(C406,"00")&amp;"-"&amp;D406&amp;"-"&amp;TEXT(E406,"00"))</f>
        <v/>
      </c>
      <c r="B406" s="12"/>
      <c r="C406" s="12"/>
      <c r="D406" s="12"/>
      <c r="E406" s="12"/>
      <c r="F406" s="16" t="str">
        <f aca="false">IF(B406="","",IFERROR(INDEX(Zones!$B$2:$B$15,MATCH(B406,Zones!$A$2:$A$15,0)),"⚠ zone inconnue"))</f>
        <v/>
      </c>
      <c r="G406" s="12"/>
      <c r="H406" s="12"/>
      <c r="I406" s="12"/>
      <c r="J406" s="12"/>
    </row>
    <row r="407" customFormat="false" ht="15" hidden="false" customHeight="false" outlineLevel="0" collapsed="false">
      <c r="A407" s="14" t="str">
        <f aca="false">IF(OR(B407="",C407="",D407="",E407=""),"",UPPER(B407)&amp;TEXT(C407,"00")&amp;"-"&amp;D407&amp;"-"&amp;TEXT(E407,"00"))</f>
        <v/>
      </c>
      <c r="B407" s="12"/>
      <c r="C407" s="12"/>
      <c r="D407" s="12"/>
      <c r="E407" s="12"/>
      <c r="F407" s="16" t="str">
        <f aca="false">IF(B407="","",IFERROR(INDEX(Zones!$B$2:$B$15,MATCH(B407,Zones!$A$2:$A$15,0)),"⚠ zone inconnue"))</f>
        <v/>
      </c>
      <c r="G407" s="12"/>
      <c r="H407" s="12"/>
      <c r="I407" s="12"/>
      <c r="J407" s="12"/>
    </row>
    <row r="408" customFormat="false" ht="15" hidden="false" customHeight="false" outlineLevel="0" collapsed="false">
      <c r="A408" s="14" t="str">
        <f aca="false">IF(OR(B408="",C408="",D408="",E408=""),"",UPPER(B408)&amp;TEXT(C408,"00")&amp;"-"&amp;D408&amp;"-"&amp;TEXT(E408,"00"))</f>
        <v/>
      </c>
      <c r="B408" s="12"/>
      <c r="C408" s="12"/>
      <c r="D408" s="12"/>
      <c r="E408" s="12"/>
      <c r="F408" s="16" t="str">
        <f aca="false">IF(B408="","",IFERROR(INDEX(Zones!$B$2:$B$15,MATCH(B408,Zones!$A$2:$A$15,0)),"⚠ zone inconnue"))</f>
        <v/>
      </c>
      <c r="G408" s="12"/>
      <c r="H408" s="12"/>
      <c r="I408" s="12"/>
      <c r="J408" s="12"/>
    </row>
    <row r="409" customFormat="false" ht="15" hidden="false" customHeight="false" outlineLevel="0" collapsed="false">
      <c r="A409" s="14" t="str">
        <f aca="false">IF(OR(B409="",C409="",D409="",E409=""),"",UPPER(B409)&amp;TEXT(C409,"00")&amp;"-"&amp;D409&amp;"-"&amp;TEXT(E409,"00"))</f>
        <v/>
      </c>
      <c r="B409" s="12"/>
      <c r="C409" s="12"/>
      <c r="D409" s="12"/>
      <c r="E409" s="12"/>
      <c r="F409" s="16" t="str">
        <f aca="false">IF(B409="","",IFERROR(INDEX(Zones!$B$2:$B$15,MATCH(B409,Zones!$A$2:$A$15,0)),"⚠ zone inconnue"))</f>
        <v/>
      </c>
      <c r="G409" s="12"/>
      <c r="H409" s="12"/>
      <c r="I409" s="12"/>
      <c r="J409" s="12"/>
    </row>
    <row r="410" customFormat="false" ht="15" hidden="false" customHeight="false" outlineLevel="0" collapsed="false">
      <c r="A410" s="14" t="str">
        <f aca="false">IF(OR(B410="",C410="",D410="",E410=""),"",UPPER(B410)&amp;TEXT(C410,"00")&amp;"-"&amp;D410&amp;"-"&amp;TEXT(E410,"00"))</f>
        <v/>
      </c>
      <c r="B410" s="12"/>
      <c r="C410" s="12"/>
      <c r="D410" s="12"/>
      <c r="E410" s="12"/>
      <c r="F410" s="16" t="str">
        <f aca="false">IF(B410="","",IFERROR(INDEX(Zones!$B$2:$B$15,MATCH(B410,Zones!$A$2:$A$15,0)),"⚠ zone inconnue"))</f>
        <v/>
      </c>
      <c r="G410" s="12"/>
      <c r="H410" s="12"/>
      <c r="I410" s="12"/>
      <c r="J410" s="12"/>
    </row>
    <row r="411" customFormat="false" ht="15" hidden="false" customHeight="false" outlineLevel="0" collapsed="false">
      <c r="A411" s="14" t="str">
        <f aca="false">IF(OR(B411="",C411="",D411="",E411=""),"",UPPER(B411)&amp;TEXT(C411,"00")&amp;"-"&amp;D411&amp;"-"&amp;TEXT(E411,"00"))</f>
        <v/>
      </c>
      <c r="B411" s="12"/>
      <c r="C411" s="12"/>
      <c r="D411" s="12"/>
      <c r="E411" s="12"/>
      <c r="F411" s="16" t="str">
        <f aca="false">IF(B411="","",IFERROR(INDEX(Zones!$B$2:$B$15,MATCH(B411,Zones!$A$2:$A$15,0)),"⚠ zone inconnue"))</f>
        <v/>
      </c>
      <c r="G411" s="12"/>
      <c r="H411" s="12"/>
      <c r="I411" s="12"/>
      <c r="J411" s="12"/>
    </row>
    <row r="412" customFormat="false" ht="15" hidden="false" customHeight="false" outlineLevel="0" collapsed="false">
      <c r="A412" s="14" t="str">
        <f aca="false">IF(OR(B412="",C412="",D412="",E412=""),"",UPPER(B412)&amp;TEXT(C412,"00")&amp;"-"&amp;D412&amp;"-"&amp;TEXT(E412,"00"))</f>
        <v/>
      </c>
      <c r="B412" s="12"/>
      <c r="C412" s="12"/>
      <c r="D412" s="12"/>
      <c r="E412" s="12"/>
      <c r="F412" s="16" t="str">
        <f aca="false">IF(B412="","",IFERROR(INDEX(Zones!$B$2:$B$15,MATCH(B412,Zones!$A$2:$A$15,0)),"⚠ zone inconnue"))</f>
        <v/>
      </c>
      <c r="G412" s="12"/>
      <c r="H412" s="12"/>
      <c r="I412" s="12"/>
      <c r="J412" s="12"/>
    </row>
    <row r="413" customFormat="false" ht="15" hidden="false" customHeight="false" outlineLevel="0" collapsed="false">
      <c r="A413" s="14" t="str">
        <f aca="false">IF(OR(B413="",C413="",D413="",E413=""),"",UPPER(B413)&amp;TEXT(C413,"00")&amp;"-"&amp;D413&amp;"-"&amp;TEXT(E413,"00"))</f>
        <v/>
      </c>
      <c r="B413" s="12"/>
      <c r="C413" s="12"/>
      <c r="D413" s="12"/>
      <c r="E413" s="12"/>
      <c r="F413" s="16" t="str">
        <f aca="false">IF(B413="","",IFERROR(INDEX(Zones!$B$2:$B$15,MATCH(B413,Zones!$A$2:$A$15,0)),"⚠ zone inconnue"))</f>
        <v/>
      </c>
      <c r="G413" s="12"/>
      <c r="H413" s="12"/>
      <c r="I413" s="12"/>
      <c r="J413" s="12"/>
    </row>
    <row r="414" customFormat="false" ht="15" hidden="false" customHeight="false" outlineLevel="0" collapsed="false">
      <c r="A414" s="14" t="str">
        <f aca="false">IF(OR(B414="",C414="",D414="",E414=""),"",UPPER(B414)&amp;TEXT(C414,"00")&amp;"-"&amp;D414&amp;"-"&amp;TEXT(E414,"00"))</f>
        <v/>
      </c>
      <c r="B414" s="12"/>
      <c r="C414" s="12"/>
      <c r="D414" s="12"/>
      <c r="E414" s="12"/>
      <c r="F414" s="16" t="str">
        <f aca="false">IF(B414="","",IFERROR(INDEX(Zones!$B$2:$B$15,MATCH(B414,Zones!$A$2:$A$15,0)),"⚠ zone inconnue"))</f>
        <v/>
      </c>
      <c r="G414" s="12"/>
      <c r="H414" s="12"/>
      <c r="I414" s="12"/>
      <c r="J414" s="12"/>
    </row>
    <row r="415" customFormat="false" ht="15" hidden="false" customHeight="false" outlineLevel="0" collapsed="false">
      <c r="A415" s="14" t="str">
        <f aca="false">IF(OR(B415="",C415="",D415="",E415=""),"",UPPER(B415)&amp;TEXT(C415,"00")&amp;"-"&amp;D415&amp;"-"&amp;TEXT(E415,"00"))</f>
        <v/>
      </c>
      <c r="B415" s="12"/>
      <c r="C415" s="12"/>
      <c r="D415" s="12"/>
      <c r="E415" s="12"/>
      <c r="F415" s="16" t="str">
        <f aca="false">IF(B415="","",IFERROR(INDEX(Zones!$B$2:$B$15,MATCH(B415,Zones!$A$2:$A$15,0)),"⚠ zone inconnue"))</f>
        <v/>
      </c>
      <c r="G415" s="12"/>
      <c r="H415" s="12"/>
      <c r="I415" s="12"/>
      <c r="J415" s="12"/>
    </row>
    <row r="416" customFormat="false" ht="15" hidden="false" customHeight="false" outlineLevel="0" collapsed="false">
      <c r="A416" s="14" t="str">
        <f aca="false">IF(OR(B416="",C416="",D416="",E416=""),"",UPPER(B416)&amp;TEXT(C416,"00")&amp;"-"&amp;D416&amp;"-"&amp;TEXT(E416,"00"))</f>
        <v/>
      </c>
      <c r="B416" s="12"/>
      <c r="C416" s="12"/>
      <c r="D416" s="12"/>
      <c r="E416" s="12"/>
      <c r="F416" s="16" t="str">
        <f aca="false">IF(B416="","",IFERROR(INDEX(Zones!$B$2:$B$15,MATCH(B416,Zones!$A$2:$A$15,0)),"⚠ zone inconnue"))</f>
        <v/>
      </c>
      <c r="G416" s="12"/>
      <c r="H416" s="12"/>
      <c r="I416" s="12"/>
      <c r="J416" s="12"/>
    </row>
    <row r="417" customFormat="false" ht="15" hidden="false" customHeight="false" outlineLevel="0" collapsed="false">
      <c r="A417" s="14" t="str">
        <f aca="false">IF(OR(B417="",C417="",D417="",E417=""),"",UPPER(B417)&amp;TEXT(C417,"00")&amp;"-"&amp;D417&amp;"-"&amp;TEXT(E417,"00"))</f>
        <v/>
      </c>
      <c r="B417" s="12"/>
      <c r="C417" s="12"/>
      <c r="D417" s="12"/>
      <c r="E417" s="12"/>
      <c r="F417" s="16" t="str">
        <f aca="false">IF(B417="","",IFERROR(INDEX(Zones!$B$2:$B$15,MATCH(B417,Zones!$A$2:$A$15,0)),"⚠ zone inconnue"))</f>
        <v/>
      </c>
      <c r="G417" s="12"/>
      <c r="H417" s="12"/>
      <c r="I417" s="12"/>
      <c r="J417" s="12"/>
    </row>
    <row r="418" customFormat="false" ht="15" hidden="false" customHeight="false" outlineLevel="0" collapsed="false">
      <c r="A418" s="14" t="str">
        <f aca="false">IF(OR(B418="",C418="",D418="",E418=""),"",UPPER(B418)&amp;TEXT(C418,"00")&amp;"-"&amp;D418&amp;"-"&amp;TEXT(E418,"00"))</f>
        <v/>
      </c>
      <c r="B418" s="12"/>
      <c r="C418" s="12"/>
      <c r="D418" s="12"/>
      <c r="E418" s="12"/>
      <c r="F418" s="16" t="str">
        <f aca="false">IF(B418="","",IFERROR(INDEX(Zones!$B$2:$B$15,MATCH(B418,Zones!$A$2:$A$15,0)),"⚠ zone inconnue"))</f>
        <v/>
      </c>
      <c r="G418" s="12"/>
      <c r="H418" s="12"/>
      <c r="I418" s="12"/>
      <c r="J418" s="12"/>
    </row>
    <row r="419" customFormat="false" ht="15" hidden="false" customHeight="false" outlineLevel="0" collapsed="false">
      <c r="A419" s="14" t="str">
        <f aca="false">IF(OR(B419="",C419="",D419="",E419=""),"",UPPER(B419)&amp;TEXT(C419,"00")&amp;"-"&amp;D419&amp;"-"&amp;TEXT(E419,"00"))</f>
        <v/>
      </c>
      <c r="B419" s="12"/>
      <c r="C419" s="12"/>
      <c r="D419" s="12"/>
      <c r="E419" s="12"/>
      <c r="F419" s="16" t="str">
        <f aca="false">IF(B419="","",IFERROR(INDEX(Zones!$B$2:$B$15,MATCH(B419,Zones!$A$2:$A$15,0)),"⚠ zone inconnue"))</f>
        <v/>
      </c>
      <c r="G419" s="12"/>
      <c r="H419" s="12"/>
      <c r="I419" s="12"/>
      <c r="J419" s="12"/>
    </row>
    <row r="420" customFormat="false" ht="15" hidden="false" customHeight="false" outlineLevel="0" collapsed="false">
      <c r="A420" s="14" t="str">
        <f aca="false">IF(OR(B420="",C420="",D420="",E420=""),"",UPPER(B420)&amp;TEXT(C420,"00")&amp;"-"&amp;D420&amp;"-"&amp;TEXT(E420,"00"))</f>
        <v/>
      </c>
      <c r="B420" s="12"/>
      <c r="C420" s="12"/>
      <c r="D420" s="12"/>
      <c r="E420" s="12"/>
      <c r="F420" s="16" t="str">
        <f aca="false">IF(B420="","",IFERROR(INDEX(Zones!$B$2:$B$15,MATCH(B420,Zones!$A$2:$A$15,0)),"⚠ zone inconnue"))</f>
        <v/>
      </c>
      <c r="G420" s="12"/>
      <c r="H420" s="12"/>
      <c r="I420" s="12"/>
      <c r="J420" s="12"/>
    </row>
    <row r="421" customFormat="false" ht="15" hidden="false" customHeight="false" outlineLevel="0" collapsed="false">
      <c r="A421" s="14" t="str">
        <f aca="false">IF(OR(B421="",C421="",D421="",E421=""),"",UPPER(B421)&amp;TEXT(C421,"00")&amp;"-"&amp;D421&amp;"-"&amp;TEXT(E421,"00"))</f>
        <v/>
      </c>
      <c r="B421" s="12"/>
      <c r="C421" s="12"/>
      <c r="D421" s="12"/>
      <c r="E421" s="12"/>
      <c r="F421" s="16" t="str">
        <f aca="false">IF(B421="","",IFERROR(INDEX(Zones!$B$2:$B$15,MATCH(B421,Zones!$A$2:$A$15,0)),"⚠ zone inconnue"))</f>
        <v/>
      </c>
      <c r="G421" s="12"/>
      <c r="H421" s="12"/>
      <c r="I421" s="12"/>
      <c r="J421" s="12"/>
    </row>
    <row r="422" customFormat="false" ht="15" hidden="false" customHeight="false" outlineLevel="0" collapsed="false">
      <c r="A422" s="14" t="str">
        <f aca="false">IF(OR(B422="",C422="",D422="",E422=""),"",UPPER(B422)&amp;TEXT(C422,"00")&amp;"-"&amp;D422&amp;"-"&amp;TEXT(E422,"00"))</f>
        <v/>
      </c>
      <c r="B422" s="12"/>
      <c r="C422" s="12"/>
      <c r="D422" s="12"/>
      <c r="E422" s="12"/>
      <c r="F422" s="16" t="str">
        <f aca="false">IF(B422="","",IFERROR(INDEX(Zones!$B$2:$B$15,MATCH(B422,Zones!$A$2:$A$15,0)),"⚠ zone inconnue"))</f>
        <v/>
      </c>
      <c r="G422" s="12"/>
      <c r="H422" s="12"/>
      <c r="I422" s="12"/>
      <c r="J422" s="12"/>
    </row>
    <row r="423" customFormat="false" ht="15" hidden="false" customHeight="false" outlineLevel="0" collapsed="false">
      <c r="A423" s="14" t="str">
        <f aca="false">IF(OR(B423="",C423="",D423="",E423=""),"",UPPER(B423)&amp;TEXT(C423,"00")&amp;"-"&amp;D423&amp;"-"&amp;TEXT(E423,"00"))</f>
        <v/>
      </c>
      <c r="B423" s="12"/>
      <c r="C423" s="12"/>
      <c r="D423" s="12"/>
      <c r="E423" s="12"/>
      <c r="F423" s="16" t="str">
        <f aca="false">IF(B423="","",IFERROR(INDEX(Zones!$B$2:$B$15,MATCH(B423,Zones!$A$2:$A$15,0)),"⚠ zone inconnue"))</f>
        <v/>
      </c>
      <c r="G423" s="12"/>
      <c r="H423" s="12"/>
      <c r="I423" s="12"/>
      <c r="J423" s="12"/>
    </row>
    <row r="424" customFormat="false" ht="15" hidden="false" customHeight="false" outlineLevel="0" collapsed="false">
      <c r="A424" s="14" t="str">
        <f aca="false">IF(OR(B424="",C424="",D424="",E424=""),"",UPPER(B424)&amp;TEXT(C424,"00")&amp;"-"&amp;D424&amp;"-"&amp;TEXT(E424,"00"))</f>
        <v/>
      </c>
      <c r="B424" s="12"/>
      <c r="C424" s="12"/>
      <c r="D424" s="12"/>
      <c r="E424" s="12"/>
      <c r="F424" s="16" t="str">
        <f aca="false">IF(B424="","",IFERROR(INDEX(Zones!$B$2:$B$15,MATCH(B424,Zones!$A$2:$A$15,0)),"⚠ zone inconnue"))</f>
        <v/>
      </c>
      <c r="G424" s="12"/>
      <c r="H424" s="12"/>
      <c r="I424" s="12"/>
      <c r="J424" s="12"/>
    </row>
    <row r="425" customFormat="false" ht="15" hidden="false" customHeight="false" outlineLevel="0" collapsed="false">
      <c r="A425" s="14" t="str">
        <f aca="false">IF(OR(B425="",C425="",D425="",E425=""),"",UPPER(B425)&amp;TEXT(C425,"00")&amp;"-"&amp;D425&amp;"-"&amp;TEXT(E425,"00"))</f>
        <v/>
      </c>
      <c r="B425" s="12"/>
      <c r="C425" s="12"/>
      <c r="D425" s="12"/>
      <c r="E425" s="12"/>
      <c r="F425" s="16" t="str">
        <f aca="false">IF(B425="","",IFERROR(INDEX(Zones!$B$2:$B$15,MATCH(B425,Zones!$A$2:$A$15,0)),"⚠ zone inconnue"))</f>
        <v/>
      </c>
      <c r="G425" s="12"/>
      <c r="H425" s="12"/>
      <c r="I425" s="12"/>
      <c r="J425" s="12"/>
    </row>
    <row r="426" customFormat="false" ht="15" hidden="false" customHeight="false" outlineLevel="0" collapsed="false">
      <c r="A426" s="14" t="str">
        <f aca="false">IF(OR(B426="",C426="",D426="",E426=""),"",UPPER(B426)&amp;TEXT(C426,"00")&amp;"-"&amp;D426&amp;"-"&amp;TEXT(E426,"00"))</f>
        <v/>
      </c>
      <c r="B426" s="12"/>
      <c r="C426" s="12"/>
      <c r="D426" s="12"/>
      <c r="E426" s="12"/>
      <c r="F426" s="16" t="str">
        <f aca="false">IF(B426="","",IFERROR(INDEX(Zones!$B$2:$B$15,MATCH(B426,Zones!$A$2:$A$15,0)),"⚠ zone inconnue"))</f>
        <v/>
      </c>
      <c r="G426" s="12"/>
      <c r="H426" s="12"/>
      <c r="I426" s="12"/>
      <c r="J426" s="12"/>
    </row>
    <row r="427" customFormat="false" ht="15" hidden="false" customHeight="false" outlineLevel="0" collapsed="false">
      <c r="A427" s="14" t="str">
        <f aca="false">IF(OR(B427="",C427="",D427="",E427=""),"",UPPER(B427)&amp;TEXT(C427,"00")&amp;"-"&amp;D427&amp;"-"&amp;TEXT(E427,"00"))</f>
        <v/>
      </c>
      <c r="B427" s="12"/>
      <c r="C427" s="12"/>
      <c r="D427" s="12"/>
      <c r="E427" s="12"/>
      <c r="F427" s="16" t="str">
        <f aca="false">IF(B427="","",IFERROR(INDEX(Zones!$B$2:$B$15,MATCH(B427,Zones!$A$2:$A$15,0)),"⚠ zone inconnue"))</f>
        <v/>
      </c>
      <c r="G427" s="12"/>
      <c r="H427" s="12"/>
      <c r="I427" s="12"/>
      <c r="J427" s="12"/>
    </row>
    <row r="428" customFormat="false" ht="15" hidden="false" customHeight="false" outlineLevel="0" collapsed="false">
      <c r="A428" s="14" t="str">
        <f aca="false">IF(OR(B428="",C428="",D428="",E428=""),"",UPPER(B428)&amp;TEXT(C428,"00")&amp;"-"&amp;D428&amp;"-"&amp;TEXT(E428,"00"))</f>
        <v/>
      </c>
      <c r="B428" s="12"/>
      <c r="C428" s="12"/>
      <c r="D428" s="12"/>
      <c r="E428" s="12"/>
      <c r="F428" s="16" t="str">
        <f aca="false">IF(B428="","",IFERROR(INDEX(Zones!$B$2:$B$15,MATCH(B428,Zones!$A$2:$A$15,0)),"⚠ zone inconnue"))</f>
        <v/>
      </c>
      <c r="G428" s="12"/>
      <c r="H428" s="12"/>
      <c r="I428" s="12"/>
      <c r="J428" s="12"/>
    </row>
    <row r="429" customFormat="false" ht="15" hidden="false" customHeight="false" outlineLevel="0" collapsed="false">
      <c r="A429" s="14" t="str">
        <f aca="false">IF(OR(B429="",C429="",D429="",E429=""),"",UPPER(B429)&amp;TEXT(C429,"00")&amp;"-"&amp;D429&amp;"-"&amp;TEXT(E429,"00"))</f>
        <v/>
      </c>
      <c r="B429" s="12"/>
      <c r="C429" s="12"/>
      <c r="D429" s="12"/>
      <c r="E429" s="12"/>
      <c r="F429" s="16" t="str">
        <f aca="false">IF(B429="","",IFERROR(INDEX(Zones!$B$2:$B$15,MATCH(B429,Zones!$A$2:$A$15,0)),"⚠ zone inconnue"))</f>
        <v/>
      </c>
      <c r="G429" s="12"/>
      <c r="H429" s="12"/>
      <c r="I429" s="12"/>
      <c r="J429" s="12"/>
    </row>
    <row r="430" customFormat="false" ht="15" hidden="false" customHeight="false" outlineLevel="0" collapsed="false">
      <c r="A430" s="14" t="str">
        <f aca="false">IF(OR(B430="",C430="",D430="",E430=""),"",UPPER(B430)&amp;TEXT(C430,"00")&amp;"-"&amp;D430&amp;"-"&amp;TEXT(E430,"00"))</f>
        <v/>
      </c>
      <c r="B430" s="12"/>
      <c r="C430" s="12"/>
      <c r="D430" s="12"/>
      <c r="E430" s="12"/>
      <c r="F430" s="16" t="str">
        <f aca="false">IF(B430="","",IFERROR(INDEX(Zones!$B$2:$B$15,MATCH(B430,Zones!$A$2:$A$15,0)),"⚠ zone inconnue"))</f>
        <v/>
      </c>
      <c r="G430" s="12"/>
      <c r="H430" s="12"/>
      <c r="I430" s="12"/>
      <c r="J430" s="12"/>
    </row>
    <row r="431" customFormat="false" ht="15" hidden="false" customHeight="false" outlineLevel="0" collapsed="false">
      <c r="A431" s="14" t="str">
        <f aca="false">IF(OR(B431="",C431="",D431="",E431=""),"",UPPER(B431)&amp;TEXT(C431,"00")&amp;"-"&amp;D431&amp;"-"&amp;TEXT(E431,"00"))</f>
        <v/>
      </c>
      <c r="B431" s="12"/>
      <c r="C431" s="12"/>
      <c r="D431" s="12"/>
      <c r="E431" s="12"/>
      <c r="F431" s="16" t="str">
        <f aca="false">IF(B431="","",IFERROR(INDEX(Zones!$B$2:$B$15,MATCH(B431,Zones!$A$2:$A$15,0)),"⚠ zone inconnue"))</f>
        <v/>
      </c>
      <c r="G431" s="12"/>
      <c r="H431" s="12"/>
      <c r="I431" s="12"/>
      <c r="J431" s="12"/>
    </row>
    <row r="432" customFormat="false" ht="15" hidden="false" customHeight="false" outlineLevel="0" collapsed="false">
      <c r="A432" s="14" t="str">
        <f aca="false">IF(OR(B432="",C432="",D432="",E432=""),"",UPPER(B432)&amp;TEXT(C432,"00")&amp;"-"&amp;D432&amp;"-"&amp;TEXT(E432,"00"))</f>
        <v/>
      </c>
      <c r="B432" s="12"/>
      <c r="C432" s="12"/>
      <c r="D432" s="12"/>
      <c r="E432" s="12"/>
      <c r="F432" s="16" t="str">
        <f aca="false">IF(B432="","",IFERROR(INDEX(Zones!$B$2:$B$15,MATCH(B432,Zones!$A$2:$A$15,0)),"⚠ zone inconnue"))</f>
        <v/>
      </c>
      <c r="G432" s="12"/>
      <c r="H432" s="12"/>
      <c r="I432" s="12"/>
      <c r="J432" s="12"/>
    </row>
    <row r="433" customFormat="false" ht="15" hidden="false" customHeight="false" outlineLevel="0" collapsed="false">
      <c r="A433" s="14" t="str">
        <f aca="false">IF(OR(B433="",C433="",D433="",E433=""),"",UPPER(B433)&amp;TEXT(C433,"00")&amp;"-"&amp;D433&amp;"-"&amp;TEXT(E433,"00"))</f>
        <v/>
      </c>
      <c r="B433" s="12"/>
      <c r="C433" s="12"/>
      <c r="D433" s="12"/>
      <c r="E433" s="12"/>
      <c r="F433" s="16" t="str">
        <f aca="false">IF(B433="","",IFERROR(INDEX(Zones!$B$2:$B$15,MATCH(B433,Zones!$A$2:$A$15,0)),"⚠ zone inconnue"))</f>
        <v/>
      </c>
      <c r="G433" s="12"/>
      <c r="H433" s="12"/>
      <c r="I433" s="12"/>
      <c r="J433" s="12"/>
    </row>
    <row r="434" customFormat="false" ht="15" hidden="false" customHeight="false" outlineLevel="0" collapsed="false">
      <c r="A434" s="14" t="str">
        <f aca="false">IF(OR(B434="",C434="",D434="",E434=""),"",UPPER(B434)&amp;TEXT(C434,"00")&amp;"-"&amp;D434&amp;"-"&amp;TEXT(E434,"00"))</f>
        <v/>
      </c>
      <c r="B434" s="12"/>
      <c r="C434" s="12"/>
      <c r="D434" s="12"/>
      <c r="E434" s="12"/>
      <c r="F434" s="16" t="str">
        <f aca="false">IF(B434="","",IFERROR(INDEX(Zones!$B$2:$B$15,MATCH(B434,Zones!$A$2:$A$15,0)),"⚠ zone inconnue"))</f>
        <v/>
      </c>
      <c r="G434" s="12"/>
      <c r="H434" s="12"/>
      <c r="I434" s="12"/>
      <c r="J434" s="12"/>
    </row>
    <row r="435" customFormat="false" ht="15" hidden="false" customHeight="false" outlineLevel="0" collapsed="false">
      <c r="A435" s="14" t="str">
        <f aca="false">IF(OR(B435="",C435="",D435="",E435=""),"",UPPER(B435)&amp;TEXT(C435,"00")&amp;"-"&amp;D435&amp;"-"&amp;TEXT(E435,"00"))</f>
        <v/>
      </c>
      <c r="B435" s="12"/>
      <c r="C435" s="12"/>
      <c r="D435" s="12"/>
      <c r="E435" s="12"/>
      <c r="F435" s="16" t="str">
        <f aca="false">IF(B435="","",IFERROR(INDEX(Zones!$B$2:$B$15,MATCH(B435,Zones!$A$2:$A$15,0)),"⚠ zone inconnue"))</f>
        <v/>
      </c>
      <c r="G435" s="12"/>
      <c r="H435" s="12"/>
      <c r="I435" s="12"/>
      <c r="J435" s="12"/>
    </row>
    <row r="436" customFormat="false" ht="15" hidden="false" customHeight="false" outlineLevel="0" collapsed="false">
      <c r="A436" s="14" t="str">
        <f aca="false">IF(OR(B436="",C436="",D436="",E436=""),"",UPPER(B436)&amp;TEXT(C436,"00")&amp;"-"&amp;D436&amp;"-"&amp;TEXT(E436,"00"))</f>
        <v/>
      </c>
      <c r="B436" s="12"/>
      <c r="C436" s="12"/>
      <c r="D436" s="12"/>
      <c r="E436" s="12"/>
      <c r="F436" s="16" t="str">
        <f aca="false">IF(B436="","",IFERROR(INDEX(Zones!$B$2:$B$15,MATCH(B436,Zones!$A$2:$A$15,0)),"⚠ zone inconnue"))</f>
        <v/>
      </c>
      <c r="G436" s="12"/>
      <c r="H436" s="12"/>
      <c r="I436" s="12"/>
      <c r="J436" s="12"/>
    </row>
    <row r="437" customFormat="false" ht="15" hidden="false" customHeight="false" outlineLevel="0" collapsed="false">
      <c r="A437" s="14" t="str">
        <f aca="false">IF(OR(B437="",C437="",D437="",E437=""),"",UPPER(B437)&amp;TEXT(C437,"00")&amp;"-"&amp;D437&amp;"-"&amp;TEXT(E437,"00"))</f>
        <v/>
      </c>
      <c r="B437" s="12"/>
      <c r="C437" s="12"/>
      <c r="D437" s="12"/>
      <c r="E437" s="12"/>
      <c r="F437" s="16" t="str">
        <f aca="false">IF(B437="","",IFERROR(INDEX(Zones!$B$2:$B$15,MATCH(B437,Zones!$A$2:$A$15,0)),"⚠ zone inconnue"))</f>
        <v/>
      </c>
      <c r="G437" s="12"/>
      <c r="H437" s="12"/>
      <c r="I437" s="12"/>
      <c r="J437" s="12"/>
    </row>
    <row r="438" customFormat="false" ht="15" hidden="false" customHeight="false" outlineLevel="0" collapsed="false">
      <c r="A438" s="14" t="str">
        <f aca="false">IF(OR(B438="",C438="",D438="",E438=""),"",UPPER(B438)&amp;TEXT(C438,"00")&amp;"-"&amp;D438&amp;"-"&amp;TEXT(E438,"00"))</f>
        <v/>
      </c>
      <c r="B438" s="12"/>
      <c r="C438" s="12"/>
      <c r="D438" s="12"/>
      <c r="E438" s="12"/>
      <c r="F438" s="16" t="str">
        <f aca="false">IF(B438="","",IFERROR(INDEX(Zones!$B$2:$B$15,MATCH(B438,Zones!$A$2:$A$15,0)),"⚠ zone inconnue"))</f>
        <v/>
      </c>
      <c r="G438" s="12"/>
      <c r="H438" s="12"/>
      <c r="I438" s="12"/>
      <c r="J438" s="12"/>
    </row>
    <row r="439" customFormat="false" ht="15" hidden="false" customHeight="false" outlineLevel="0" collapsed="false">
      <c r="A439" s="14" t="str">
        <f aca="false">IF(OR(B439="",C439="",D439="",E439=""),"",UPPER(B439)&amp;TEXT(C439,"00")&amp;"-"&amp;D439&amp;"-"&amp;TEXT(E439,"00"))</f>
        <v/>
      </c>
      <c r="B439" s="12"/>
      <c r="C439" s="12"/>
      <c r="D439" s="12"/>
      <c r="E439" s="12"/>
      <c r="F439" s="16" t="str">
        <f aca="false">IF(B439="","",IFERROR(INDEX(Zones!$B$2:$B$15,MATCH(B439,Zones!$A$2:$A$15,0)),"⚠ zone inconnue"))</f>
        <v/>
      </c>
      <c r="G439" s="12"/>
      <c r="H439" s="12"/>
      <c r="I439" s="12"/>
      <c r="J439" s="12"/>
    </row>
    <row r="440" customFormat="false" ht="15" hidden="false" customHeight="false" outlineLevel="0" collapsed="false">
      <c r="A440" s="14" t="str">
        <f aca="false">IF(OR(B440="",C440="",D440="",E440=""),"",UPPER(B440)&amp;TEXT(C440,"00")&amp;"-"&amp;D440&amp;"-"&amp;TEXT(E440,"00"))</f>
        <v/>
      </c>
      <c r="B440" s="12"/>
      <c r="C440" s="12"/>
      <c r="D440" s="12"/>
      <c r="E440" s="12"/>
      <c r="F440" s="16" t="str">
        <f aca="false">IF(B440="","",IFERROR(INDEX(Zones!$B$2:$B$15,MATCH(B440,Zones!$A$2:$A$15,0)),"⚠ zone inconnue"))</f>
        <v/>
      </c>
      <c r="G440" s="12"/>
      <c r="H440" s="12"/>
      <c r="I440" s="12"/>
      <c r="J440" s="12"/>
    </row>
    <row r="441" customFormat="false" ht="15" hidden="false" customHeight="false" outlineLevel="0" collapsed="false">
      <c r="A441" s="14" t="str">
        <f aca="false">IF(OR(B441="",C441="",D441="",E441=""),"",UPPER(B441)&amp;TEXT(C441,"00")&amp;"-"&amp;D441&amp;"-"&amp;TEXT(E441,"00"))</f>
        <v/>
      </c>
      <c r="B441" s="12"/>
      <c r="C441" s="12"/>
      <c r="D441" s="12"/>
      <c r="E441" s="12"/>
      <c r="F441" s="16" t="str">
        <f aca="false">IF(B441="","",IFERROR(INDEX(Zones!$B$2:$B$15,MATCH(B441,Zones!$A$2:$A$15,0)),"⚠ zone inconnue"))</f>
        <v/>
      </c>
      <c r="G441" s="12"/>
      <c r="H441" s="12"/>
      <c r="I441" s="12"/>
      <c r="J441" s="12"/>
    </row>
    <row r="442" customFormat="false" ht="15" hidden="false" customHeight="false" outlineLevel="0" collapsed="false">
      <c r="A442" s="14" t="str">
        <f aca="false">IF(OR(B442="",C442="",D442="",E442=""),"",UPPER(B442)&amp;TEXT(C442,"00")&amp;"-"&amp;D442&amp;"-"&amp;TEXT(E442,"00"))</f>
        <v/>
      </c>
      <c r="B442" s="12"/>
      <c r="C442" s="12"/>
      <c r="D442" s="12"/>
      <c r="E442" s="12"/>
      <c r="F442" s="16" t="str">
        <f aca="false">IF(B442="","",IFERROR(INDEX(Zones!$B$2:$B$15,MATCH(B442,Zones!$A$2:$A$15,0)),"⚠ zone inconnue"))</f>
        <v/>
      </c>
      <c r="G442" s="12"/>
      <c r="H442" s="12"/>
      <c r="I442" s="12"/>
      <c r="J442" s="12"/>
    </row>
    <row r="443" customFormat="false" ht="15" hidden="false" customHeight="false" outlineLevel="0" collapsed="false">
      <c r="A443" s="14" t="str">
        <f aca="false">IF(OR(B443="",C443="",D443="",E443=""),"",UPPER(B443)&amp;TEXT(C443,"00")&amp;"-"&amp;D443&amp;"-"&amp;TEXT(E443,"00"))</f>
        <v/>
      </c>
      <c r="B443" s="12"/>
      <c r="C443" s="12"/>
      <c r="D443" s="12"/>
      <c r="E443" s="12"/>
      <c r="F443" s="16" t="str">
        <f aca="false">IF(B443="","",IFERROR(INDEX(Zones!$B$2:$B$15,MATCH(B443,Zones!$A$2:$A$15,0)),"⚠ zone inconnue"))</f>
        <v/>
      </c>
      <c r="G443" s="12"/>
      <c r="H443" s="12"/>
      <c r="I443" s="12"/>
      <c r="J443" s="12"/>
    </row>
    <row r="444" customFormat="false" ht="15" hidden="false" customHeight="false" outlineLevel="0" collapsed="false">
      <c r="A444" s="14" t="str">
        <f aca="false">IF(OR(B444="",C444="",D444="",E444=""),"",UPPER(B444)&amp;TEXT(C444,"00")&amp;"-"&amp;D444&amp;"-"&amp;TEXT(E444,"00"))</f>
        <v/>
      </c>
      <c r="B444" s="12"/>
      <c r="C444" s="12"/>
      <c r="D444" s="12"/>
      <c r="E444" s="12"/>
      <c r="F444" s="16" t="str">
        <f aca="false">IF(B444="","",IFERROR(INDEX(Zones!$B$2:$B$15,MATCH(B444,Zones!$A$2:$A$15,0)),"⚠ zone inconnue"))</f>
        <v/>
      </c>
      <c r="G444" s="12"/>
      <c r="H444" s="12"/>
      <c r="I444" s="12"/>
      <c r="J444" s="12"/>
    </row>
    <row r="445" customFormat="false" ht="15" hidden="false" customHeight="false" outlineLevel="0" collapsed="false">
      <c r="A445" s="14" t="str">
        <f aca="false">IF(OR(B445="",C445="",D445="",E445=""),"",UPPER(B445)&amp;TEXT(C445,"00")&amp;"-"&amp;D445&amp;"-"&amp;TEXT(E445,"00"))</f>
        <v/>
      </c>
      <c r="B445" s="12"/>
      <c r="C445" s="12"/>
      <c r="D445" s="12"/>
      <c r="E445" s="12"/>
      <c r="F445" s="16" t="str">
        <f aca="false">IF(B445="","",IFERROR(INDEX(Zones!$B$2:$B$15,MATCH(B445,Zones!$A$2:$A$15,0)),"⚠ zone inconnue"))</f>
        <v/>
      </c>
      <c r="G445" s="12"/>
      <c r="H445" s="12"/>
      <c r="I445" s="12"/>
      <c r="J445" s="12"/>
    </row>
    <row r="446" customFormat="false" ht="15" hidden="false" customHeight="false" outlineLevel="0" collapsed="false">
      <c r="A446" s="14" t="str">
        <f aca="false">IF(OR(B446="",C446="",D446="",E446=""),"",UPPER(B446)&amp;TEXT(C446,"00")&amp;"-"&amp;D446&amp;"-"&amp;TEXT(E446,"00"))</f>
        <v/>
      </c>
      <c r="B446" s="12"/>
      <c r="C446" s="12"/>
      <c r="D446" s="12"/>
      <c r="E446" s="12"/>
      <c r="F446" s="16" t="str">
        <f aca="false">IF(B446="","",IFERROR(INDEX(Zones!$B$2:$B$15,MATCH(B446,Zones!$A$2:$A$15,0)),"⚠ zone inconnue"))</f>
        <v/>
      </c>
      <c r="G446" s="12"/>
      <c r="H446" s="12"/>
      <c r="I446" s="12"/>
      <c r="J446" s="12"/>
    </row>
    <row r="447" customFormat="false" ht="15" hidden="false" customHeight="false" outlineLevel="0" collapsed="false">
      <c r="A447" s="14" t="str">
        <f aca="false">IF(OR(B447="",C447="",D447="",E447=""),"",UPPER(B447)&amp;TEXT(C447,"00")&amp;"-"&amp;D447&amp;"-"&amp;TEXT(E447,"00"))</f>
        <v/>
      </c>
      <c r="B447" s="12"/>
      <c r="C447" s="12"/>
      <c r="D447" s="12"/>
      <c r="E447" s="12"/>
      <c r="F447" s="16" t="str">
        <f aca="false">IF(B447="","",IFERROR(INDEX(Zones!$B$2:$B$15,MATCH(B447,Zones!$A$2:$A$15,0)),"⚠ zone inconnue"))</f>
        <v/>
      </c>
      <c r="G447" s="12"/>
      <c r="H447" s="12"/>
      <c r="I447" s="12"/>
      <c r="J447" s="12"/>
    </row>
    <row r="448" customFormat="false" ht="15" hidden="false" customHeight="false" outlineLevel="0" collapsed="false">
      <c r="A448" s="14" t="str">
        <f aca="false">IF(OR(B448="",C448="",D448="",E448=""),"",UPPER(B448)&amp;TEXT(C448,"00")&amp;"-"&amp;D448&amp;"-"&amp;TEXT(E448,"00"))</f>
        <v/>
      </c>
      <c r="B448" s="12"/>
      <c r="C448" s="12"/>
      <c r="D448" s="12"/>
      <c r="E448" s="12"/>
      <c r="F448" s="16" t="str">
        <f aca="false">IF(B448="","",IFERROR(INDEX(Zones!$B$2:$B$15,MATCH(B448,Zones!$A$2:$A$15,0)),"⚠ zone inconnue"))</f>
        <v/>
      </c>
      <c r="G448" s="12"/>
      <c r="H448" s="12"/>
      <c r="I448" s="12"/>
      <c r="J448" s="12"/>
    </row>
    <row r="449" customFormat="false" ht="15" hidden="false" customHeight="false" outlineLevel="0" collapsed="false">
      <c r="A449" s="14" t="str">
        <f aca="false">IF(OR(B449="",C449="",D449="",E449=""),"",UPPER(B449)&amp;TEXT(C449,"00")&amp;"-"&amp;D449&amp;"-"&amp;TEXT(E449,"00"))</f>
        <v/>
      </c>
      <c r="B449" s="12"/>
      <c r="C449" s="12"/>
      <c r="D449" s="12"/>
      <c r="E449" s="12"/>
      <c r="F449" s="16" t="str">
        <f aca="false">IF(B449="","",IFERROR(INDEX(Zones!$B$2:$B$15,MATCH(B449,Zones!$A$2:$A$15,0)),"⚠ zone inconnue"))</f>
        <v/>
      </c>
      <c r="G449" s="12"/>
      <c r="H449" s="12"/>
      <c r="I449" s="12"/>
      <c r="J449" s="12"/>
    </row>
    <row r="450" customFormat="false" ht="15" hidden="false" customHeight="false" outlineLevel="0" collapsed="false">
      <c r="A450" s="14" t="str">
        <f aca="false">IF(OR(B450="",C450="",D450="",E450=""),"",UPPER(B450)&amp;TEXT(C450,"00")&amp;"-"&amp;D450&amp;"-"&amp;TEXT(E450,"00"))</f>
        <v/>
      </c>
      <c r="B450" s="12"/>
      <c r="C450" s="12"/>
      <c r="D450" s="12"/>
      <c r="E450" s="12"/>
      <c r="F450" s="16" t="str">
        <f aca="false">IF(B450="","",IFERROR(INDEX(Zones!$B$2:$B$15,MATCH(B450,Zones!$A$2:$A$15,0)),"⚠ zone inconnue"))</f>
        <v/>
      </c>
      <c r="G450" s="12"/>
      <c r="H450" s="12"/>
      <c r="I450" s="12"/>
      <c r="J450" s="12"/>
    </row>
    <row r="451" customFormat="false" ht="15" hidden="false" customHeight="false" outlineLevel="0" collapsed="false">
      <c r="A451" s="14" t="str">
        <f aca="false">IF(OR(B451="",C451="",D451="",E451=""),"",UPPER(B451)&amp;TEXT(C451,"00")&amp;"-"&amp;D451&amp;"-"&amp;TEXT(E451,"00"))</f>
        <v/>
      </c>
      <c r="B451" s="12"/>
      <c r="C451" s="12"/>
      <c r="D451" s="12"/>
      <c r="E451" s="12"/>
      <c r="F451" s="16" t="str">
        <f aca="false">IF(B451="","",IFERROR(INDEX(Zones!$B$2:$B$15,MATCH(B451,Zones!$A$2:$A$15,0)),"⚠ zone inconnue"))</f>
        <v/>
      </c>
      <c r="G451" s="12"/>
      <c r="H451" s="12"/>
      <c r="I451" s="12"/>
      <c r="J451" s="12"/>
    </row>
    <row r="452" customFormat="false" ht="15" hidden="false" customHeight="false" outlineLevel="0" collapsed="false">
      <c r="A452" s="14" t="str">
        <f aca="false">IF(OR(B452="",C452="",D452="",E452=""),"",UPPER(B452)&amp;TEXT(C452,"00")&amp;"-"&amp;D452&amp;"-"&amp;TEXT(E452,"00"))</f>
        <v/>
      </c>
      <c r="B452" s="12"/>
      <c r="C452" s="12"/>
      <c r="D452" s="12"/>
      <c r="E452" s="12"/>
      <c r="F452" s="16" t="str">
        <f aca="false">IF(B452="","",IFERROR(INDEX(Zones!$B$2:$B$15,MATCH(B452,Zones!$A$2:$A$15,0)),"⚠ zone inconnue"))</f>
        <v/>
      </c>
      <c r="G452" s="12"/>
      <c r="H452" s="12"/>
      <c r="I452" s="12"/>
      <c r="J452" s="12"/>
    </row>
    <row r="453" customFormat="false" ht="15" hidden="false" customHeight="false" outlineLevel="0" collapsed="false">
      <c r="A453" s="14" t="str">
        <f aca="false">IF(OR(B453="",C453="",D453="",E453=""),"",UPPER(B453)&amp;TEXT(C453,"00")&amp;"-"&amp;D453&amp;"-"&amp;TEXT(E453,"00"))</f>
        <v/>
      </c>
      <c r="B453" s="12"/>
      <c r="C453" s="12"/>
      <c r="D453" s="12"/>
      <c r="E453" s="12"/>
      <c r="F453" s="16" t="str">
        <f aca="false">IF(B453="","",IFERROR(INDEX(Zones!$B$2:$B$15,MATCH(B453,Zones!$A$2:$A$15,0)),"⚠ zone inconnue"))</f>
        <v/>
      </c>
      <c r="G453" s="12"/>
      <c r="H453" s="12"/>
      <c r="I453" s="12"/>
      <c r="J453" s="12"/>
    </row>
    <row r="454" customFormat="false" ht="15" hidden="false" customHeight="false" outlineLevel="0" collapsed="false">
      <c r="A454" s="14" t="str">
        <f aca="false">IF(OR(B454="",C454="",D454="",E454=""),"",UPPER(B454)&amp;TEXT(C454,"00")&amp;"-"&amp;D454&amp;"-"&amp;TEXT(E454,"00"))</f>
        <v/>
      </c>
      <c r="B454" s="12"/>
      <c r="C454" s="12"/>
      <c r="D454" s="12"/>
      <c r="E454" s="12"/>
      <c r="F454" s="16" t="str">
        <f aca="false">IF(B454="","",IFERROR(INDEX(Zones!$B$2:$B$15,MATCH(B454,Zones!$A$2:$A$15,0)),"⚠ zone inconnue"))</f>
        <v/>
      </c>
      <c r="G454" s="12"/>
      <c r="H454" s="12"/>
      <c r="I454" s="12"/>
      <c r="J454" s="12"/>
    </row>
    <row r="455" customFormat="false" ht="15" hidden="false" customHeight="false" outlineLevel="0" collapsed="false">
      <c r="A455" s="14" t="str">
        <f aca="false">IF(OR(B455="",C455="",D455="",E455=""),"",UPPER(B455)&amp;TEXT(C455,"00")&amp;"-"&amp;D455&amp;"-"&amp;TEXT(E455,"00"))</f>
        <v/>
      </c>
      <c r="B455" s="12"/>
      <c r="C455" s="12"/>
      <c r="D455" s="12"/>
      <c r="E455" s="12"/>
      <c r="F455" s="16" t="str">
        <f aca="false">IF(B455="","",IFERROR(INDEX(Zones!$B$2:$B$15,MATCH(B455,Zones!$A$2:$A$15,0)),"⚠ zone inconnue"))</f>
        <v/>
      </c>
      <c r="G455" s="12"/>
      <c r="H455" s="12"/>
      <c r="I455" s="12"/>
      <c r="J455" s="12"/>
    </row>
    <row r="456" customFormat="false" ht="15" hidden="false" customHeight="false" outlineLevel="0" collapsed="false">
      <c r="A456" s="14" t="str">
        <f aca="false">IF(OR(B456="",C456="",D456="",E456=""),"",UPPER(B456)&amp;TEXT(C456,"00")&amp;"-"&amp;D456&amp;"-"&amp;TEXT(E456,"00"))</f>
        <v/>
      </c>
      <c r="B456" s="12"/>
      <c r="C456" s="12"/>
      <c r="D456" s="12"/>
      <c r="E456" s="12"/>
      <c r="F456" s="16" t="str">
        <f aca="false">IF(B456="","",IFERROR(INDEX(Zones!$B$2:$B$15,MATCH(B456,Zones!$A$2:$A$15,0)),"⚠ zone inconnue"))</f>
        <v/>
      </c>
      <c r="G456" s="12"/>
      <c r="H456" s="12"/>
      <c r="I456" s="12"/>
      <c r="J456" s="12"/>
    </row>
    <row r="457" customFormat="false" ht="15" hidden="false" customHeight="false" outlineLevel="0" collapsed="false">
      <c r="A457" s="14" t="str">
        <f aca="false">IF(OR(B457="",C457="",D457="",E457=""),"",UPPER(B457)&amp;TEXT(C457,"00")&amp;"-"&amp;D457&amp;"-"&amp;TEXT(E457,"00"))</f>
        <v/>
      </c>
      <c r="B457" s="12"/>
      <c r="C457" s="12"/>
      <c r="D457" s="12"/>
      <c r="E457" s="12"/>
      <c r="F457" s="16" t="str">
        <f aca="false">IF(B457="","",IFERROR(INDEX(Zones!$B$2:$B$15,MATCH(B457,Zones!$A$2:$A$15,0)),"⚠ zone inconnue"))</f>
        <v/>
      </c>
      <c r="G457" s="12"/>
      <c r="H457" s="12"/>
      <c r="I457" s="12"/>
      <c r="J457" s="12"/>
    </row>
    <row r="458" customFormat="false" ht="15" hidden="false" customHeight="false" outlineLevel="0" collapsed="false">
      <c r="A458" s="14" t="str">
        <f aca="false">IF(OR(B458="",C458="",D458="",E458=""),"",UPPER(B458)&amp;TEXT(C458,"00")&amp;"-"&amp;D458&amp;"-"&amp;TEXT(E458,"00"))</f>
        <v/>
      </c>
      <c r="B458" s="12"/>
      <c r="C458" s="12"/>
      <c r="D458" s="12"/>
      <c r="E458" s="12"/>
      <c r="F458" s="16" t="str">
        <f aca="false">IF(B458="","",IFERROR(INDEX(Zones!$B$2:$B$15,MATCH(B458,Zones!$A$2:$A$15,0)),"⚠ zone inconnue"))</f>
        <v/>
      </c>
      <c r="G458" s="12"/>
      <c r="H458" s="12"/>
      <c r="I458" s="12"/>
      <c r="J458" s="12"/>
    </row>
    <row r="459" customFormat="false" ht="15" hidden="false" customHeight="false" outlineLevel="0" collapsed="false">
      <c r="A459" s="14" t="str">
        <f aca="false">IF(OR(B459="",C459="",D459="",E459=""),"",UPPER(B459)&amp;TEXT(C459,"00")&amp;"-"&amp;D459&amp;"-"&amp;TEXT(E459,"00"))</f>
        <v/>
      </c>
      <c r="B459" s="12"/>
      <c r="C459" s="12"/>
      <c r="D459" s="12"/>
      <c r="E459" s="12"/>
      <c r="F459" s="16" t="str">
        <f aca="false">IF(B459="","",IFERROR(INDEX(Zones!$B$2:$B$15,MATCH(B459,Zones!$A$2:$A$15,0)),"⚠ zone inconnue"))</f>
        <v/>
      </c>
      <c r="G459" s="12"/>
      <c r="H459" s="12"/>
      <c r="I459" s="12"/>
      <c r="J459" s="12"/>
    </row>
    <row r="460" customFormat="false" ht="15" hidden="false" customHeight="false" outlineLevel="0" collapsed="false">
      <c r="A460" s="14" t="str">
        <f aca="false">IF(OR(B460="",C460="",D460="",E460=""),"",UPPER(B460)&amp;TEXT(C460,"00")&amp;"-"&amp;D460&amp;"-"&amp;TEXT(E460,"00"))</f>
        <v/>
      </c>
      <c r="B460" s="12"/>
      <c r="C460" s="12"/>
      <c r="D460" s="12"/>
      <c r="E460" s="12"/>
      <c r="F460" s="16" t="str">
        <f aca="false">IF(B460="","",IFERROR(INDEX(Zones!$B$2:$B$15,MATCH(B460,Zones!$A$2:$A$15,0)),"⚠ zone inconnue"))</f>
        <v/>
      </c>
      <c r="G460" s="12"/>
      <c r="H460" s="12"/>
      <c r="I460" s="12"/>
      <c r="J460" s="12"/>
    </row>
    <row r="461" customFormat="false" ht="15" hidden="false" customHeight="false" outlineLevel="0" collapsed="false">
      <c r="A461" s="14" t="str">
        <f aca="false">IF(OR(B461="",C461="",D461="",E461=""),"",UPPER(B461)&amp;TEXT(C461,"00")&amp;"-"&amp;D461&amp;"-"&amp;TEXT(E461,"00"))</f>
        <v/>
      </c>
      <c r="B461" s="12"/>
      <c r="C461" s="12"/>
      <c r="D461" s="12"/>
      <c r="E461" s="12"/>
      <c r="F461" s="16" t="str">
        <f aca="false">IF(B461="","",IFERROR(INDEX(Zones!$B$2:$B$15,MATCH(B461,Zones!$A$2:$A$15,0)),"⚠ zone inconnue"))</f>
        <v/>
      </c>
      <c r="G461" s="12"/>
      <c r="H461" s="12"/>
      <c r="I461" s="12"/>
      <c r="J461" s="12"/>
    </row>
    <row r="462" customFormat="false" ht="15" hidden="false" customHeight="false" outlineLevel="0" collapsed="false">
      <c r="A462" s="14" t="str">
        <f aca="false">IF(OR(B462="",C462="",D462="",E462=""),"",UPPER(B462)&amp;TEXT(C462,"00")&amp;"-"&amp;D462&amp;"-"&amp;TEXT(E462,"00"))</f>
        <v/>
      </c>
      <c r="B462" s="12"/>
      <c r="C462" s="12"/>
      <c r="D462" s="12"/>
      <c r="E462" s="12"/>
      <c r="F462" s="16" t="str">
        <f aca="false">IF(B462="","",IFERROR(INDEX(Zones!$B$2:$B$15,MATCH(B462,Zones!$A$2:$A$15,0)),"⚠ zone inconnue"))</f>
        <v/>
      </c>
      <c r="G462" s="12"/>
      <c r="H462" s="12"/>
      <c r="I462" s="12"/>
      <c r="J462" s="12"/>
    </row>
    <row r="463" customFormat="false" ht="15" hidden="false" customHeight="false" outlineLevel="0" collapsed="false">
      <c r="A463" s="14" t="str">
        <f aca="false">IF(OR(B463="",C463="",D463="",E463=""),"",UPPER(B463)&amp;TEXT(C463,"00")&amp;"-"&amp;D463&amp;"-"&amp;TEXT(E463,"00"))</f>
        <v/>
      </c>
      <c r="B463" s="12"/>
      <c r="C463" s="12"/>
      <c r="D463" s="12"/>
      <c r="E463" s="12"/>
      <c r="F463" s="16" t="str">
        <f aca="false">IF(B463="","",IFERROR(INDEX(Zones!$B$2:$B$15,MATCH(B463,Zones!$A$2:$A$15,0)),"⚠ zone inconnue"))</f>
        <v/>
      </c>
      <c r="G463" s="12"/>
      <c r="H463" s="12"/>
      <c r="I463" s="12"/>
      <c r="J463" s="12"/>
    </row>
    <row r="464" customFormat="false" ht="15" hidden="false" customHeight="false" outlineLevel="0" collapsed="false">
      <c r="A464" s="14" t="str">
        <f aca="false">IF(OR(B464="",C464="",D464="",E464=""),"",UPPER(B464)&amp;TEXT(C464,"00")&amp;"-"&amp;D464&amp;"-"&amp;TEXT(E464,"00"))</f>
        <v/>
      </c>
      <c r="B464" s="12"/>
      <c r="C464" s="12"/>
      <c r="D464" s="12"/>
      <c r="E464" s="12"/>
      <c r="F464" s="16" t="str">
        <f aca="false">IF(B464="","",IFERROR(INDEX(Zones!$B$2:$B$15,MATCH(B464,Zones!$A$2:$A$15,0)),"⚠ zone inconnue"))</f>
        <v/>
      </c>
      <c r="G464" s="12"/>
      <c r="H464" s="12"/>
      <c r="I464" s="12"/>
      <c r="J464" s="12"/>
    </row>
    <row r="465" customFormat="false" ht="15" hidden="false" customHeight="false" outlineLevel="0" collapsed="false">
      <c r="A465" s="14" t="str">
        <f aca="false">IF(OR(B465="",C465="",D465="",E465=""),"",UPPER(B465)&amp;TEXT(C465,"00")&amp;"-"&amp;D465&amp;"-"&amp;TEXT(E465,"00"))</f>
        <v/>
      </c>
      <c r="B465" s="12"/>
      <c r="C465" s="12"/>
      <c r="D465" s="12"/>
      <c r="E465" s="12"/>
      <c r="F465" s="16" t="str">
        <f aca="false">IF(B465="","",IFERROR(INDEX(Zones!$B$2:$B$15,MATCH(B465,Zones!$A$2:$A$15,0)),"⚠ zone inconnue"))</f>
        <v/>
      </c>
      <c r="G465" s="12"/>
      <c r="H465" s="12"/>
      <c r="I465" s="12"/>
      <c r="J465" s="12"/>
    </row>
    <row r="466" customFormat="false" ht="15" hidden="false" customHeight="false" outlineLevel="0" collapsed="false">
      <c r="A466" s="14" t="str">
        <f aca="false">IF(OR(B466="",C466="",D466="",E466=""),"",UPPER(B466)&amp;TEXT(C466,"00")&amp;"-"&amp;D466&amp;"-"&amp;TEXT(E466,"00"))</f>
        <v/>
      </c>
      <c r="B466" s="12"/>
      <c r="C466" s="12"/>
      <c r="D466" s="12"/>
      <c r="E466" s="12"/>
      <c r="F466" s="16" t="str">
        <f aca="false">IF(B466="","",IFERROR(INDEX(Zones!$B$2:$B$15,MATCH(B466,Zones!$A$2:$A$15,0)),"⚠ zone inconnue"))</f>
        <v/>
      </c>
      <c r="G466" s="12"/>
      <c r="H466" s="12"/>
      <c r="I466" s="12"/>
      <c r="J466" s="12"/>
    </row>
    <row r="467" customFormat="false" ht="15" hidden="false" customHeight="false" outlineLevel="0" collapsed="false">
      <c r="A467" s="14" t="str">
        <f aca="false">IF(OR(B467="",C467="",D467="",E467=""),"",UPPER(B467)&amp;TEXT(C467,"00")&amp;"-"&amp;D467&amp;"-"&amp;TEXT(E467,"00"))</f>
        <v/>
      </c>
      <c r="B467" s="12"/>
      <c r="C467" s="12"/>
      <c r="D467" s="12"/>
      <c r="E467" s="12"/>
      <c r="F467" s="16" t="str">
        <f aca="false">IF(B467="","",IFERROR(INDEX(Zones!$B$2:$B$15,MATCH(B467,Zones!$A$2:$A$15,0)),"⚠ zone inconnue"))</f>
        <v/>
      </c>
      <c r="G467" s="12"/>
      <c r="H467" s="12"/>
      <c r="I467" s="12"/>
      <c r="J467" s="12"/>
    </row>
    <row r="468" customFormat="false" ht="15" hidden="false" customHeight="false" outlineLevel="0" collapsed="false">
      <c r="A468" s="14" t="str">
        <f aca="false">IF(OR(B468="",C468="",D468="",E468=""),"",UPPER(B468)&amp;TEXT(C468,"00")&amp;"-"&amp;D468&amp;"-"&amp;TEXT(E468,"00"))</f>
        <v/>
      </c>
      <c r="B468" s="12"/>
      <c r="C468" s="12"/>
      <c r="D468" s="12"/>
      <c r="E468" s="12"/>
      <c r="F468" s="16" t="str">
        <f aca="false">IF(B468="","",IFERROR(INDEX(Zones!$B$2:$B$15,MATCH(B468,Zones!$A$2:$A$15,0)),"⚠ zone inconnue"))</f>
        <v/>
      </c>
      <c r="G468" s="12"/>
      <c r="H468" s="12"/>
      <c r="I468" s="12"/>
      <c r="J468" s="12"/>
    </row>
    <row r="469" customFormat="false" ht="15" hidden="false" customHeight="false" outlineLevel="0" collapsed="false">
      <c r="A469" s="14" t="str">
        <f aca="false">IF(OR(B469="",C469="",D469="",E469=""),"",UPPER(B469)&amp;TEXT(C469,"00")&amp;"-"&amp;D469&amp;"-"&amp;TEXT(E469,"00"))</f>
        <v/>
      </c>
      <c r="B469" s="12"/>
      <c r="C469" s="12"/>
      <c r="D469" s="12"/>
      <c r="E469" s="12"/>
      <c r="F469" s="16" t="str">
        <f aca="false">IF(B469="","",IFERROR(INDEX(Zones!$B$2:$B$15,MATCH(B469,Zones!$A$2:$A$15,0)),"⚠ zone inconnue"))</f>
        <v/>
      </c>
      <c r="G469" s="12"/>
      <c r="H469" s="12"/>
      <c r="I469" s="12"/>
      <c r="J469" s="12"/>
    </row>
    <row r="470" customFormat="false" ht="15" hidden="false" customHeight="false" outlineLevel="0" collapsed="false">
      <c r="A470" s="14" t="str">
        <f aca="false">IF(OR(B470="",C470="",D470="",E470=""),"",UPPER(B470)&amp;TEXT(C470,"00")&amp;"-"&amp;D470&amp;"-"&amp;TEXT(E470,"00"))</f>
        <v/>
      </c>
      <c r="B470" s="12"/>
      <c r="C470" s="12"/>
      <c r="D470" s="12"/>
      <c r="E470" s="12"/>
      <c r="F470" s="16" t="str">
        <f aca="false">IF(B470="","",IFERROR(INDEX(Zones!$B$2:$B$15,MATCH(B470,Zones!$A$2:$A$15,0)),"⚠ zone inconnue"))</f>
        <v/>
      </c>
      <c r="G470" s="12"/>
      <c r="H470" s="12"/>
      <c r="I470" s="12"/>
      <c r="J470" s="12"/>
    </row>
    <row r="471" customFormat="false" ht="15" hidden="false" customHeight="false" outlineLevel="0" collapsed="false">
      <c r="A471" s="14" t="str">
        <f aca="false">IF(OR(B471="",C471="",D471="",E471=""),"",UPPER(B471)&amp;TEXT(C471,"00")&amp;"-"&amp;D471&amp;"-"&amp;TEXT(E471,"00"))</f>
        <v/>
      </c>
      <c r="B471" s="12"/>
      <c r="C471" s="12"/>
      <c r="D471" s="12"/>
      <c r="E471" s="12"/>
      <c r="F471" s="16" t="str">
        <f aca="false">IF(B471="","",IFERROR(INDEX(Zones!$B$2:$B$15,MATCH(B471,Zones!$A$2:$A$15,0)),"⚠ zone inconnue"))</f>
        <v/>
      </c>
      <c r="G471" s="12"/>
      <c r="H471" s="12"/>
      <c r="I471" s="12"/>
      <c r="J471" s="12"/>
    </row>
    <row r="472" customFormat="false" ht="15" hidden="false" customHeight="false" outlineLevel="0" collapsed="false">
      <c r="A472" s="14" t="str">
        <f aca="false">IF(OR(B472="",C472="",D472="",E472=""),"",UPPER(B472)&amp;TEXT(C472,"00")&amp;"-"&amp;D472&amp;"-"&amp;TEXT(E472,"00"))</f>
        <v/>
      </c>
      <c r="B472" s="12"/>
      <c r="C472" s="12"/>
      <c r="D472" s="12"/>
      <c r="E472" s="12"/>
      <c r="F472" s="16" t="str">
        <f aca="false">IF(B472="","",IFERROR(INDEX(Zones!$B$2:$B$15,MATCH(B472,Zones!$A$2:$A$15,0)),"⚠ zone inconnue"))</f>
        <v/>
      </c>
      <c r="G472" s="12"/>
      <c r="H472" s="12"/>
      <c r="I472" s="12"/>
      <c r="J472" s="12"/>
    </row>
    <row r="473" customFormat="false" ht="15" hidden="false" customHeight="false" outlineLevel="0" collapsed="false">
      <c r="A473" s="14" t="str">
        <f aca="false">IF(OR(B473="",C473="",D473="",E473=""),"",UPPER(B473)&amp;TEXT(C473,"00")&amp;"-"&amp;D473&amp;"-"&amp;TEXT(E473,"00"))</f>
        <v/>
      </c>
      <c r="B473" s="12"/>
      <c r="C473" s="12"/>
      <c r="D473" s="12"/>
      <c r="E473" s="12"/>
      <c r="F473" s="16" t="str">
        <f aca="false">IF(B473="","",IFERROR(INDEX(Zones!$B$2:$B$15,MATCH(B473,Zones!$A$2:$A$15,0)),"⚠ zone inconnue"))</f>
        <v/>
      </c>
      <c r="G473" s="12"/>
      <c r="H473" s="12"/>
      <c r="I473" s="12"/>
      <c r="J473" s="12"/>
    </row>
    <row r="474" customFormat="false" ht="15" hidden="false" customHeight="false" outlineLevel="0" collapsed="false">
      <c r="A474" s="14" t="str">
        <f aca="false">IF(OR(B474="",C474="",D474="",E474=""),"",UPPER(B474)&amp;TEXT(C474,"00")&amp;"-"&amp;D474&amp;"-"&amp;TEXT(E474,"00"))</f>
        <v/>
      </c>
      <c r="B474" s="12"/>
      <c r="C474" s="12"/>
      <c r="D474" s="12"/>
      <c r="E474" s="12"/>
      <c r="F474" s="16" t="str">
        <f aca="false">IF(B474="","",IFERROR(INDEX(Zones!$B$2:$B$15,MATCH(B474,Zones!$A$2:$A$15,0)),"⚠ zone inconnue"))</f>
        <v/>
      </c>
      <c r="G474" s="12"/>
      <c r="H474" s="12"/>
      <c r="I474" s="12"/>
      <c r="J474" s="12"/>
    </row>
    <row r="475" customFormat="false" ht="15" hidden="false" customHeight="false" outlineLevel="0" collapsed="false">
      <c r="A475" s="14" t="str">
        <f aca="false">IF(OR(B475="",C475="",D475="",E475=""),"",UPPER(B475)&amp;TEXT(C475,"00")&amp;"-"&amp;D475&amp;"-"&amp;TEXT(E475,"00"))</f>
        <v/>
      </c>
      <c r="B475" s="12"/>
      <c r="C475" s="12"/>
      <c r="D475" s="12"/>
      <c r="E475" s="12"/>
      <c r="F475" s="16" t="str">
        <f aca="false">IF(B475="","",IFERROR(INDEX(Zones!$B$2:$B$15,MATCH(B475,Zones!$A$2:$A$15,0)),"⚠ zone inconnue"))</f>
        <v/>
      </c>
      <c r="G475" s="12"/>
      <c r="H475" s="12"/>
      <c r="I475" s="12"/>
      <c r="J475" s="12"/>
    </row>
    <row r="476" customFormat="false" ht="15" hidden="false" customHeight="false" outlineLevel="0" collapsed="false">
      <c r="A476" s="14" t="str">
        <f aca="false">IF(OR(B476="",C476="",D476="",E476=""),"",UPPER(B476)&amp;TEXT(C476,"00")&amp;"-"&amp;D476&amp;"-"&amp;TEXT(E476,"00"))</f>
        <v/>
      </c>
      <c r="B476" s="12"/>
      <c r="C476" s="12"/>
      <c r="D476" s="12"/>
      <c r="E476" s="12"/>
      <c r="F476" s="16" t="str">
        <f aca="false">IF(B476="","",IFERROR(INDEX(Zones!$B$2:$B$15,MATCH(B476,Zones!$A$2:$A$15,0)),"⚠ zone inconnue"))</f>
        <v/>
      </c>
      <c r="G476" s="12"/>
      <c r="H476" s="12"/>
      <c r="I476" s="12"/>
      <c r="J476" s="12"/>
    </row>
    <row r="477" customFormat="false" ht="15" hidden="false" customHeight="false" outlineLevel="0" collapsed="false">
      <c r="A477" s="14" t="str">
        <f aca="false">IF(OR(B477="",C477="",D477="",E477=""),"",UPPER(B477)&amp;TEXT(C477,"00")&amp;"-"&amp;D477&amp;"-"&amp;TEXT(E477,"00"))</f>
        <v/>
      </c>
      <c r="B477" s="12"/>
      <c r="C477" s="12"/>
      <c r="D477" s="12"/>
      <c r="E477" s="12"/>
      <c r="F477" s="16" t="str">
        <f aca="false">IF(B477="","",IFERROR(INDEX(Zones!$B$2:$B$15,MATCH(B477,Zones!$A$2:$A$15,0)),"⚠ zone inconnue"))</f>
        <v/>
      </c>
      <c r="G477" s="12"/>
      <c r="H477" s="12"/>
      <c r="I477" s="12"/>
      <c r="J477" s="12"/>
    </row>
    <row r="478" customFormat="false" ht="15" hidden="false" customHeight="false" outlineLevel="0" collapsed="false">
      <c r="A478" s="14" t="str">
        <f aca="false">IF(OR(B478="",C478="",D478="",E478=""),"",UPPER(B478)&amp;TEXT(C478,"00")&amp;"-"&amp;D478&amp;"-"&amp;TEXT(E478,"00"))</f>
        <v/>
      </c>
      <c r="B478" s="12"/>
      <c r="C478" s="12"/>
      <c r="D478" s="12"/>
      <c r="E478" s="12"/>
      <c r="F478" s="16" t="str">
        <f aca="false">IF(B478="","",IFERROR(INDEX(Zones!$B$2:$B$15,MATCH(B478,Zones!$A$2:$A$15,0)),"⚠ zone inconnue"))</f>
        <v/>
      </c>
      <c r="G478" s="12"/>
      <c r="H478" s="12"/>
      <c r="I478" s="12"/>
      <c r="J478" s="12"/>
    </row>
    <row r="479" customFormat="false" ht="15" hidden="false" customHeight="false" outlineLevel="0" collapsed="false">
      <c r="A479" s="14" t="str">
        <f aca="false">IF(OR(B479="",C479="",D479="",E479=""),"",UPPER(B479)&amp;TEXT(C479,"00")&amp;"-"&amp;D479&amp;"-"&amp;TEXT(E479,"00"))</f>
        <v/>
      </c>
      <c r="B479" s="12"/>
      <c r="C479" s="12"/>
      <c r="D479" s="12"/>
      <c r="E479" s="12"/>
      <c r="F479" s="16" t="str">
        <f aca="false">IF(B479="","",IFERROR(INDEX(Zones!$B$2:$B$15,MATCH(B479,Zones!$A$2:$A$15,0)),"⚠ zone inconnue"))</f>
        <v/>
      </c>
      <c r="G479" s="12"/>
      <c r="H479" s="12"/>
      <c r="I479" s="12"/>
      <c r="J479" s="12"/>
    </row>
    <row r="480" customFormat="false" ht="15" hidden="false" customHeight="false" outlineLevel="0" collapsed="false">
      <c r="A480" s="14" t="str">
        <f aca="false">IF(OR(B480="",C480="",D480="",E480=""),"",UPPER(B480)&amp;TEXT(C480,"00")&amp;"-"&amp;D480&amp;"-"&amp;TEXT(E480,"00"))</f>
        <v/>
      </c>
      <c r="B480" s="12"/>
      <c r="C480" s="12"/>
      <c r="D480" s="12"/>
      <c r="E480" s="12"/>
      <c r="F480" s="16" t="str">
        <f aca="false">IF(B480="","",IFERROR(INDEX(Zones!$B$2:$B$15,MATCH(B480,Zones!$A$2:$A$15,0)),"⚠ zone inconnue"))</f>
        <v/>
      </c>
      <c r="G480" s="12"/>
      <c r="H480" s="12"/>
      <c r="I480" s="12"/>
      <c r="J480" s="12"/>
    </row>
    <row r="481" customFormat="false" ht="15" hidden="false" customHeight="false" outlineLevel="0" collapsed="false">
      <c r="A481" s="14" t="str">
        <f aca="false">IF(OR(B481="",C481="",D481="",E481=""),"",UPPER(B481)&amp;TEXT(C481,"00")&amp;"-"&amp;D481&amp;"-"&amp;TEXT(E481,"00"))</f>
        <v/>
      </c>
      <c r="B481" s="12"/>
      <c r="C481" s="12"/>
      <c r="D481" s="12"/>
      <c r="E481" s="12"/>
      <c r="F481" s="16" t="str">
        <f aca="false">IF(B481="","",IFERROR(INDEX(Zones!$B$2:$B$15,MATCH(B481,Zones!$A$2:$A$15,0)),"⚠ zone inconnue"))</f>
        <v/>
      </c>
      <c r="G481" s="12"/>
      <c r="H481" s="12"/>
      <c r="I481" s="12"/>
      <c r="J481" s="12"/>
    </row>
    <row r="482" customFormat="false" ht="15" hidden="false" customHeight="false" outlineLevel="0" collapsed="false">
      <c r="A482" s="14" t="str">
        <f aca="false">IF(OR(B482="",C482="",D482="",E482=""),"",UPPER(B482)&amp;TEXT(C482,"00")&amp;"-"&amp;D482&amp;"-"&amp;TEXT(E482,"00"))</f>
        <v/>
      </c>
      <c r="B482" s="12"/>
      <c r="C482" s="12"/>
      <c r="D482" s="12"/>
      <c r="E482" s="12"/>
      <c r="F482" s="16" t="str">
        <f aca="false">IF(B482="","",IFERROR(INDEX(Zones!$B$2:$B$15,MATCH(B482,Zones!$A$2:$A$15,0)),"⚠ zone inconnue"))</f>
        <v/>
      </c>
      <c r="G482" s="12"/>
      <c r="H482" s="12"/>
      <c r="I482" s="12"/>
      <c r="J482" s="12"/>
    </row>
    <row r="483" customFormat="false" ht="15" hidden="false" customHeight="false" outlineLevel="0" collapsed="false">
      <c r="A483" s="14" t="str">
        <f aca="false">IF(OR(B483="",C483="",D483="",E483=""),"",UPPER(B483)&amp;TEXT(C483,"00")&amp;"-"&amp;D483&amp;"-"&amp;TEXT(E483,"00"))</f>
        <v/>
      </c>
      <c r="B483" s="12"/>
      <c r="C483" s="12"/>
      <c r="D483" s="12"/>
      <c r="E483" s="12"/>
      <c r="F483" s="16" t="str">
        <f aca="false">IF(B483="","",IFERROR(INDEX(Zones!$B$2:$B$15,MATCH(B483,Zones!$A$2:$A$15,0)),"⚠ zone inconnue"))</f>
        <v/>
      </c>
      <c r="G483" s="12"/>
      <c r="H483" s="12"/>
      <c r="I483" s="12"/>
      <c r="J483" s="12"/>
    </row>
    <row r="484" customFormat="false" ht="15" hidden="false" customHeight="false" outlineLevel="0" collapsed="false">
      <c r="A484" s="14" t="str">
        <f aca="false">IF(OR(B484="",C484="",D484="",E484=""),"",UPPER(B484)&amp;TEXT(C484,"00")&amp;"-"&amp;D484&amp;"-"&amp;TEXT(E484,"00"))</f>
        <v/>
      </c>
      <c r="B484" s="12"/>
      <c r="C484" s="12"/>
      <c r="D484" s="12"/>
      <c r="E484" s="12"/>
      <c r="F484" s="16" t="str">
        <f aca="false">IF(B484="","",IFERROR(INDEX(Zones!$B$2:$B$15,MATCH(B484,Zones!$A$2:$A$15,0)),"⚠ zone inconnue"))</f>
        <v/>
      </c>
      <c r="G484" s="12"/>
      <c r="H484" s="12"/>
      <c r="I484" s="12"/>
      <c r="J484" s="12"/>
    </row>
    <row r="485" customFormat="false" ht="15" hidden="false" customHeight="false" outlineLevel="0" collapsed="false">
      <c r="A485" s="14" t="str">
        <f aca="false">IF(OR(B485="",C485="",D485="",E485=""),"",UPPER(B485)&amp;TEXT(C485,"00")&amp;"-"&amp;D485&amp;"-"&amp;TEXT(E485,"00"))</f>
        <v/>
      </c>
      <c r="B485" s="12"/>
      <c r="C485" s="12"/>
      <c r="D485" s="12"/>
      <c r="E485" s="12"/>
      <c r="F485" s="16" t="str">
        <f aca="false">IF(B485="","",IFERROR(INDEX(Zones!$B$2:$B$15,MATCH(B485,Zones!$A$2:$A$15,0)),"⚠ zone inconnue"))</f>
        <v/>
      </c>
      <c r="G485" s="12"/>
      <c r="H485" s="12"/>
      <c r="I485" s="12"/>
      <c r="J485" s="12"/>
    </row>
    <row r="486" customFormat="false" ht="15" hidden="false" customHeight="false" outlineLevel="0" collapsed="false">
      <c r="A486" s="14" t="str">
        <f aca="false">IF(OR(B486="",C486="",D486="",E486=""),"",UPPER(B486)&amp;TEXT(C486,"00")&amp;"-"&amp;D486&amp;"-"&amp;TEXT(E486,"00"))</f>
        <v/>
      </c>
      <c r="B486" s="12"/>
      <c r="C486" s="12"/>
      <c r="D486" s="12"/>
      <c r="E486" s="12"/>
      <c r="F486" s="16" t="str">
        <f aca="false">IF(B486="","",IFERROR(INDEX(Zones!$B$2:$B$15,MATCH(B486,Zones!$A$2:$A$15,0)),"⚠ zone inconnue"))</f>
        <v/>
      </c>
      <c r="G486" s="12"/>
      <c r="H486" s="12"/>
      <c r="I486" s="12"/>
      <c r="J486" s="12"/>
    </row>
    <row r="487" customFormat="false" ht="15" hidden="false" customHeight="false" outlineLevel="0" collapsed="false">
      <c r="A487" s="14" t="str">
        <f aca="false">IF(OR(B487="",C487="",D487="",E487=""),"",UPPER(B487)&amp;TEXT(C487,"00")&amp;"-"&amp;D487&amp;"-"&amp;TEXT(E487,"00"))</f>
        <v/>
      </c>
      <c r="B487" s="12"/>
      <c r="C487" s="12"/>
      <c r="D487" s="12"/>
      <c r="E487" s="12"/>
      <c r="F487" s="16" t="str">
        <f aca="false">IF(B487="","",IFERROR(INDEX(Zones!$B$2:$B$15,MATCH(B487,Zones!$A$2:$A$15,0)),"⚠ zone inconnue"))</f>
        <v/>
      </c>
      <c r="G487" s="12"/>
      <c r="H487" s="12"/>
      <c r="I487" s="12"/>
      <c r="J487" s="12"/>
    </row>
    <row r="488" customFormat="false" ht="15" hidden="false" customHeight="false" outlineLevel="0" collapsed="false">
      <c r="A488" s="14" t="str">
        <f aca="false">IF(OR(B488="",C488="",D488="",E488=""),"",UPPER(B488)&amp;TEXT(C488,"00")&amp;"-"&amp;D488&amp;"-"&amp;TEXT(E488,"00"))</f>
        <v/>
      </c>
      <c r="B488" s="12"/>
      <c r="C488" s="12"/>
      <c r="D488" s="12"/>
      <c r="E488" s="12"/>
      <c r="F488" s="16" t="str">
        <f aca="false">IF(B488="","",IFERROR(INDEX(Zones!$B$2:$B$15,MATCH(B488,Zones!$A$2:$A$15,0)),"⚠ zone inconnue"))</f>
        <v/>
      </c>
      <c r="G488" s="12"/>
      <c r="H488" s="12"/>
      <c r="I488" s="12"/>
      <c r="J488" s="12"/>
    </row>
    <row r="489" customFormat="false" ht="15" hidden="false" customHeight="false" outlineLevel="0" collapsed="false">
      <c r="A489" s="14" t="str">
        <f aca="false">IF(OR(B489="",C489="",D489="",E489=""),"",UPPER(B489)&amp;TEXT(C489,"00")&amp;"-"&amp;D489&amp;"-"&amp;TEXT(E489,"00"))</f>
        <v/>
      </c>
      <c r="B489" s="12"/>
      <c r="C489" s="12"/>
      <c r="D489" s="12"/>
      <c r="E489" s="12"/>
      <c r="F489" s="16" t="str">
        <f aca="false">IF(B489="","",IFERROR(INDEX(Zones!$B$2:$B$15,MATCH(B489,Zones!$A$2:$A$15,0)),"⚠ zone inconnue"))</f>
        <v/>
      </c>
      <c r="G489" s="12"/>
      <c r="H489" s="12"/>
      <c r="I489" s="12"/>
      <c r="J489" s="12"/>
    </row>
    <row r="490" customFormat="false" ht="15" hidden="false" customHeight="false" outlineLevel="0" collapsed="false">
      <c r="A490" s="14" t="str">
        <f aca="false">IF(OR(B490="",C490="",D490="",E490=""),"",UPPER(B490)&amp;TEXT(C490,"00")&amp;"-"&amp;D490&amp;"-"&amp;TEXT(E490,"00"))</f>
        <v/>
      </c>
      <c r="B490" s="12"/>
      <c r="C490" s="12"/>
      <c r="D490" s="12"/>
      <c r="E490" s="12"/>
      <c r="F490" s="16" t="str">
        <f aca="false">IF(B490="","",IFERROR(INDEX(Zones!$B$2:$B$15,MATCH(B490,Zones!$A$2:$A$15,0)),"⚠ zone inconnue"))</f>
        <v/>
      </c>
      <c r="G490" s="12"/>
      <c r="H490" s="12"/>
      <c r="I490" s="12"/>
      <c r="J490" s="12"/>
    </row>
    <row r="491" customFormat="false" ht="15" hidden="false" customHeight="false" outlineLevel="0" collapsed="false">
      <c r="A491" s="14" t="str">
        <f aca="false">IF(OR(B491="",C491="",D491="",E491=""),"",UPPER(B491)&amp;TEXT(C491,"00")&amp;"-"&amp;D491&amp;"-"&amp;TEXT(E491,"00"))</f>
        <v/>
      </c>
      <c r="B491" s="12"/>
      <c r="C491" s="12"/>
      <c r="D491" s="12"/>
      <c r="E491" s="12"/>
      <c r="F491" s="16" t="str">
        <f aca="false">IF(B491="","",IFERROR(INDEX(Zones!$B$2:$B$15,MATCH(B491,Zones!$A$2:$A$15,0)),"⚠ zone inconnue"))</f>
        <v/>
      </c>
      <c r="G491" s="12"/>
      <c r="H491" s="12"/>
      <c r="I491" s="12"/>
      <c r="J491" s="12"/>
    </row>
    <row r="492" customFormat="false" ht="15" hidden="false" customHeight="false" outlineLevel="0" collapsed="false">
      <c r="A492" s="14" t="str">
        <f aca="false">IF(OR(B492="",C492="",D492="",E492=""),"",UPPER(B492)&amp;TEXT(C492,"00")&amp;"-"&amp;D492&amp;"-"&amp;TEXT(E492,"00"))</f>
        <v/>
      </c>
      <c r="B492" s="12"/>
      <c r="C492" s="12"/>
      <c r="D492" s="12"/>
      <c r="E492" s="12"/>
      <c r="F492" s="16" t="str">
        <f aca="false">IF(B492="","",IFERROR(INDEX(Zones!$B$2:$B$15,MATCH(B492,Zones!$A$2:$A$15,0)),"⚠ zone inconnue"))</f>
        <v/>
      </c>
      <c r="G492" s="12"/>
      <c r="H492" s="12"/>
      <c r="I492" s="12"/>
      <c r="J492" s="12"/>
    </row>
    <row r="493" customFormat="false" ht="15" hidden="false" customHeight="false" outlineLevel="0" collapsed="false">
      <c r="A493" s="14" t="str">
        <f aca="false">IF(OR(B493="",C493="",D493="",E493=""),"",UPPER(B493)&amp;TEXT(C493,"00")&amp;"-"&amp;D493&amp;"-"&amp;TEXT(E493,"00"))</f>
        <v/>
      </c>
      <c r="B493" s="12"/>
      <c r="C493" s="12"/>
      <c r="D493" s="12"/>
      <c r="E493" s="12"/>
      <c r="F493" s="16" t="str">
        <f aca="false">IF(B493="","",IFERROR(INDEX(Zones!$B$2:$B$15,MATCH(B493,Zones!$A$2:$A$15,0)),"⚠ zone inconnue"))</f>
        <v/>
      </c>
      <c r="G493" s="12"/>
      <c r="H493" s="12"/>
      <c r="I493" s="12"/>
      <c r="J493" s="12"/>
    </row>
    <row r="494" customFormat="false" ht="15" hidden="false" customHeight="false" outlineLevel="0" collapsed="false">
      <c r="A494" s="14" t="str">
        <f aca="false">IF(OR(B494="",C494="",D494="",E494=""),"",UPPER(B494)&amp;TEXT(C494,"00")&amp;"-"&amp;D494&amp;"-"&amp;TEXT(E494,"00"))</f>
        <v/>
      </c>
      <c r="B494" s="12"/>
      <c r="C494" s="12"/>
      <c r="D494" s="12"/>
      <c r="E494" s="12"/>
      <c r="F494" s="16" t="str">
        <f aca="false">IF(B494="","",IFERROR(INDEX(Zones!$B$2:$B$15,MATCH(B494,Zones!$A$2:$A$15,0)),"⚠ zone inconnue"))</f>
        <v/>
      </c>
      <c r="G494" s="12"/>
      <c r="H494" s="12"/>
      <c r="I494" s="12"/>
      <c r="J494" s="12"/>
    </row>
    <row r="495" customFormat="false" ht="15" hidden="false" customHeight="false" outlineLevel="0" collapsed="false">
      <c r="A495" s="14" t="str">
        <f aca="false">IF(OR(B495="",C495="",D495="",E495=""),"",UPPER(B495)&amp;TEXT(C495,"00")&amp;"-"&amp;D495&amp;"-"&amp;TEXT(E495,"00"))</f>
        <v/>
      </c>
      <c r="B495" s="12"/>
      <c r="C495" s="12"/>
      <c r="D495" s="12"/>
      <c r="E495" s="12"/>
      <c r="F495" s="16" t="str">
        <f aca="false">IF(B495="","",IFERROR(INDEX(Zones!$B$2:$B$15,MATCH(B495,Zones!$A$2:$A$15,0)),"⚠ zone inconnue"))</f>
        <v/>
      </c>
      <c r="G495" s="12"/>
      <c r="H495" s="12"/>
      <c r="I495" s="12"/>
      <c r="J495" s="12"/>
    </row>
    <row r="496" customFormat="false" ht="15" hidden="false" customHeight="false" outlineLevel="0" collapsed="false">
      <c r="A496" s="14" t="str">
        <f aca="false">IF(OR(B496="",C496="",D496="",E496=""),"",UPPER(B496)&amp;TEXT(C496,"00")&amp;"-"&amp;D496&amp;"-"&amp;TEXT(E496,"00"))</f>
        <v/>
      </c>
      <c r="B496" s="12"/>
      <c r="C496" s="12"/>
      <c r="D496" s="12"/>
      <c r="E496" s="12"/>
      <c r="F496" s="16" t="str">
        <f aca="false">IF(B496="","",IFERROR(INDEX(Zones!$B$2:$B$15,MATCH(B496,Zones!$A$2:$A$15,0)),"⚠ zone inconnue"))</f>
        <v/>
      </c>
      <c r="G496" s="12"/>
      <c r="H496" s="12"/>
      <c r="I496" s="12"/>
      <c r="J496" s="12"/>
    </row>
    <row r="497" customFormat="false" ht="15" hidden="false" customHeight="false" outlineLevel="0" collapsed="false">
      <c r="A497" s="14" t="str">
        <f aca="false">IF(OR(B497="",C497="",D497="",E497=""),"",UPPER(B497)&amp;TEXT(C497,"00")&amp;"-"&amp;D497&amp;"-"&amp;TEXT(E497,"00"))</f>
        <v/>
      </c>
      <c r="B497" s="12"/>
      <c r="C497" s="12"/>
      <c r="D497" s="12"/>
      <c r="E497" s="12"/>
      <c r="F497" s="16" t="str">
        <f aca="false">IF(B497="","",IFERROR(INDEX(Zones!$B$2:$B$15,MATCH(B497,Zones!$A$2:$A$15,0)),"⚠ zone inconnue"))</f>
        <v/>
      </c>
      <c r="G497" s="12"/>
      <c r="H497" s="12"/>
      <c r="I497" s="12"/>
      <c r="J497" s="12"/>
    </row>
    <row r="498" customFormat="false" ht="15" hidden="false" customHeight="false" outlineLevel="0" collapsed="false">
      <c r="A498" s="14" t="str">
        <f aca="false">IF(OR(B498="",C498="",D498="",E498=""),"",UPPER(B498)&amp;TEXT(C498,"00")&amp;"-"&amp;D498&amp;"-"&amp;TEXT(E498,"00"))</f>
        <v/>
      </c>
      <c r="B498" s="12"/>
      <c r="C498" s="12"/>
      <c r="D498" s="12"/>
      <c r="E498" s="12"/>
      <c r="F498" s="16" t="str">
        <f aca="false">IF(B498="","",IFERROR(INDEX(Zones!$B$2:$B$15,MATCH(B498,Zones!$A$2:$A$15,0)),"⚠ zone inconnue"))</f>
        <v/>
      </c>
      <c r="G498" s="12"/>
      <c r="H498" s="12"/>
      <c r="I498" s="12"/>
      <c r="J498" s="12"/>
    </row>
    <row r="499" customFormat="false" ht="15" hidden="false" customHeight="false" outlineLevel="0" collapsed="false">
      <c r="A499" s="14" t="str">
        <f aca="false">IF(OR(B499="",C499="",D499="",E499=""),"",UPPER(B499)&amp;TEXT(C499,"00")&amp;"-"&amp;D499&amp;"-"&amp;TEXT(E499,"00"))</f>
        <v/>
      </c>
      <c r="B499" s="12"/>
      <c r="C499" s="12"/>
      <c r="D499" s="12"/>
      <c r="E499" s="12"/>
      <c r="F499" s="16" t="str">
        <f aca="false">IF(B499="","",IFERROR(INDEX(Zones!$B$2:$B$15,MATCH(B499,Zones!$A$2:$A$15,0)),"⚠ zone inconnue"))</f>
        <v/>
      </c>
      <c r="G499" s="12"/>
      <c r="H499" s="12"/>
      <c r="I499" s="12"/>
      <c r="J499" s="12"/>
    </row>
    <row r="500" customFormat="false" ht="15" hidden="false" customHeight="false" outlineLevel="0" collapsed="false">
      <c r="A500" s="14" t="str">
        <f aca="false">IF(OR(B500="",C500="",D500="",E500=""),"",UPPER(B500)&amp;TEXT(C500,"00")&amp;"-"&amp;D500&amp;"-"&amp;TEXT(E500,"00"))</f>
        <v/>
      </c>
      <c r="B500" s="12"/>
      <c r="C500" s="12"/>
      <c r="D500" s="12"/>
      <c r="E500" s="12"/>
      <c r="F500" s="16" t="str">
        <f aca="false">IF(B500="","",IFERROR(INDEX(Zones!$B$2:$B$15,MATCH(B500,Zones!$A$2:$A$15,0)),"⚠ zone inconnue"))</f>
        <v/>
      </c>
      <c r="G500" s="12"/>
      <c r="H500" s="12"/>
      <c r="I500" s="12"/>
      <c r="J500" s="12"/>
    </row>
    <row r="501" customFormat="false" ht="15" hidden="false" customHeight="false" outlineLevel="0" collapsed="false">
      <c r="A501" s="14" t="str">
        <f aca="false">IF(OR(B501="",C501="",D501="",E501=""),"",UPPER(B501)&amp;TEXT(C501,"00")&amp;"-"&amp;D501&amp;"-"&amp;TEXT(E501,"00"))</f>
        <v/>
      </c>
      <c r="B501" s="12"/>
      <c r="C501" s="12"/>
      <c r="D501" s="12"/>
      <c r="E501" s="12"/>
      <c r="F501" s="16" t="str">
        <f aca="false">IF(B501="","",IFERROR(INDEX(Zones!$B$2:$B$15,MATCH(B501,Zones!$A$2:$A$15,0)),"⚠ zone inconnue"))</f>
        <v/>
      </c>
      <c r="G501" s="12"/>
      <c r="H501" s="12"/>
      <c r="I501" s="12"/>
      <c r="J501" s="12"/>
    </row>
    <row r="502" customFormat="false" ht="15" hidden="false" customHeight="false" outlineLevel="0" collapsed="false">
      <c r="A502" s="14" t="str">
        <f aca="false">IF(OR(B502="",C502="",D502="",E502=""),"",UPPER(B502)&amp;TEXT(C502,"00")&amp;"-"&amp;D502&amp;"-"&amp;TEXT(E502,"00"))</f>
        <v/>
      </c>
      <c r="B502" s="12"/>
      <c r="C502" s="12"/>
      <c r="D502" s="12"/>
      <c r="E502" s="12"/>
      <c r="F502" s="16" t="str">
        <f aca="false">IF(B502="","",IFERROR(INDEX(Zones!$B$2:$B$15,MATCH(B502,Zones!$A$2:$A$15,0)),"⚠ zone inconnue"))</f>
        <v/>
      </c>
      <c r="G502" s="12"/>
      <c r="H502" s="12"/>
      <c r="I502" s="12"/>
      <c r="J502" s="12"/>
    </row>
    <row r="503" customFormat="false" ht="15" hidden="false" customHeight="false" outlineLevel="0" collapsed="false">
      <c r="A503" s="14" t="str">
        <f aca="false">IF(OR(B503="",C503="",D503="",E503=""),"",UPPER(B503)&amp;TEXT(C503,"00")&amp;"-"&amp;D503&amp;"-"&amp;TEXT(E503,"00"))</f>
        <v/>
      </c>
      <c r="B503" s="12"/>
      <c r="C503" s="12"/>
      <c r="D503" s="12"/>
      <c r="E503" s="12"/>
      <c r="F503" s="16" t="str">
        <f aca="false">IF(B503="","",IFERROR(INDEX(Zones!$B$2:$B$15,MATCH(B503,Zones!$A$2:$A$15,0)),"⚠ zone inconnue"))</f>
        <v/>
      </c>
      <c r="G503" s="12"/>
      <c r="H503" s="12"/>
      <c r="I503" s="12"/>
      <c r="J503" s="12"/>
    </row>
    <row r="504" customFormat="false" ht="15" hidden="false" customHeight="false" outlineLevel="0" collapsed="false">
      <c r="A504" s="14" t="str">
        <f aca="false">IF(OR(B504="",C504="",D504="",E504=""),"",UPPER(B504)&amp;TEXT(C504,"00")&amp;"-"&amp;D504&amp;"-"&amp;TEXT(E504,"00"))</f>
        <v/>
      </c>
      <c r="B504" s="12"/>
      <c r="C504" s="12"/>
      <c r="D504" s="12"/>
      <c r="E504" s="12"/>
      <c r="F504" s="16" t="str">
        <f aca="false">IF(B504="","",IFERROR(INDEX(Zones!$B$2:$B$15,MATCH(B504,Zones!$A$2:$A$15,0)),"⚠ zone inconnue"))</f>
        <v/>
      </c>
      <c r="G504" s="12"/>
      <c r="H504" s="12"/>
      <c r="I504" s="12"/>
      <c r="J504" s="12"/>
    </row>
    <row r="505" customFormat="false" ht="15" hidden="false" customHeight="false" outlineLevel="0" collapsed="false">
      <c r="A505" s="14" t="str">
        <f aca="false">IF(OR(B505="",C505="",D505="",E505=""),"",UPPER(B505)&amp;TEXT(C505,"00")&amp;"-"&amp;D505&amp;"-"&amp;TEXT(E505,"00"))</f>
        <v/>
      </c>
      <c r="B505" s="12"/>
      <c r="C505" s="12"/>
      <c r="D505" s="12"/>
      <c r="E505" s="12"/>
      <c r="F505" s="16" t="str">
        <f aca="false">IF(B505="","",IFERROR(INDEX(Zones!$B$2:$B$15,MATCH(B505,Zones!$A$2:$A$15,0)),"⚠ zone inconnue"))</f>
        <v/>
      </c>
      <c r="G505" s="12"/>
      <c r="H505" s="12"/>
      <c r="I505" s="12"/>
      <c r="J505" s="12"/>
    </row>
    <row r="506" customFormat="false" ht="15" hidden="false" customHeight="false" outlineLevel="0" collapsed="false">
      <c r="A506" s="14" t="str">
        <f aca="false">IF(OR(B506="",C506="",D506="",E506=""),"",UPPER(B506)&amp;TEXT(C506,"00")&amp;"-"&amp;D506&amp;"-"&amp;TEXT(E506,"00"))</f>
        <v/>
      </c>
      <c r="B506" s="12"/>
      <c r="C506" s="12"/>
      <c r="D506" s="12"/>
      <c r="E506" s="12"/>
      <c r="F506" s="16" t="str">
        <f aca="false">IF(B506="","",IFERROR(INDEX(Zones!$B$2:$B$15,MATCH(B506,Zones!$A$2:$A$15,0)),"⚠ zone inconnue"))</f>
        <v/>
      </c>
      <c r="G506" s="12"/>
      <c r="H506" s="12"/>
      <c r="I506" s="12"/>
      <c r="J506" s="12"/>
    </row>
    <row r="507" customFormat="false" ht="15" hidden="false" customHeight="false" outlineLevel="0" collapsed="false">
      <c r="A507" s="14" t="str">
        <f aca="false">IF(OR(B507="",C507="",D507="",E507=""),"",UPPER(B507)&amp;TEXT(C507,"00")&amp;"-"&amp;D507&amp;"-"&amp;TEXT(E507,"00"))</f>
        <v/>
      </c>
      <c r="B507" s="12"/>
      <c r="C507" s="12"/>
      <c r="D507" s="12"/>
      <c r="E507" s="12"/>
      <c r="F507" s="16" t="str">
        <f aca="false">IF(B507="","",IFERROR(INDEX(Zones!$B$2:$B$15,MATCH(B507,Zones!$A$2:$A$15,0)),"⚠ zone inconnue"))</f>
        <v/>
      </c>
      <c r="G507" s="12"/>
      <c r="H507" s="12"/>
      <c r="I507" s="12"/>
      <c r="J507" s="12"/>
    </row>
    <row r="508" customFormat="false" ht="15" hidden="false" customHeight="false" outlineLevel="0" collapsed="false">
      <c r="A508" s="14" t="str">
        <f aca="false">IF(OR(B508="",C508="",D508="",E508=""),"",UPPER(B508)&amp;TEXT(C508,"00")&amp;"-"&amp;D508&amp;"-"&amp;TEXT(E508,"00"))</f>
        <v/>
      </c>
      <c r="B508" s="12"/>
      <c r="C508" s="12"/>
      <c r="D508" s="12"/>
      <c r="E508" s="12"/>
      <c r="F508" s="16" t="str">
        <f aca="false">IF(B508="","",IFERROR(INDEX(Zones!$B$2:$B$15,MATCH(B508,Zones!$A$2:$A$15,0)),"⚠ zone inconnue"))</f>
        <v/>
      </c>
      <c r="G508" s="12"/>
      <c r="H508" s="12"/>
      <c r="I508" s="12"/>
      <c r="J508" s="12"/>
    </row>
    <row r="509" customFormat="false" ht="15" hidden="false" customHeight="false" outlineLevel="0" collapsed="false">
      <c r="A509" s="14" t="str">
        <f aca="false">IF(OR(B509="",C509="",D509="",E509=""),"",UPPER(B509)&amp;TEXT(C509,"00")&amp;"-"&amp;D509&amp;"-"&amp;TEXT(E509,"00"))</f>
        <v/>
      </c>
      <c r="B509" s="12"/>
      <c r="C509" s="12"/>
      <c r="D509" s="12"/>
      <c r="E509" s="12"/>
      <c r="F509" s="16" t="str">
        <f aca="false">IF(B509="","",IFERROR(INDEX(Zones!$B$2:$B$15,MATCH(B509,Zones!$A$2:$A$15,0)),"⚠ zone inconnue"))</f>
        <v/>
      </c>
      <c r="G509" s="12"/>
      <c r="H509" s="12"/>
      <c r="I509" s="12"/>
      <c r="J509" s="12"/>
    </row>
    <row r="510" customFormat="false" ht="15" hidden="false" customHeight="false" outlineLevel="0" collapsed="false">
      <c r="A510" s="14" t="str">
        <f aca="false">IF(OR(B510="",C510="",D510="",E510=""),"",UPPER(B510)&amp;TEXT(C510,"00")&amp;"-"&amp;D510&amp;"-"&amp;TEXT(E510,"00"))</f>
        <v/>
      </c>
      <c r="B510" s="12"/>
      <c r="C510" s="12"/>
      <c r="D510" s="12"/>
      <c r="E510" s="12"/>
      <c r="F510" s="16" t="str">
        <f aca="false">IF(B510="","",IFERROR(INDEX(Zones!$B$2:$B$15,MATCH(B510,Zones!$A$2:$A$15,0)),"⚠ zone inconnue"))</f>
        <v/>
      </c>
      <c r="G510" s="12"/>
      <c r="H510" s="12"/>
      <c r="I510" s="12"/>
      <c r="J510" s="12"/>
    </row>
    <row r="511" customFormat="false" ht="15" hidden="false" customHeight="false" outlineLevel="0" collapsed="false">
      <c r="A511" s="14" t="str">
        <f aca="false">IF(OR(B511="",C511="",D511="",E511=""),"",UPPER(B511)&amp;TEXT(C511,"00")&amp;"-"&amp;D511&amp;"-"&amp;TEXT(E511,"00"))</f>
        <v/>
      </c>
      <c r="B511" s="12"/>
      <c r="C511" s="12"/>
      <c r="D511" s="12"/>
      <c r="E511" s="12"/>
      <c r="F511" s="16" t="str">
        <f aca="false">IF(B511="","",IFERROR(INDEX(Zones!$B$2:$B$15,MATCH(B511,Zones!$A$2:$A$15,0)),"⚠ zone inconnue"))</f>
        <v/>
      </c>
      <c r="G511" s="12"/>
      <c r="H511" s="12"/>
      <c r="I511" s="12"/>
      <c r="J511" s="12"/>
    </row>
    <row r="512" customFormat="false" ht="15" hidden="false" customHeight="false" outlineLevel="0" collapsed="false">
      <c r="A512" s="14" t="str">
        <f aca="false">IF(OR(B512="",C512="",D512="",E512=""),"",UPPER(B512)&amp;TEXT(C512,"00")&amp;"-"&amp;D512&amp;"-"&amp;TEXT(E512,"00"))</f>
        <v/>
      </c>
      <c r="B512" s="12"/>
      <c r="C512" s="12"/>
      <c r="D512" s="12"/>
      <c r="E512" s="12"/>
      <c r="F512" s="16" t="str">
        <f aca="false">IF(B512="","",IFERROR(INDEX(Zones!$B$2:$B$15,MATCH(B512,Zones!$A$2:$A$15,0)),"⚠ zone inconnue"))</f>
        <v/>
      </c>
      <c r="G512" s="12"/>
      <c r="H512" s="12"/>
      <c r="I512" s="12"/>
      <c r="J512" s="12"/>
    </row>
    <row r="513" customFormat="false" ht="15" hidden="false" customHeight="false" outlineLevel="0" collapsed="false">
      <c r="A513" s="14" t="str">
        <f aca="false">IF(OR(B513="",C513="",D513="",E513=""),"",UPPER(B513)&amp;TEXT(C513,"00")&amp;"-"&amp;D513&amp;"-"&amp;TEXT(E513,"00"))</f>
        <v/>
      </c>
      <c r="B513" s="12"/>
      <c r="C513" s="12"/>
      <c r="D513" s="12"/>
      <c r="E513" s="12"/>
      <c r="F513" s="16" t="str">
        <f aca="false">IF(B513="","",IFERROR(INDEX(Zones!$B$2:$B$15,MATCH(B513,Zones!$A$2:$A$15,0)),"⚠ zone inconnue"))</f>
        <v/>
      </c>
      <c r="G513" s="12"/>
      <c r="H513" s="12"/>
      <c r="I513" s="12"/>
      <c r="J513" s="12"/>
    </row>
    <row r="514" customFormat="false" ht="15" hidden="false" customHeight="false" outlineLevel="0" collapsed="false">
      <c r="A514" s="14" t="str">
        <f aca="false">IF(OR(B514="",C514="",D514="",E514=""),"",UPPER(B514)&amp;TEXT(C514,"00")&amp;"-"&amp;D514&amp;"-"&amp;TEXT(E514,"00"))</f>
        <v/>
      </c>
      <c r="B514" s="12"/>
      <c r="C514" s="12"/>
      <c r="D514" s="12"/>
      <c r="E514" s="12"/>
      <c r="F514" s="16" t="str">
        <f aca="false">IF(B514="","",IFERROR(INDEX(Zones!$B$2:$B$15,MATCH(B514,Zones!$A$2:$A$15,0)),"⚠ zone inconnue"))</f>
        <v/>
      </c>
      <c r="G514" s="12"/>
      <c r="H514" s="12"/>
      <c r="I514" s="12"/>
      <c r="J514" s="12"/>
    </row>
    <row r="515" customFormat="false" ht="15" hidden="false" customHeight="false" outlineLevel="0" collapsed="false">
      <c r="A515" s="14" t="str">
        <f aca="false">IF(OR(B515="",C515="",D515="",E515=""),"",UPPER(B515)&amp;TEXT(C515,"00")&amp;"-"&amp;D515&amp;"-"&amp;TEXT(E515,"00"))</f>
        <v/>
      </c>
      <c r="B515" s="12"/>
      <c r="C515" s="12"/>
      <c r="D515" s="12"/>
      <c r="E515" s="12"/>
      <c r="F515" s="16" t="str">
        <f aca="false">IF(B515="","",IFERROR(INDEX(Zones!$B$2:$B$15,MATCH(B515,Zones!$A$2:$A$15,0)),"⚠ zone inconnue"))</f>
        <v/>
      </c>
      <c r="G515" s="12"/>
      <c r="H515" s="12"/>
      <c r="I515" s="12"/>
      <c r="J515" s="12"/>
    </row>
    <row r="516" customFormat="false" ht="15" hidden="false" customHeight="false" outlineLevel="0" collapsed="false">
      <c r="A516" s="14" t="str">
        <f aca="false">IF(OR(B516="",C516="",D516="",E516=""),"",UPPER(B516)&amp;TEXT(C516,"00")&amp;"-"&amp;D516&amp;"-"&amp;TEXT(E516,"00"))</f>
        <v/>
      </c>
      <c r="B516" s="12"/>
      <c r="C516" s="12"/>
      <c r="D516" s="12"/>
      <c r="E516" s="12"/>
      <c r="F516" s="16" t="str">
        <f aca="false">IF(B516="","",IFERROR(INDEX(Zones!$B$2:$B$15,MATCH(B516,Zones!$A$2:$A$15,0)),"⚠ zone inconnue"))</f>
        <v/>
      </c>
      <c r="G516" s="12"/>
      <c r="H516" s="12"/>
      <c r="I516" s="12"/>
      <c r="J516" s="12"/>
    </row>
    <row r="517" customFormat="false" ht="15" hidden="false" customHeight="false" outlineLevel="0" collapsed="false">
      <c r="A517" s="14" t="str">
        <f aca="false">IF(OR(B517="",C517="",D517="",E517=""),"",UPPER(B517)&amp;TEXT(C517,"00")&amp;"-"&amp;D517&amp;"-"&amp;TEXT(E517,"00"))</f>
        <v/>
      </c>
      <c r="B517" s="12"/>
      <c r="C517" s="12"/>
      <c r="D517" s="12"/>
      <c r="E517" s="12"/>
      <c r="F517" s="16" t="str">
        <f aca="false">IF(B517="","",IFERROR(INDEX(Zones!$B$2:$B$15,MATCH(B517,Zones!$A$2:$A$15,0)),"⚠ zone inconnue"))</f>
        <v/>
      </c>
      <c r="G517" s="12"/>
      <c r="H517" s="12"/>
      <c r="I517" s="12"/>
      <c r="J517" s="12"/>
    </row>
    <row r="518" customFormat="false" ht="15" hidden="false" customHeight="false" outlineLevel="0" collapsed="false">
      <c r="A518" s="14" t="str">
        <f aca="false">IF(OR(B518="",C518="",D518="",E518=""),"",UPPER(B518)&amp;TEXT(C518,"00")&amp;"-"&amp;D518&amp;"-"&amp;TEXT(E518,"00"))</f>
        <v/>
      </c>
      <c r="B518" s="12"/>
      <c r="C518" s="12"/>
      <c r="D518" s="12"/>
      <c r="E518" s="12"/>
      <c r="F518" s="16" t="str">
        <f aca="false">IF(B518="","",IFERROR(INDEX(Zones!$B$2:$B$15,MATCH(B518,Zones!$A$2:$A$15,0)),"⚠ zone inconnue"))</f>
        <v/>
      </c>
      <c r="G518" s="12"/>
      <c r="H518" s="12"/>
      <c r="I518" s="12"/>
      <c r="J518" s="12"/>
    </row>
    <row r="519" customFormat="false" ht="15" hidden="false" customHeight="false" outlineLevel="0" collapsed="false">
      <c r="A519" s="14" t="str">
        <f aca="false">IF(OR(B519="",C519="",D519="",E519=""),"",UPPER(B519)&amp;TEXT(C519,"00")&amp;"-"&amp;D519&amp;"-"&amp;TEXT(E519,"00"))</f>
        <v/>
      </c>
      <c r="B519" s="12"/>
      <c r="C519" s="12"/>
      <c r="D519" s="12"/>
      <c r="E519" s="12"/>
      <c r="F519" s="16" t="str">
        <f aca="false">IF(B519="","",IFERROR(INDEX(Zones!$B$2:$B$15,MATCH(B519,Zones!$A$2:$A$15,0)),"⚠ zone inconnue"))</f>
        <v/>
      </c>
      <c r="G519" s="12"/>
      <c r="H519" s="12"/>
      <c r="I519" s="12"/>
      <c r="J519" s="12"/>
    </row>
    <row r="520" customFormat="false" ht="15" hidden="false" customHeight="false" outlineLevel="0" collapsed="false">
      <c r="A520" s="14" t="str">
        <f aca="false">IF(OR(B520="",C520="",D520="",E520=""),"",UPPER(B520)&amp;TEXT(C520,"00")&amp;"-"&amp;D520&amp;"-"&amp;TEXT(E520,"00"))</f>
        <v/>
      </c>
      <c r="B520" s="12"/>
      <c r="C520" s="12"/>
      <c r="D520" s="12"/>
      <c r="E520" s="12"/>
      <c r="F520" s="16" t="str">
        <f aca="false">IF(B520="","",IFERROR(INDEX(Zones!$B$2:$B$15,MATCH(B520,Zones!$A$2:$A$15,0)),"⚠ zone inconnue"))</f>
        <v/>
      </c>
      <c r="G520" s="12"/>
      <c r="H520" s="12"/>
      <c r="I520" s="12"/>
      <c r="J520" s="12"/>
    </row>
    <row r="521" customFormat="false" ht="15" hidden="false" customHeight="false" outlineLevel="0" collapsed="false">
      <c r="A521" s="14" t="str">
        <f aca="false">IF(OR(B521="",C521="",D521="",E521=""),"",UPPER(B521)&amp;TEXT(C521,"00")&amp;"-"&amp;D521&amp;"-"&amp;TEXT(E521,"00"))</f>
        <v/>
      </c>
      <c r="B521" s="12"/>
      <c r="C521" s="12"/>
      <c r="D521" s="12"/>
      <c r="E521" s="12"/>
      <c r="F521" s="16" t="str">
        <f aca="false">IF(B521="","",IFERROR(INDEX(Zones!$B$2:$B$15,MATCH(B521,Zones!$A$2:$A$15,0)),"⚠ zone inconnue"))</f>
        <v/>
      </c>
      <c r="G521" s="12"/>
      <c r="H521" s="12"/>
      <c r="I521" s="12"/>
      <c r="J521" s="12"/>
    </row>
    <row r="522" customFormat="false" ht="15" hidden="false" customHeight="false" outlineLevel="0" collapsed="false">
      <c r="A522" s="14" t="str">
        <f aca="false">IF(OR(B522="",C522="",D522="",E522=""),"",UPPER(B522)&amp;TEXT(C522,"00")&amp;"-"&amp;D522&amp;"-"&amp;TEXT(E522,"00"))</f>
        <v/>
      </c>
      <c r="B522" s="12"/>
      <c r="C522" s="12"/>
      <c r="D522" s="12"/>
      <c r="E522" s="12"/>
      <c r="F522" s="16" t="str">
        <f aca="false">IF(B522="","",IFERROR(INDEX(Zones!$B$2:$B$15,MATCH(B522,Zones!$A$2:$A$15,0)),"⚠ zone inconnue"))</f>
        <v/>
      </c>
      <c r="G522" s="12"/>
      <c r="H522" s="12"/>
      <c r="I522" s="12"/>
      <c r="J522" s="12"/>
    </row>
    <row r="523" customFormat="false" ht="15" hidden="false" customHeight="false" outlineLevel="0" collapsed="false">
      <c r="A523" s="14" t="str">
        <f aca="false">IF(OR(B523="",C523="",D523="",E523=""),"",UPPER(B523)&amp;TEXT(C523,"00")&amp;"-"&amp;D523&amp;"-"&amp;TEXT(E523,"00"))</f>
        <v/>
      </c>
      <c r="B523" s="12"/>
      <c r="C523" s="12"/>
      <c r="D523" s="12"/>
      <c r="E523" s="12"/>
      <c r="F523" s="16" t="str">
        <f aca="false">IF(B523="","",IFERROR(INDEX(Zones!$B$2:$B$15,MATCH(B523,Zones!$A$2:$A$15,0)),"⚠ zone inconnue"))</f>
        <v/>
      </c>
      <c r="G523" s="12"/>
      <c r="H523" s="12"/>
      <c r="I523" s="12"/>
      <c r="J523" s="12"/>
    </row>
    <row r="524" customFormat="false" ht="15" hidden="false" customHeight="false" outlineLevel="0" collapsed="false">
      <c r="A524" s="14" t="str">
        <f aca="false">IF(OR(B524="",C524="",D524="",E524=""),"",UPPER(B524)&amp;TEXT(C524,"00")&amp;"-"&amp;D524&amp;"-"&amp;TEXT(E524,"00"))</f>
        <v/>
      </c>
      <c r="B524" s="12"/>
      <c r="C524" s="12"/>
      <c r="D524" s="12"/>
      <c r="E524" s="12"/>
      <c r="F524" s="16" t="str">
        <f aca="false">IF(B524="","",IFERROR(INDEX(Zones!$B$2:$B$15,MATCH(B524,Zones!$A$2:$A$15,0)),"⚠ zone inconnue"))</f>
        <v/>
      </c>
      <c r="G524" s="12"/>
      <c r="H524" s="12"/>
      <c r="I524" s="12"/>
      <c r="J524" s="12"/>
    </row>
    <row r="525" customFormat="false" ht="15" hidden="false" customHeight="false" outlineLevel="0" collapsed="false">
      <c r="A525" s="14" t="str">
        <f aca="false">IF(OR(B525="",C525="",D525="",E525=""),"",UPPER(B525)&amp;TEXT(C525,"00")&amp;"-"&amp;D525&amp;"-"&amp;TEXT(E525,"00"))</f>
        <v/>
      </c>
      <c r="B525" s="12"/>
      <c r="C525" s="12"/>
      <c r="D525" s="12"/>
      <c r="E525" s="12"/>
      <c r="F525" s="16" t="str">
        <f aca="false">IF(B525="","",IFERROR(INDEX(Zones!$B$2:$B$15,MATCH(B525,Zones!$A$2:$A$15,0)),"⚠ zone inconnue"))</f>
        <v/>
      </c>
      <c r="G525" s="12"/>
      <c r="H525" s="12"/>
      <c r="I525" s="12"/>
      <c r="J525" s="12"/>
    </row>
    <row r="526" customFormat="false" ht="15" hidden="false" customHeight="false" outlineLevel="0" collapsed="false">
      <c r="A526" s="14" t="str">
        <f aca="false">IF(OR(B526="",C526="",D526="",E526=""),"",UPPER(B526)&amp;TEXT(C526,"00")&amp;"-"&amp;D526&amp;"-"&amp;TEXT(E526,"00"))</f>
        <v/>
      </c>
      <c r="B526" s="12"/>
      <c r="C526" s="12"/>
      <c r="D526" s="12"/>
      <c r="E526" s="12"/>
      <c r="F526" s="16" t="str">
        <f aca="false">IF(B526="","",IFERROR(INDEX(Zones!$B$2:$B$15,MATCH(B526,Zones!$A$2:$A$15,0)),"⚠ zone inconnue"))</f>
        <v/>
      </c>
      <c r="G526" s="12"/>
      <c r="H526" s="12"/>
      <c r="I526" s="12"/>
      <c r="J526" s="12"/>
    </row>
    <row r="527" customFormat="false" ht="15" hidden="false" customHeight="false" outlineLevel="0" collapsed="false">
      <c r="A527" s="14" t="str">
        <f aca="false">IF(OR(B527="",C527="",D527="",E527=""),"",UPPER(B527)&amp;TEXT(C527,"00")&amp;"-"&amp;D527&amp;"-"&amp;TEXT(E527,"00"))</f>
        <v/>
      </c>
      <c r="B527" s="12"/>
      <c r="C527" s="12"/>
      <c r="D527" s="12"/>
      <c r="E527" s="12"/>
      <c r="F527" s="16" t="str">
        <f aca="false">IF(B527="","",IFERROR(INDEX(Zones!$B$2:$B$15,MATCH(B527,Zones!$A$2:$A$15,0)),"⚠ zone inconnue"))</f>
        <v/>
      </c>
      <c r="G527" s="12"/>
      <c r="H527" s="12"/>
      <c r="I527" s="12"/>
      <c r="J527" s="12"/>
    </row>
    <row r="528" customFormat="false" ht="15" hidden="false" customHeight="false" outlineLevel="0" collapsed="false">
      <c r="A528" s="14" t="str">
        <f aca="false">IF(OR(B528="",C528="",D528="",E528=""),"",UPPER(B528)&amp;TEXT(C528,"00")&amp;"-"&amp;D528&amp;"-"&amp;TEXT(E528,"00"))</f>
        <v/>
      </c>
      <c r="B528" s="12"/>
      <c r="C528" s="12"/>
      <c r="D528" s="12"/>
      <c r="E528" s="12"/>
      <c r="F528" s="16" t="str">
        <f aca="false">IF(B528="","",IFERROR(INDEX(Zones!$B$2:$B$15,MATCH(B528,Zones!$A$2:$A$15,0)),"⚠ zone inconnue"))</f>
        <v/>
      </c>
      <c r="G528" s="12"/>
      <c r="H528" s="12"/>
      <c r="I528" s="12"/>
      <c r="J528" s="12"/>
    </row>
    <row r="529" customFormat="false" ht="15" hidden="false" customHeight="false" outlineLevel="0" collapsed="false">
      <c r="A529" s="14" t="str">
        <f aca="false">IF(OR(B529="",C529="",D529="",E529=""),"",UPPER(B529)&amp;TEXT(C529,"00")&amp;"-"&amp;D529&amp;"-"&amp;TEXT(E529,"00"))</f>
        <v/>
      </c>
      <c r="B529" s="12"/>
      <c r="C529" s="12"/>
      <c r="D529" s="12"/>
      <c r="E529" s="12"/>
      <c r="F529" s="16" t="str">
        <f aca="false">IF(B529="","",IFERROR(INDEX(Zones!$B$2:$B$15,MATCH(B529,Zones!$A$2:$A$15,0)),"⚠ zone inconnue"))</f>
        <v/>
      </c>
      <c r="G529" s="12"/>
      <c r="H529" s="12"/>
      <c r="I529" s="12"/>
      <c r="J529" s="12"/>
    </row>
    <row r="530" customFormat="false" ht="15" hidden="false" customHeight="false" outlineLevel="0" collapsed="false">
      <c r="A530" s="14" t="str">
        <f aca="false">IF(OR(B530="",C530="",D530="",E530=""),"",UPPER(B530)&amp;TEXT(C530,"00")&amp;"-"&amp;D530&amp;"-"&amp;TEXT(E530,"00"))</f>
        <v/>
      </c>
      <c r="B530" s="12"/>
      <c r="C530" s="12"/>
      <c r="D530" s="12"/>
      <c r="E530" s="12"/>
      <c r="F530" s="16" t="str">
        <f aca="false">IF(B530="","",IFERROR(INDEX(Zones!$B$2:$B$15,MATCH(B530,Zones!$A$2:$A$15,0)),"⚠ zone inconnue"))</f>
        <v/>
      </c>
      <c r="G530" s="12"/>
      <c r="H530" s="12"/>
      <c r="I530" s="12"/>
      <c r="J530" s="12"/>
    </row>
    <row r="531" customFormat="false" ht="15" hidden="false" customHeight="false" outlineLevel="0" collapsed="false">
      <c r="A531" s="14" t="str">
        <f aca="false">IF(OR(B531="",C531="",D531="",E531=""),"",UPPER(B531)&amp;TEXT(C531,"00")&amp;"-"&amp;D531&amp;"-"&amp;TEXT(E531,"00"))</f>
        <v/>
      </c>
      <c r="B531" s="12"/>
      <c r="C531" s="12"/>
      <c r="D531" s="12"/>
      <c r="E531" s="12"/>
      <c r="F531" s="16" t="str">
        <f aca="false">IF(B531="","",IFERROR(INDEX(Zones!$B$2:$B$15,MATCH(B531,Zones!$A$2:$A$15,0)),"⚠ zone inconnue"))</f>
        <v/>
      </c>
      <c r="G531" s="12"/>
      <c r="H531" s="12"/>
      <c r="I531" s="12"/>
      <c r="J531" s="12"/>
    </row>
    <row r="532" customFormat="false" ht="15" hidden="false" customHeight="false" outlineLevel="0" collapsed="false">
      <c r="A532" s="14" t="str">
        <f aca="false">IF(OR(B532="",C532="",D532="",E532=""),"",UPPER(B532)&amp;TEXT(C532,"00")&amp;"-"&amp;D532&amp;"-"&amp;TEXT(E532,"00"))</f>
        <v/>
      </c>
      <c r="B532" s="12"/>
      <c r="C532" s="12"/>
      <c r="D532" s="12"/>
      <c r="E532" s="12"/>
      <c r="F532" s="16" t="str">
        <f aca="false">IF(B532="","",IFERROR(INDEX(Zones!$B$2:$B$15,MATCH(B532,Zones!$A$2:$A$15,0)),"⚠ zone inconnue"))</f>
        <v/>
      </c>
      <c r="G532" s="12"/>
      <c r="H532" s="12"/>
      <c r="I532" s="12"/>
      <c r="J532" s="12"/>
    </row>
    <row r="533" customFormat="false" ht="15" hidden="false" customHeight="false" outlineLevel="0" collapsed="false">
      <c r="A533" s="14" t="str">
        <f aca="false">IF(OR(B533="",C533="",D533="",E533=""),"",UPPER(B533)&amp;TEXT(C533,"00")&amp;"-"&amp;D533&amp;"-"&amp;TEXT(E533,"00"))</f>
        <v/>
      </c>
      <c r="B533" s="12"/>
      <c r="C533" s="12"/>
      <c r="D533" s="12"/>
      <c r="E533" s="12"/>
      <c r="F533" s="16" t="str">
        <f aca="false">IF(B533="","",IFERROR(INDEX(Zones!$B$2:$B$15,MATCH(B533,Zones!$A$2:$A$15,0)),"⚠ zone inconnue"))</f>
        <v/>
      </c>
      <c r="G533" s="12"/>
      <c r="H533" s="12"/>
      <c r="I533" s="12"/>
      <c r="J533" s="12"/>
    </row>
    <row r="534" customFormat="false" ht="15" hidden="false" customHeight="false" outlineLevel="0" collapsed="false">
      <c r="A534" s="14" t="str">
        <f aca="false">IF(OR(B534="",C534="",D534="",E534=""),"",UPPER(B534)&amp;TEXT(C534,"00")&amp;"-"&amp;D534&amp;"-"&amp;TEXT(E534,"00"))</f>
        <v/>
      </c>
      <c r="B534" s="12"/>
      <c r="C534" s="12"/>
      <c r="D534" s="12"/>
      <c r="E534" s="12"/>
      <c r="F534" s="16" t="str">
        <f aca="false">IF(B534="","",IFERROR(INDEX(Zones!$B$2:$B$15,MATCH(B534,Zones!$A$2:$A$15,0)),"⚠ zone inconnue"))</f>
        <v/>
      </c>
      <c r="G534" s="12"/>
      <c r="H534" s="12"/>
      <c r="I534" s="12"/>
      <c r="J534" s="12"/>
    </row>
    <row r="535" customFormat="false" ht="15" hidden="false" customHeight="false" outlineLevel="0" collapsed="false">
      <c r="A535" s="14" t="str">
        <f aca="false">IF(OR(B535="",C535="",D535="",E535=""),"",UPPER(B535)&amp;TEXT(C535,"00")&amp;"-"&amp;D535&amp;"-"&amp;TEXT(E535,"00"))</f>
        <v/>
      </c>
      <c r="B535" s="12"/>
      <c r="C535" s="12"/>
      <c r="D535" s="12"/>
      <c r="E535" s="12"/>
      <c r="F535" s="16" t="str">
        <f aca="false">IF(B535="","",IFERROR(INDEX(Zones!$B$2:$B$15,MATCH(B535,Zones!$A$2:$A$15,0)),"⚠ zone inconnue"))</f>
        <v/>
      </c>
      <c r="G535" s="12"/>
      <c r="H535" s="12"/>
      <c r="I535" s="12"/>
      <c r="J535" s="12"/>
    </row>
    <row r="536" customFormat="false" ht="15" hidden="false" customHeight="false" outlineLevel="0" collapsed="false">
      <c r="A536" s="14" t="str">
        <f aca="false">IF(OR(B536="",C536="",D536="",E536=""),"",UPPER(B536)&amp;TEXT(C536,"00")&amp;"-"&amp;D536&amp;"-"&amp;TEXT(E536,"00"))</f>
        <v/>
      </c>
      <c r="B536" s="12"/>
      <c r="C536" s="12"/>
      <c r="D536" s="12"/>
      <c r="E536" s="12"/>
      <c r="F536" s="16" t="str">
        <f aca="false">IF(B536="","",IFERROR(INDEX(Zones!$B$2:$B$15,MATCH(B536,Zones!$A$2:$A$15,0)),"⚠ zone inconnue"))</f>
        <v/>
      </c>
      <c r="G536" s="12"/>
      <c r="H536" s="12"/>
      <c r="I536" s="12"/>
      <c r="J536" s="12"/>
    </row>
    <row r="537" customFormat="false" ht="15" hidden="false" customHeight="false" outlineLevel="0" collapsed="false">
      <c r="A537" s="14" t="str">
        <f aca="false">IF(OR(B537="",C537="",D537="",E537=""),"",UPPER(B537)&amp;TEXT(C537,"00")&amp;"-"&amp;D537&amp;"-"&amp;TEXT(E537,"00"))</f>
        <v/>
      </c>
      <c r="B537" s="12"/>
      <c r="C537" s="12"/>
      <c r="D537" s="12"/>
      <c r="E537" s="12"/>
      <c r="F537" s="16" t="str">
        <f aca="false">IF(B537="","",IFERROR(INDEX(Zones!$B$2:$B$15,MATCH(B537,Zones!$A$2:$A$15,0)),"⚠ zone inconnue"))</f>
        <v/>
      </c>
      <c r="G537" s="12"/>
      <c r="H537" s="12"/>
      <c r="I537" s="12"/>
      <c r="J537" s="12"/>
    </row>
    <row r="538" customFormat="false" ht="15" hidden="false" customHeight="false" outlineLevel="0" collapsed="false">
      <c r="A538" s="14" t="str">
        <f aca="false">IF(OR(B538="",C538="",D538="",E538=""),"",UPPER(B538)&amp;TEXT(C538,"00")&amp;"-"&amp;D538&amp;"-"&amp;TEXT(E538,"00"))</f>
        <v/>
      </c>
      <c r="B538" s="12"/>
      <c r="C538" s="12"/>
      <c r="D538" s="12"/>
      <c r="E538" s="12"/>
      <c r="F538" s="16" t="str">
        <f aca="false">IF(B538="","",IFERROR(INDEX(Zones!$B$2:$B$15,MATCH(B538,Zones!$A$2:$A$15,0)),"⚠ zone inconnue"))</f>
        <v/>
      </c>
      <c r="G538" s="12"/>
      <c r="H538" s="12"/>
      <c r="I538" s="12"/>
      <c r="J538" s="12"/>
    </row>
    <row r="539" customFormat="false" ht="15" hidden="false" customHeight="false" outlineLevel="0" collapsed="false">
      <c r="A539" s="14" t="str">
        <f aca="false">IF(OR(B539="",C539="",D539="",E539=""),"",UPPER(B539)&amp;TEXT(C539,"00")&amp;"-"&amp;D539&amp;"-"&amp;TEXT(E539,"00"))</f>
        <v/>
      </c>
      <c r="B539" s="12"/>
      <c r="C539" s="12"/>
      <c r="D539" s="12"/>
      <c r="E539" s="12"/>
      <c r="F539" s="16" t="str">
        <f aca="false">IF(B539="","",IFERROR(INDEX(Zones!$B$2:$B$15,MATCH(B539,Zones!$A$2:$A$15,0)),"⚠ zone inconnue"))</f>
        <v/>
      </c>
      <c r="G539" s="12"/>
      <c r="H539" s="12"/>
      <c r="I539" s="12"/>
      <c r="J539" s="12"/>
    </row>
    <row r="540" customFormat="false" ht="15" hidden="false" customHeight="false" outlineLevel="0" collapsed="false">
      <c r="A540" s="14" t="str">
        <f aca="false">IF(OR(B540="",C540="",D540="",E540=""),"",UPPER(B540)&amp;TEXT(C540,"00")&amp;"-"&amp;D540&amp;"-"&amp;TEXT(E540,"00"))</f>
        <v/>
      </c>
      <c r="B540" s="12"/>
      <c r="C540" s="12"/>
      <c r="D540" s="12"/>
      <c r="E540" s="12"/>
      <c r="F540" s="16" t="str">
        <f aca="false">IF(B540="","",IFERROR(INDEX(Zones!$B$2:$B$15,MATCH(B540,Zones!$A$2:$A$15,0)),"⚠ zone inconnue"))</f>
        <v/>
      </c>
      <c r="G540" s="12"/>
      <c r="H540" s="12"/>
      <c r="I540" s="12"/>
      <c r="J540" s="12"/>
    </row>
    <row r="541" customFormat="false" ht="15" hidden="false" customHeight="false" outlineLevel="0" collapsed="false">
      <c r="A541" s="14" t="str">
        <f aca="false">IF(OR(B541="",C541="",D541="",E541=""),"",UPPER(B541)&amp;TEXT(C541,"00")&amp;"-"&amp;D541&amp;"-"&amp;TEXT(E541,"00"))</f>
        <v/>
      </c>
      <c r="B541" s="12"/>
      <c r="C541" s="12"/>
      <c r="D541" s="12"/>
      <c r="E541" s="12"/>
      <c r="F541" s="16" t="str">
        <f aca="false">IF(B541="","",IFERROR(INDEX(Zones!$B$2:$B$15,MATCH(B541,Zones!$A$2:$A$15,0)),"⚠ zone inconnue"))</f>
        <v/>
      </c>
      <c r="G541" s="12"/>
      <c r="H541" s="12"/>
      <c r="I541" s="12"/>
      <c r="J541" s="12"/>
    </row>
    <row r="542" customFormat="false" ht="15" hidden="false" customHeight="false" outlineLevel="0" collapsed="false">
      <c r="A542" s="14" t="str">
        <f aca="false">IF(OR(B542="",C542="",D542="",E542=""),"",UPPER(B542)&amp;TEXT(C542,"00")&amp;"-"&amp;D542&amp;"-"&amp;TEXT(E542,"00"))</f>
        <v/>
      </c>
      <c r="B542" s="12"/>
      <c r="C542" s="12"/>
      <c r="D542" s="12"/>
      <c r="E542" s="12"/>
      <c r="F542" s="16" t="str">
        <f aca="false">IF(B542="","",IFERROR(INDEX(Zones!$B$2:$B$15,MATCH(B542,Zones!$A$2:$A$15,0)),"⚠ zone inconnue"))</f>
        <v/>
      </c>
      <c r="G542" s="12"/>
      <c r="H542" s="12"/>
      <c r="I542" s="12"/>
      <c r="J542" s="12"/>
    </row>
    <row r="543" customFormat="false" ht="15" hidden="false" customHeight="false" outlineLevel="0" collapsed="false">
      <c r="A543" s="14" t="str">
        <f aca="false">IF(OR(B543="",C543="",D543="",E543=""),"",UPPER(B543)&amp;TEXT(C543,"00")&amp;"-"&amp;D543&amp;"-"&amp;TEXT(E543,"00"))</f>
        <v/>
      </c>
      <c r="B543" s="12"/>
      <c r="C543" s="12"/>
      <c r="D543" s="12"/>
      <c r="E543" s="12"/>
      <c r="F543" s="16" t="str">
        <f aca="false">IF(B543="","",IFERROR(INDEX(Zones!$B$2:$B$15,MATCH(B543,Zones!$A$2:$A$15,0)),"⚠ zone inconnue"))</f>
        <v/>
      </c>
      <c r="G543" s="12"/>
      <c r="H543" s="12"/>
      <c r="I543" s="12"/>
      <c r="J543" s="12"/>
    </row>
    <row r="544" customFormat="false" ht="15" hidden="false" customHeight="false" outlineLevel="0" collapsed="false">
      <c r="A544" s="14" t="str">
        <f aca="false">IF(OR(B544="",C544="",D544="",E544=""),"",UPPER(B544)&amp;TEXT(C544,"00")&amp;"-"&amp;D544&amp;"-"&amp;TEXT(E544,"00"))</f>
        <v/>
      </c>
      <c r="B544" s="12"/>
      <c r="C544" s="12"/>
      <c r="D544" s="12"/>
      <c r="E544" s="12"/>
      <c r="F544" s="16" t="str">
        <f aca="false">IF(B544="","",IFERROR(INDEX(Zones!$B$2:$B$15,MATCH(B544,Zones!$A$2:$A$15,0)),"⚠ zone inconnue"))</f>
        <v/>
      </c>
      <c r="G544" s="12"/>
      <c r="H544" s="12"/>
      <c r="I544" s="12"/>
      <c r="J544" s="12"/>
    </row>
    <row r="545" customFormat="false" ht="15" hidden="false" customHeight="false" outlineLevel="0" collapsed="false">
      <c r="A545" s="14" t="str">
        <f aca="false">IF(OR(B545="",C545="",D545="",E545=""),"",UPPER(B545)&amp;TEXT(C545,"00")&amp;"-"&amp;D545&amp;"-"&amp;TEXT(E545,"00"))</f>
        <v/>
      </c>
      <c r="B545" s="12"/>
      <c r="C545" s="12"/>
      <c r="D545" s="12"/>
      <c r="E545" s="12"/>
      <c r="F545" s="16" t="str">
        <f aca="false">IF(B545="","",IFERROR(INDEX(Zones!$B$2:$B$15,MATCH(B545,Zones!$A$2:$A$15,0)),"⚠ zone inconnue"))</f>
        <v/>
      </c>
      <c r="G545" s="12"/>
      <c r="H545" s="12"/>
      <c r="I545" s="12"/>
      <c r="J545" s="12"/>
    </row>
    <row r="546" customFormat="false" ht="15" hidden="false" customHeight="false" outlineLevel="0" collapsed="false">
      <c r="A546" s="14" t="str">
        <f aca="false">IF(OR(B546="",C546="",D546="",E546=""),"",UPPER(B546)&amp;TEXT(C546,"00")&amp;"-"&amp;D546&amp;"-"&amp;TEXT(E546,"00"))</f>
        <v/>
      </c>
      <c r="B546" s="12"/>
      <c r="C546" s="12"/>
      <c r="D546" s="12"/>
      <c r="E546" s="12"/>
      <c r="F546" s="16" t="str">
        <f aca="false">IF(B546="","",IFERROR(INDEX(Zones!$B$2:$B$15,MATCH(B546,Zones!$A$2:$A$15,0)),"⚠ zone inconnue"))</f>
        <v/>
      </c>
      <c r="G546" s="12"/>
      <c r="H546" s="12"/>
      <c r="I546" s="12"/>
      <c r="J546" s="12"/>
    </row>
    <row r="547" customFormat="false" ht="15" hidden="false" customHeight="false" outlineLevel="0" collapsed="false">
      <c r="A547" s="14" t="str">
        <f aca="false">IF(OR(B547="",C547="",D547="",E547=""),"",UPPER(B547)&amp;TEXT(C547,"00")&amp;"-"&amp;D547&amp;"-"&amp;TEXT(E547,"00"))</f>
        <v/>
      </c>
      <c r="B547" s="12"/>
      <c r="C547" s="12"/>
      <c r="D547" s="12"/>
      <c r="E547" s="12"/>
      <c r="F547" s="16" t="str">
        <f aca="false">IF(B547="","",IFERROR(INDEX(Zones!$B$2:$B$15,MATCH(B547,Zones!$A$2:$A$15,0)),"⚠ zone inconnue"))</f>
        <v/>
      </c>
      <c r="G547" s="12"/>
      <c r="H547" s="12"/>
      <c r="I547" s="12"/>
      <c r="J547" s="12"/>
    </row>
    <row r="548" customFormat="false" ht="15" hidden="false" customHeight="false" outlineLevel="0" collapsed="false">
      <c r="A548" s="14" t="str">
        <f aca="false">IF(OR(B548="",C548="",D548="",E548=""),"",UPPER(B548)&amp;TEXT(C548,"00")&amp;"-"&amp;D548&amp;"-"&amp;TEXT(E548,"00"))</f>
        <v/>
      </c>
      <c r="B548" s="12"/>
      <c r="C548" s="12"/>
      <c r="D548" s="12"/>
      <c r="E548" s="12"/>
      <c r="F548" s="16" t="str">
        <f aca="false">IF(B548="","",IFERROR(INDEX(Zones!$B$2:$B$15,MATCH(B548,Zones!$A$2:$A$15,0)),"⚠ zone inconnue"))</f>
        <v/>
      </c>
      <c r="G548" s="12"/>
      <c r="H548" s="12"/>
      <c r="I548" s="12"/>
      <c r="J548" s="12"/>
    </row>
    <row r="549" customFormat="false" ht="15" hidden="false" customHeight="false" outlineLevel="0" collapsed="false">
      <c r="A549" s="14" t="str">
        <f aca="false">IF(OR(B549="",C549="",D549="",E549=""),"",UPPER(B549)&amp;TEXT(C549,"00")&amp;"-"&amp;D549&amp;"-"&amp;TEXT(E549,"00"))</f>
        <v/>
      </c>
      <c r="B549" s="12"/>
      <c r="C549" s="12"/>
      <c r="D549" s="12"/>
      <c r="E549" s="12"/>
      <c r="F549" s="16" t="str">
        <f aca="false">IF(B549="","",IFERROR(INDEX(Zones!$B$2:$B$15,MATCH(B549,Zones!$A$2:$A$15,0)),"⚠ zone inconnue"))</f>
        <v/>
      </c>
      <c r="G549" s="12"/>
      <c r="H549" s="12"/>
      <c r="I549" s="12"/>
      <c r="J549" s="12"/>
    </row>
    <row r="550" customFormat="false" ht="15" hidden="false" customHeight="false" outlineLevel="0" collapsed="false">
      <c r="A550" s="14" t="str">
        <f aca="false">IF(OR(B550="",C550="",D550="",E550=""),"",UPPER(B550)&amp;TEXT(C550,"00")&amp;"-"&amp;D550&amp;"-"&amp;TEXT(E550,"00"))</f>
        <v/>
      </c>
      <c r="B550" s="12"/>
      <c r="C550" s="12"/>
      <c r="D550" s="12"/>
      <c r="E550" s="12"/>
      <c r="F550" s="16" t="str">
        <f aca="false">IF(B550="","",IFERROR(INDEX(Zones!$B$2:$B$15,MATCH(B550,Zones!$A$2:$A$15,0)),"⚠ zone inconnue"))</f>
        <v/>
      </c>
      <c r="G550" s="12"/>
      <c r="H550" s="12"/>
      <c r="I550" s="12"/>
      <c r="J550" s="12"/>
    </row>
    <row r="551" customFormat="false" ht="15" hidden="false" customHeight="false" outlineLevel="0" collapsed="false">
      <c r="A551" s="14" t="str">
        <f aca="false">IF(OR(B551="",C551="",D551="",E551=""),"",UPPER(B551)&amp;TEXT(C551,"00")&amp;"-"&amp;D551&amp;"-"&amp;TEXT(E551,"00"))</f>
        <v/>
      </c>
      <c r="B551" s="12"/>
      <c r="C551" s="12"/>
      <c r="D551" s="12"/>
      <c r="E551" s="12"/>
      <c r="F551" s="16" t="str">
        <f aca="false">IF(B551="","",IFERROR(INDEX(Zones!$B$2:$B$15,MATCH(B551,Zones!$A$2:$A$15,0)),"⚠ zone inconnue"))</f>
        <v/>
      </c>
      <c r="G551" s="12"/>
      <c r="H551" s="12"/>
      <c r="I551" s="12"/>
      <c r="J551" s="12"/>
    </row>
    <row r="552" customFormat="false" ht="15" hidden="false" customHeight="false" outlineLevel="0" collapsed="false">
      <c r="A552" s="14" t="str">
        <f aca="false">IF(OR(B552="",C552="",D552="",E552=""),"",UPPER(B552)&amp;TEXT(C552,"00")&amp;"-"&amp;D552&amp;"-"&amp;TEXT(E552,"00"))</f>
        <v/>
      </c>
      <c r="B552" s="12"/>
      <c r="C552" s="12"/>
      <c r="D552" s="12"/>
      <c r="E552" s="12"/>
      <c r="F552" s="16" t="str">
        <f aca="false">IF(B552="","",IFERROR(INDEX(Zones!$B$2:$B$15,MATCH(B552,Zones!$A$2:$A$15,0)),"⚠ zone inconnue"))</f>
        <v/>
      </c>
      <c r="G552" s="12"/>
      <c r="H552" s="12"/>
      <c r="I552" s="12"/>
      <c r="J552" s="12"/>
    </row>
    <row r="553" customFormat="false" ht="15" hidden="false" customHeight="false" outlineLevel="0" collapsed="false">
      <c r="A553" s="14" t="str">
        <f aca="false">IF(OR(B553="",C553="",D553="",E553=""),"",UPPER(B553)&amp;TEXT(C553,"00")&amp;"-"&amp;D553&amp;"-"&amp;TEXT(E553,"00"))</f>
        <v/>
      </c>
      <c r="B553" s="12"/>
      <c r="C553" s="12"/>
      <c r="D553" s="12"/>
      <c r="E553" s="12"/>
      <c r="F553" s="16" t="str">
        <f aca="false">IF(B553="","",IFERROR(INDEX(Zones!$B$2:$B$15,MATCH(B553,Zones!$A$2:$A$15,0)),"⚠ zone inconnue"))</f>
        <v/>
      </c>
      <c r="G553" s="12"/>
      <c r="H553" s="12"/>
      <c r="I553" s="12"/>
      <c r="J553" s="12"/>
    </row>
    <row r="554" customFormat="false" ht="15" hidden="false" customHeight="false" outlineLevel="0" collapsed="false">
      <c r="A554" s="14" t="str">
        <f aca="false">IF(OR(B554="",C554="",D554="",E554=""),"",UPPER(B554)&amp;TEXT(C554,"00")&amp;"-"&amp;D554&amp;"-"&amp;TEXT(E554,"00"))</f>
        <v/>
      </c>
      <c r="B554" s="12"/>
      <c r="C554" s="12"/>
      <c r="D554" s="12"/>
      <c r="E554" s="12"/>
      <c r="F554" s="16" t="str">
        <f aca="false">IF(B554="","",IFERROR(INDEX(Zones!$B$2:$B$15,MATCH(B554,Zones!$A$2:$A$15,0)),"⚠ zone inconnue"))</f>
        <v/>
      </c>
      <c r="G554" s="12"/>
      <c r="H554" s="12"/>
      <c r="I554" s="12"/>
      <c r="J554" s="12"/>
    </row>
    <row r="555" customFormat="false" ht="15" hidden="false" customHeight="false" outlineLevel="0" collapsed="false">
      <c r="A555" s="14" t="str">
        <f aca="false">IF(OR(B555="",C555="",D555="",E555=""),"",UPPER(B555)&amp;TEXT(C555,"00")&amp;"-"&amp;D555&amp;"-"&amp;TEXT(E555,"00"))</f>
        <v/>
      </c>
      <c r="B555" s="12"/>
      <c r="C555" s="12"/>
      <c r="D555" s="12"/>
      <c r="E555" s="12"/>
      <c r="F555" s="16" t="str">
        <f aca="false">IF(B555="","",IFERROR(INDEX(Zones!$B$2:$B$15,MATCH(B555,Zones!$A$2:$A$15,0)),"⚠ zone inconnue"))</f>
        <v/>
      </c>
      <c r="G555" s="12"/>
      <c r="H555" s="12"/>
      <c r="I555" s="12"/>
      <c r="J555" s="12"/>
    </row>
    <row r="556" customFormat="false" ht="15" hidden="false" customHeight="false" outlineLevel="0" collapsed="false">
      <c r="A556" s="14" t="str">
        <f aca="false">IF(OR(B556="",C556="",D556="",E556=""),"",UPPER(B556)&amp;TEXT(C556,"00")&amp;"-"&amp;D556&amp;"-"&amp;TEXT(E556,"00"))</f>
        <v/>
      </c>
      <c r="B556" s="12"/>
      <c r="C556" s="12"/>
      <c r="D556" s="12"/>
      <c r="E556" s="12"/>
      <c r="F556" s="16" t="str">
        <f aca="false">IF(B556="","",IFERROR(INDEX(Zones!$B$2:$B$15,MATCH(B556,Zones!$A$2:$A$15,0)),"⚠ zone inconnue"))</f>
        <v/>
      </c>
      <c r="G556" s="12"/>
      <c r="H556" s="12"/>
      <c r="I556" s="12"/>
      <c r="J556" s="12"/>
    </row>
    <row r="557" customFormat="false" ht="15" hidden="false" customHeight="false" outlineLevel="0" collapsed="false">
      <c r="A557" s="14" t="str">
        <f aca="false">IF(OR(B557="",C557="",D557="",E557=""),"",UPPER(B557)&amp;TEXT(C557,"00")&amp;"-"&amp;D557&amp;"-"&amp;TEXT(E557,"00"))</f>
        <v/>
      </c>
      <c r="B557" s="12"/>
      <c r="C557" s="12"/>
      <c r="D557" s="12"/>
      <c r="E557" s="12"/>
      <c r="F557" s="16" t="str">
        <f aca="false">IF(B557="","",IFERROR(INDEX(Zones!$B$2:$B$15,MATCH(B557,Zones!$A$2:$A$15,0)),"⚠ zone inconnue"))</f>
        <v/>
      </c>
      <c r="G557" s="12"/>
      <c r="H557" s="12"/>
      <c r="I557" s="12"/>
      <c r="J557" s="12"/>
    </row>
    <row r="558" customFormat="false" ht="15" hidden="false" customHeight="false" outlineLevel="0" collapsed="false">
      <c r="A558" s="14" t="str">
        <f aca="false">IF(OR(B558="",C558="",D558="",E558=""),"",UPPER(B558)&amp;TEXT(C558,"00")&amp;"-"&amp;D558&amp;"-"&amp;TEXT(E558,"00"))</f>
        <v/>
      </c>
      <c r="B558" s="12"/>
      <c r="C558" s="12"/>
      <c r="D558" s="12"/>
      <c r="E558" s="12"/>
      <c r="F558" s="16" t="str">
        <f aca="false">IF(B558="","",IFERROR(INDEX(Zones!$B$2:$B$15,MATCH(B558,Zones!$A$2:$A$15,0)),"⚠ zone inconnue"))</f>
        <v/>
      </c>
      <c r="G558" s="12"/>
      <c r="H558" s="12"/>
      <c r="I558" s="12"/>
      <c r="J558" s="12"/>
    </row>
    <row r="559" customFormat="false" ht="15" hidden="false" customHeight="false" outlineLevel="0" collapsed="false">
      <c r="A559" s="14" t="str">
        <f aca="false">IF(OR(B559="",C559="",D559="",E559=""),"",UPPER(B559)&amp;TEXT(C559,"00")&amp;"-"&amp;D559&amp;"-"&amp;TEXT(E559,"00"))</f>
        <v/>
      </c>
      <c r="B559" s="12"/>
      <c r="C559" s="12"/>
      <c r="D559" s="12"/>
      <c r="E559" s="12"/>
      <c r="F559" s="16" t="str">
        <f aca="false">IF(B559="","",IFERROR(INDEX(Zones!$B$2:$B$15,MATCH(B559,Zones!$A$2:$A$15,0)),"⚠ zone inconnue"))</f>
        <v/>
      </c>
      <c r="G559" s="12"/>
      <c r="H559" s="12"/>
      <c r="I559" s="12"/>
      <c r="J559" s="12"/>
    </row>
    <row r="560" customFormat="false" ht="15" hidden="false" customHeight="false" outlineLevel="0" collapsed="false">
      <c r="A560" s="14" t="str">
        <f aca="false">IF(OR(B560="",C560="",D560="",E560=""),"",UPPER(B560)&amp;TEXT(C560,"00")&amp;"-"&amp;D560&amp;"-"&amp;TEXT(E560,"00"))</f>
        <v/>
      </c>
      <c r="B560" s="12"/>
      <c r="C560" s="12"/>
      <c r="D560" s="12"/>
      <c r="E560" s="12"/>
      <c r="F560" s="16" t="str">
        <f aca="false">IF(B560="","",IFERROR(INDEX(Zones!$B$2:$B$15,MATCH(B560,Zones!$A$2:$A$15,0)),"⚠ zone inconnue"))</f>
        <v/>
      </c>
      <c r="G560" s="12"/>
      <c r="H560" s="12"/>
      <c r="I560" s="12"/>
      <c r="J560" s="12"/>
    </row>
    <row r="561" customFormat="false" ht="15" hidden="false" customHeight="false" outlineLevel="0" collapsed="false">
      <c r="A561" s="14" t="str">
        <f aca="false">IF(OR(B561="",C561="",D561="",E561=""),"",UPPER(B561)&amp;TEXT(C561,"00")&amp;"-"&amp;D561&amp;"-"&amp;TEXT(E561,"00"))</f>
        <v/>
      </c>
      <c r="B561" s="12"/>
      <c r="C561" s="12"/>
      <c r="D561" s="12"/>
      <c r="E561" s="12"/>
      <c r="F561" s="16" t="str">
        <f aca="false">IF(B561="","",IFERROR(INDEX(Zones!$B$2:$B$15,MATCH(B561,Zones!$A$2:$A$15,0)),"⚠ zone inconnue"))</f>
        <v/>
      </c>
      <c r="G561" s="12"/>
      <c r="H561" s="12"/>
      <c r="I561" s="12"/>
      <c r="J561" s="12"/>
    </row>
    <row r="562" customFormat="false" ht="15" hidden="false" customHeight="false" outlineLevel="0" collapsed="false">
      <c r="A562" s="14" t="str">
        <f aca="false">IF(OR(B562="",C562="",D562="",E562=""),"",UPPER(B562)&amp;TEXT(C562,"00")&amp;"-"&amp;D562&amp;"-"&amp;TEXT(E562,"00"))</f>
        <v/>
      </c>
      <c r="B562" s="12"/>
      <c r="C562" s="12"/>
      <c r="D562" s="12"/>
      <c r="E562" s="12"/>
      <c r="F562" s="16" t="str">
        <f aca="false">IF(B562="","",IFERROR(INDEX(Zones!$B$2:$B$15,MATCH(B562,Zones!$A$2:$A$15,0)),"⚠ zone inconnue"))</f>
        <v/>
      </c>
      <c r="G562" s="12"/>
      <c r="H562" s="12"/>
      <c r="I562" s="12"/>
      <c r="J562" s="12"/>
    </row>
    <row r="563" customFormat="false" ht="15" hidden="false" customHeight="false" outlineLevel="0" collapsed="false">
      <c r="A563" s="14" t="str">
        <f aca="false">IF(OR(B563="",C563="",D563="",E563=""),"",UPPER(B563)&amp;TEXT(C563,"00")&amp;"-"&amp;D563&amp;"-"&amp;TEXT(E563,"00"))</f>
        <v/>
      </c>
      <c r="B563" s="12"/>
      <c r="C563" s="12"/>
      <c r="D563" s="12"/>
      <c r="E563" s="12"/>
      <c r="F563" s="16" t="str">
        <f aca="false">IF(B563="","",IFERROR(INDEX(Zones!$B$2:$B$15,MATCH(B563,Zones!$A$2:$A$15,0)),"⚠ zone inconnue"))</f>
        <v/>
      </c>
      <c r="G563" s="12"/>
      <c r="H563" s="12"/>
      <c r="I563" s="12"/>
      <c r="J563" s="12"/>
    </row>
    <row r="564" customFormat="false" ht="15" hidden="false" customHeight="false" outlineLevel="0" collapsed="false">
      <c r="A564" s="14" t="str">
        <f aca="false">IF(OR(B564="",C564="",D564="",E564=""),"",UPPER(B564)&amp;TEXT(C564,"00")&amp;"-"&amp;D564&amp;"-"&amp;TEXT(E564,"00"))</f>
        <v/>
      </c>
      <c r="B564" s="12"/>
      <c r="C564" s="12"/>
      <c r="D564" s="12"/>
      <c r="E564" s="12"/>
      <c r="F564" s="16" t="str">
        <f aca="false">IF(B564="","",IFERROR(INDEX(Zones!$B$2:$B$15,MATCH(B564,Zones!$A$2:$A$15,0)),"⚠ zone inconnue"))</f>
        <v/>
      </c>
      <c r="G564" s="12"/>
      <c r="H564" s="12"/>
      <c r="I564" s="12"/>
      <c r="J564" s="12"/>
    </row>
    <row r="565" customFormat="false" ht="15" hidden="false" customHeight="false" outlineLevel="0" collapsed="false">
      <c r="A565" s="14" t="str">
        <f aca="false">IF(OR(B565="",C565="",D565="",E565=""),"",UPPER(B565)&amp;TEXT(C565,"00")&amp;"-"&amp;D565&amp;"-"&amp;TEXT(E565,"00"))</f>
        <v/>
      </c>
      <c r="B565" s="12"/>
      <c r="C565" s="12"/>
      <c r="D565" s="12"/>
      <c r="E565" s="12"/>
      <c r="F565" s="16" t="str">
        <f aca="false">IF(B565="","",IFERROR(INDEX(Zones!$B$2:$B$15,MATCH(B565,Zones!$A$2:$A$15,0)),"⚠ zone inconnue"))</f>
        <v/>
      </c>
      <c r="G565" s="12"/>
      <c r="H565" s="12"/>
      <c r="I565" s="12"/>
      <c r="J565" s="12"/>
    </row>
    <row r="566" customFormat="false" ht="15" hidden="false" customHeight="false" outlineLevel="0" collapsed="false">
      <c r="A566" s="14" t="str">
        <f aca="false">IF(OR(B566="",C566="",D566="",E566=""),"",UPPER(B566)&amp;TEXT(C566,"00")&amp;"-"&amp;D566&amp;"-"&amp;TEXT(E566,"00"))</f>
        <v/>
      </c>
      <c r="B566" s="12"/>
      <c r="C566" s="12"/>
      <c r="D566" s="12"/>
      <c r="E566" s="12"/>
      <c r="F566" s="16" t="str">
        <f aca="false">IF(B566="","",IFERROR(INDEX(Zones!$B$2:$B$15,MATCH(B566,Zones!$A$2:$A$15,0)),"⚠ zone inconnue"))</f>
        <v/>
      </c>
      <c r="G566" s="12"/>
      <c r="H566" s="12"/>
      <c r="I566" s="12"/>
      <c r="J566" s="12"/>
    </row>
    <row r="567" customFormat="false" ht="15" hidden="false" customHeight="false" outlineLevel="0" collapsed="false">
      <c r="A567" s="14" t="str">
        <f aca="false">IF(OR(B567="",C567="",D567="",E567=""),"",UPPER(B567)&amp;TEXT(C567,"00")&amp;"-"&amp;D567&amp;"-"&amp;TEXT(E567,"00"))</f>
        <v/>
      </c>
      <c r="B567" s="12"/>
      <c r="C567" s="12"/>
      <c r="D567" s="12"/>
      <c r="E567" s="12"/>
      <c r="F567" s="16" t="str">
        <f aca="false">IF(B567="","",IFERROR(INDEX(Zones!$B$2:$B$15,MATCH(B567,Zones!$A$2:$A$15,0)),"⚠ zone inconnue"))</f>
        <v/>
      </c>
      <c r="G567" s="12"/>
      <c r="H567" s="12"/>
      <c r="I567" s="12"/>
      <c r="J567" s="12"/>
    </row>
    <row r="568" customFormat="false" ht="15" hidden="false" customHeight="false" outlineLevel="0" collapsed="false">
      <c r="A568" s="14" t="str">
        <f aca="false">IF(OR(B568="",C568="",D568="",E568=""),"",UPPER(B568)&amp;TEXT(C568,"00")&amp;"-"&amp;D568&amp;"-"&amp;TEXT(E568,"00"))</f>
        <v/>
      </c>
      <c r="B568" s="12"/>
      <c r="C568" s="12"/>
      <c r="D568" s="12"/>
      <c r="E568" s="12"/>
      <c r="F568" s="16" t="str">
        <f aca="false">IF(B568="","",IFERROR(INDEX(Zones!$B$2:$B$15,MATCH(B568,Zones!$A$2:$A$15,0)),"⚠ zone inconnue"))</f>
        <v/>
      </c>
      <c r="G568" s="12"/>
      <c r="H568" s="12"/>
      <c r="I568" s="12"/>
      <c r="J568" s="12"/>
    </row>
    <row r="569" customFormat="false" ht="15" hidden="false" customHeight="false" outlineLevel="0" collapsed="false">
      <c r="A569" s="14" t="str">
        <f aca="false">IF(OR(B569="",C569="",D569="",E569=""),"",UPPER(B569)&amp;TEXT(C569,"00")&amp;"-"&amp;D569&amp;"-"&amp;TEXT(E569,"00"))</f>
        <v/>
      </c>
      <c r="B569" s="12"/>
      <c r="C569" s="12"/>
      <c r="D569" s="12"/>
      <c r="E569" s="12"/>
      <c r="F569" s="16" t="str">
        <f aca="false">IF(B569="","",IFERROR(INDEX(Zones!$B$2:$B$15,MATCH(B569,Zones!$A$2:$A$15,0)),"⚠ zone inconnue"))</f>
        <v/>
      </c>
      <c r="G569" s="12"/>
      <c r="H569" s="12"/>
      <c r="I569" s="12"/>
      <c r="J569" s="12"/>
    </row>
    <row r="570" customFormat="false" ht="15" hidden="false" customHeight="false" outlineLevel="0" collapsed="false">
      <c r="A570" s="14" t="str">
        <f aca="false">IF(OR(B570="",C570="",D570="",E570=""),"",UPPER(B570)&amp;TEXT(C570,"00")&amp;"-"&amp;D570&amp;"-"&amp;TEXT(E570,"00"))</f>
        <v/>
      </c>
      <c r="B570" s="12"/>
      <c r="C570" s="12"/>
      <c r="D570" s="12"/>
      <c r="E570" s="12"/>
      <c r="F570" s="16" t="str">
        <f aca="false">IF(B570="","",IFERROR(INDEX(Zones!$B$2:$B$15,MATCH(B570,Zones!$A$2:$A$15,0)),"⚠ zone inconnue"))</f>
        <v/>
      </c>
      <c r="G570" s="12"/>
      <c r="H570" s="12"/>
      <c r="I570" s="12"/>
      <c r="J570" s="12"/>
    </row>
    <row r="571" customFormat="false" ht="15" hidden="false" customHeight="false" outlineLevel="0" collapsed="false">
      <c r="A571" s="14" t="str">
        <f aca="false">IF(OR(B571="",C571="",D571="",E571=""),"",UPPER(B571)&amp;TEXT(C571,"00")&amp;"-"&amp;D571&amp;"-"&amp;TEXT(E571,"00"))</f>
        <v/>
      </c>
      <c r="B571" s="12"/>
      <c r="C571" s="12"/>
      <c r="D571" s="12"/>
      <c r="E571" s="12"/>
      <c r="F571" s="16" t="str">
        <f aca="false">IF(B571="","",IFERROR(INDEX(Zones!$B$2:$B$15,MATCH(B571,Zones!$A$2:$A$15,0)),"⚠ zone inconnue"))</f>
        <v/>
      </c>
      <c r="G571" s="12"/>
      <c r="H571" s="12"/>
      <c r="I571" s="12"/>
      <c r="J571" s="12"/>
    </row>
    <row r="572" customFormat="false" ht="15" hidden="false" customHeight="false" outlineLevel="0" collapsed="false">
      <c r="A572" s="14" t="str">
        <f aca="false">IF(OR(B572="",C572="",D572="",E572=""),"",UPPER(B572)&amp;TEXT(C572,"00")&amp;"-"&amp;D572&amp;"-"&amp;TEXT(E572,"00"))</f>
        <v/>
      </c>
      <c r="B572" s="12"/>
      <c r="C572" s="12"/>
      <c r="D572" s="12"/>
      <c r="E572" s="12"/>
      <c r="F572" s="16" t="str">
        <f aca="false">IF(B572="","",IFERROR(INDEX(Zones!$B$2:$B$15,MATCH(B572,Zones!$A$2:$A$15,0)),"⚠ zone inconnue"))</f>
        <v/>
      </c>
      <c r="G572" s="12"/>
      <c r="H572" s="12"/>
      <c r="I572" s="12"/>
      <c r="J572" s="12"/>
    </row>
    <row r="573" customFormat="false" ht="15" hidden="false" customHeight="false" outlineLevel="0" collapsed="false">
      <c r="A573" s="14" t="str">
        <f aca="false">IF(OR(B573="",C573="",D573="",E573=""),"",UPPER(B573)&amp;TEXT(C573,"00")&amp;"-"&amp;D573&amp;"-"&amp;TEXT(E573,"00"))</f>
        <v/>
      </c>
      <c r="B573" s="12"/>
      <c r="C573" s="12"/>
      <c r="D573" s="12"/>
      <c r="E573" s="12"/>
      <c r="F573" s="16" t="str">
        <f aca="false">IF(B573="","",IFERROR(INDEX(Zones!$B$2:$B$15,MATCH(B573,Zones!$A$2:$A$15,0)),"⚠ zone inconnue"))</f>
        <v/>
      </c>
      <c r="G573" s="12"/>
      <c r="H573" s="12"/>
      <c r="I573" s="12"/>
      <c r="J573" s="12"/>
    </row>
    <row r="574" customFormat="false" ht="15" hidden="false" customHeight="false" outlineLevel="0" collapsed="false">
      <c r="A574" s="14" t="str">
        <f aca="false">IF(OR(B574="",C574="",D574="",E574=""),"",UPPER(B574)&amp;TEXT(C574,"00")&amp;"-"&amp;D574&amp;"-"&amp;TEXT(E574,"00"))</f>
        <v/>
      </c>
      <c r="B574" s="12"/>
      <c r="C574" s="12"/>
      <c r="D574" s="12"/>
      <c r="E574" s="12"/>
      <c r="F574" s="16" t="str">
        <f aca="false">IF(B574="","",IFERROR(INDEX(Zones!$B$2:$B$15,MATCH(B574,Zones!$A$2:$A$15,0)),"⚠ zone inconnue"))</f>
        <v/>
      </c>
      <c r="G574" s="12"/>
      <c r="H574" s="12"/>
      <c r="I574" s="12"/>
      <c r="J574" s="12"/>
    </row>
    <row r="575" customFormat="false" ht="15" hidden="false" customHeight="false" outlineLevel="0" collapsed="false">
      <c r="A575" s="14" t="str">
        <f aca="false">IF(OR(B575="",C575="",D575="",E575=""),"",UPPER(B575)&amp;TEXT(C575,"00")&amp;"-"&amp;D575&amp;"-"&amp;TEXT(E575,"00"))</f>
        <v/>
      </c>
      <c r="B575" s="12"/>
      <c r="C575" s="12"/>
      <c r="D575" s="12"/>
      <c r="E575" s="12"/>
      <c r="F575" s="16" t="str">
        <f aca="false">IF(B575="","",IFERROR(INDEX(Zones!$B$2:$B$15,MATCH(B575,Zones!$A$2:$A$15,0)),"⚠ zone inconnue"))</f>
        <v/>
      </c>
      <c r="G575" s="12"/>
      <c r="H575" s="12"/>
      <c r="I575" s="12"/>
      <c r="J575" s="12"/>
    </row>
    <row r="576" customFormat="false" ht="15" hidden="false" customHeight="false" outlineLevel="0" collapsed="false">
      <c r="A576" s="14" t="str">
        <f aca="false">IF(OR(B576="",C576="",D576="",E576=""),"",UPPER(B576)&amp;TEXT(C576,"00")&amp;"-"&amp;D576&amp;"-"&amp;TEXT(E576,"00"))</f>
        <v/>
      </c>
      <c r="B576" s="12"/>
      <c r="C576" s="12"/>
      <c r="D576" s="12"/>
      <c r="E576" s="12"/>
      <c r="F576" s="16" t="str">
        <f aca="false">IF(B576="","",IFERROR(INDEX(Zones!$B$2:$B$15,MATCH(B576,Zones!$A$2:$A$15,0)),"⚠ zone inconnue"))</f>
        <v/>
      </c>
      <c r="G576" s="12"/>
      <c r="H576" s="12"/>
      <c r="I576" s="12"/>
      <c r="J576" s="12"/>
    </row>
    <row r="577" customFormat="false" ht="15" hidden="false" customHeight="false" outlineLevel="0" collapsed="false">
      <c r="A577" s="14" t="str">
        <f aca="false">IF(OR(B577="",C577="",D577="",E577=""),"",UPPER(B577)&amp;TEXT(C577,"00")&amp;"-"&amp;D577&amp;"-"&amp;TEXT(E577,"00"))</f>
        <v/>
      </c>
      <c r="B577" s="12"/>
      <c r="C577" s="12"/>
      <c r="D577" s="12"/>
      <c r="E577" s="12"/>
      <c r="F577" s="16" t="str">
        <f aca="false">IF(B577="","",IFERROR(INDEX(Zones!$B$2:$B$15,MATCH(B577,Zones!$A$2:$A$15,0)),"⚠ zone inconnue"))</f>
        <v/>
      </c>
      <c r="G577" s="12"/>
      <c r="H577" s="12"/>
      <c r="I577" s="12"/>
      <c r="J577" s="12"/>
    </row>
    <row r="578" customFormat="false" ht="15" hidden="false" customHeight="false" outlineLevel="0" collapsed="false">
      <c r="A578" s="14" t="str">
        <f aca="false">IF(OR(B578="",C578="",D578="",E578=""),"",UPPER(B578)&amp;TEXT(C578,"00")&amp;"-"&amp;D578&amp;"-"&amp;TEXT(E578,"00"))</f>
        <v/>
      </c>
      <c r="B578" s="12"/>
      <c r="C578" s="12"/>
      <c r="D578" s="12"/>
      <c r="E578" s="12"/>
      <c r="F578" s="16" t="str">
        <f aca="false">IF(B578="","",IFERROR(INDEX(Zones!$B$2:$B$15,MATCH(B578,Zones!$A$2:$A$15,0)),"⚠ zone inconnue"))</f>
        <v/>
      </c>
      <c r="G578" s="12"/>
      <c r="H578" s="12"/>
      <c r="I578" s="12"/>
      <c r="J578" s="12"/>
    </row>
    <row r="579" customFormat="false" ht="15" hidden="false" customHeight="false" outlineLevel="0" collapsed="false">
      <c r="A579" s="14" t="str">
        <f aca="false">IF(OR(B579="",C579="",D579="",E579=""),"",UPPER(B579)&amp;TEXT(C579,"00")&amp;"-"&amp;D579&amp;"-"&amp;TEXT(E579,"00"))</f>
        <v/>
      </c>
      <c r="B579" s="12"/>
      <c r="C579" s="12"/>
      <c r="D579" s="12"/>
      <c r="E579" s="12"/>
      <c r="F579" s="16" t="str">
        <f aca="false">IF(B579="","",IFERROR(INDEX(Zones!$B$2:$B$15,MATCH(B579,Zones!$A$2:$A$15,0)),"⚠ zone inconnue"))</f>
        <v/>
      </c>
      <c r="G579" s="12"/>
      <c r="H579" s="12"/>
      <c r="I579" s="12"/>
      <c r="J579" s="12"/>
    </row>
    <row r="580" customFormat="false" ht="15" hidden="false" customHeight="false" outlineLevel="0" collapsed="false">
      <c r="A580" s="14" t="str">
        <f aca="false">IF(OR(B580="",C580="",D580="",E580=""),"",UPPER(B580)&amp;TEXT(C580,"00")&amp;"-"&amp;D580&amp;"-"&amp;TEXT(E580,"00"))</f>
        <v/>
      </c>
      <c r="B580" s="12"/>
      <c r="C580" s="12"/>
      <c r="D580" s="12"/>
      <c r="E580" s="12"/>
      <c r="F580" s="16" t="str">
        <f aca="false">IF(B580="","",IFERROR(INDEX(Zones!$B$2:$B$15,MATCH(B580,Zones!$A$2:$A$15,0)),"⚠ zone inconnue"))</f>
        <v/>
      </c>
      <c r="G580" s="12"/>
      <c r="H580" s="12"/>
      <c r="I580" s="12"/>
      <c r="J580" s="12"/>
    </row>
    <row r="581" customFormat="false" ht="15" hidden="false" customHeight="false" outlineLevel="0" collapsed="false">
      <c r="A581" s="14" t="str">
        <f aca="false">IF(OR(B581="",C581="",D581="",E581=""),"",UPPER(B581)&amp;TEXT(C581,"00")&amp;"-"&amp;D581&amp;"-"&amp;TEXT(E581,"00"))</f>
        <v/>
      </c>
      <c r="B581" s="12"/>
      <c r="C581" s="12"/>
      <c r="D581" s="12"/>
      <c r="E581" s="12"/>
      <c r="F581" s="16" t="str">
        <f aca="false">IF(B581="","",IFERROR(INDEX(Zones!$B$2:$B$15,MATCH(B581,Zones!$A$2:$A$15,0)),"⚠ zone inconnue"))</f>
        <v/>
      </c>
      <c r="G581" s="12"/>
      <c r="H581" s="12"/>
      <c r="I581" s="12"/>
      <c r="J581" s="12"/>
    </row>
    <row r="582" customFormat="false" ht="15" hidden="false" customHeight="false" outlineLevel="0" collapsed="false">
      <c r="A582" s="14" t="str">
        <f aca="false">IF(OR(B582="",C582="",D582="",E582=""),"",UPPER(B582)&amp;TEXT(C582,"00")&amp;"-"&amp;D582&amp;"-"&amp;TEXT(E582,"00"))</f>
        <v/>
      </c>
      <c r="B582" s="12"/>
      <c r="C582" s="12"/>
      <c r="D582" s="12"/>
      <c r="E582" s="12"/>
      <c r="F582" s="16" t="str">
        <f aca="false">IF(B582="","",IFERROR(INDEX(Zones!$B$2:$B$15,MATCH(B582,Zones!$A$2:$A$15,0)),"⚠ zone inconnue"))</f>
        <v/>
      </c>
      <c r="G582" s="12"/>
      <c r="H582" s="12"/>
      <c r="I582" s="12"/>
      <c r="J582" s="12"/>
    </row>
    <row r="583" customFormat="false" ht="15" hidden="false" customHeight="false" outlineLevel="0" collapsed="false">
      <c r="A583" s="14" t="str">
        <f aca="false">IF(OR(B583="",C583="",D583="",E583=""),"",UPPER(B583)&amp;TEXT(C583,"00")&amp;"-"&amp;D583&amp;"-"&amp;TEXT(E583,"00"))</f>
        <v/>
      </c>
      <c r="B583" s="12"/>
      <c r="C583" s="12"/>
      <c r="D583" s="12"/>
      <c r="E583" s="12"/>
      <c r="F583" s="16" t="str">
        <f aca="false">IF(B583="","",IFERROR(INDEX(Zones!$B$2:$B$15,MATCH(B583,Zones!$A$2:$A$15,0)),"⚠ zone inconnue"))</f>
        <v/>
      </c>
      <c r="G583" s="12"/>
      <c r="H583" s="12"/>
      <c r="I583" s="12"/>
      <c r="J583" s="12"/>
    </row>
    <row r="584" customFormat="false" ht="15" hidden="false" customHeight="false" outlineLevel="0" collapsed="false">
      <c r="A584" s="14" t="str">
        <f aca="false">IF(OR(B584="",C584="",D584="",E584=""),"",UPPER(B584)&amp;TEXT(C584,"00")&amp;"-"&amp;D584&amp;"-"&amp;TEXT(E584,"00"))</f>
        <v/>
      </c>
      <c r="B584" s="12"/>
      <c r="C584" s="12"/>
      <c r="D584" s="12"/>
      <c r="E584" s="12"/>
      <c r="F584" s="16" t="str">
        <f aca="false">IF(B584="","",IFERROR(INDEX(Zones!$B$2:$B$15,MATCH(B584,Zones!$A$2:$A$15,0)),"⚠ zone inconnue"))</f>
        <v/>
      </c>
      <c r="G584" s="12"/>
      <c r="H584" s="12"/>
      <c r="I584" s="12"/>
      <c r="J584" s="12"/>
    </row>
    <row r="585" customFormat="false" ht="15" hidden="false" customHeight="false" outlineLevel="0" collapsed="false">
      <c r="A585" s="14" t="str">
        <f aca="false">IF(OR(B585="",C585="",D585="",E585=""),"",UPPER(B585)&amp;TEXT(C585,"00")&amp;"-"&amp;D585&amp;"-"&amp;TEXT(E585,"00"))</f>
        <v/>
      </c>
      <c r="B585" s="12"/>
      <c r="C585" s="12"/>
      <c r="D585" s="12"/>
      <c r="E585" s="12"/>
      <c r="F585" s="16" t="str">
        <f aca="false">IF(B585="","",IFERROR(INDEX(Zones!$B$2:$B$15,MATCH(B585,Zones!$A$2:$A$15,0)),"⚠ zone inconnue"))</f>
        <v/>
      </c>
      <c r="G585" s="12"/>
      <c r="H585" s="12"/>
      <c r="I585" s="12"/>
      <c r="J585" s="12"/>
    </row>
    <row r="586" customFormat="false" ht="15" hidden="false" customHeight="false" outlineLevel="0" collapsed="false">
      <c r="A586" s="14" t="str">
        <f aca="false">IF(OR(B586="",C586="",D586="",E586=""),"",UPPER(B586)&amp;TEXT(C586,"00")&amp;"-"&amp;D586&amp;"-"&amp;TEXT(E586,"00"))</f>
        <v/>
      </c>
      <c r="B586" s="12"/>
      <c r="C586" s="12"/>
      <c r="D586" s="12"/>
      <c r="E586" s="12"/>
      <c r="F586" s="16" t="str">
        <f aca="false">IF(B586="","",IFERROR(INDEX(Zones!$B$2:$B$15,MATCH(B586,Zones!$A$2:$A$15,0)),"⚠ zone inconnue"))</f>
        <v/>
      </c>
      <c r="G586" s="12"/>
      <c r="H586" s="12"/>
      <c r="I586" s="12"/>
      <c r="J586" s="12"/>
    </row>
    <row r="587" customFormat="false" ht="15" hidden="false" customHeight="false" outlineLevel="0" collapsed="false">
      <c r="A587" s="14" t="str">
        <f aca="false">IF(OR(B587="",C587="",D587="",E587=""),"",UPPER(B587)&amp;TEXT(C587,"00")&amp;"-"&amp;D587&amp;"-"&amp;TEXT(E587,"00"))</f>
        <v/>
      </c>
      <c r="B587" s="12"/>
      <c r="C587" s="12"/>
      <c r="D587" s="12"/>
      <c r="E587" s="12"/>
      <c r="F587" s="16" t="str">
        <f aca="false">IF(B587="","",IFERROR(INDEX(Zones!$B$2:$B$15,MATCH(B587,Zones!$A$2:$A$15,0)),"⚠ zone inconnue"))</f>
        <v/>
      </c>
      <c r="G587" s="12"/>
      <c r="H587" s="12"/>
      <c r="I587" s="12"/>
      <c r="J587" s="12"/>
    </row>
    <row r="588" customFormat="false" ht="15" hidden="false" customHeight="false" outlineLevel="0" collapsed="false">
      <c r="A588" s="14" t="str">
        <f aca="false">IF(OR(B588="",C588="",D588="",E588=""),"",UPPER(B588)&amp;TEXT(C588,"00")&amp;"-"&amp;D588&amp;"-"&amp;TEXT(E588,"00"))</f>
        <v/>
      </c>
      <c r="B588" s="12"/>
      <c r="C588" s="12"/>
      <c r="D588" s="12"/>
      <c r="E588" s="12"/>
      <c r="F588" s="16" t="str">
        <f aca="false">IF(B588="","",IFERROR(INDEX(Zones!$B$2:$B$15,MATCH(B588,Zones!$A$2:$A$15,0)),"⚠ zone inconnue"))</f>
        <v/>
      </c>
      <c r="G588" s="12"/>
      <c r="H588" s="12"/>
      <c r="I588" s="12"/>
      <c r="J588" s="12"/>
    </row>
    <row r="589" customFormat="false" ht="15" hidden="false" customHeight="false" outlineLevel="0" collapsed="false">
      <c r="A589" s="14" t="str">
        <f aca="false">IF(OR(B589="",C589="",D589="",E589=""),"",UPPER(B589)&amp;TEXT(C589,"00")&amp;"-"&amp;D589&amp;"-"&amp;TEXT(E589,"00"))</f>
        <v/>
      </c>
      <c r="B589" s="12"/>
      <c r="C589" s="12"/>
      <c r="D589" s="12"/>
      <c r="E589" s="12"/>
      <c r="F589" s="16" t="str">
        <f aca="false">IF(B589="","",IFERROR(INDEX(Zones!$B$2:$B$15,MATCH(B589,Zones!$A$2:$A$15,0)),"⚠ zone inconnue"))</f>
        <v/>
      </c>
      <c r="G589" s="12"/>
      <c r="H589" s="12"/>
      <c r="I589" s="12"/>
      <c r="J589" s="12"/>
    </row>
    <row r="590" customFormat="false" ht="15" hidden="false" customHeight="false" outlineLevel="0" collapsed="false">
      <c r="A590" s="14" t="str">
        <f aca="false">IF(OR(B590="",C590="",D590="",E590=""),"",UPPER(B590)&amp;TEXT(C590,"00")&amp;"-"&amp;D590&amp;"-"&amp;TEXT(E590,"00"))</f>
        <v/>
      </c>
      <c r="B590" s="12"/>
      <c r="C590" s="12"/>
      <c r="D590" s="12"/>
      <c r="E590" s="12"/>
      <c r="F590" s="16" t="str">
        <f aca="false">IF(B590="","",IFERROR(INDEX(Zones!$B$2:$B$15,MATCH(B590,Zones!$A$2:$A$15,0)),"⚠ zone inconnue"))</f>
        <v/>
      </c>
      <c r="G590" s="12"/>
      <c r="H590" s="12"/>
      <c r="I590" s="12"/>
      <c r="J590" s="12"/>
    </row>
    <row r="591" customFormat="false" ht="15" hidden="false" customHeight="false" outlineLevel="0" collapsed="false">
      <c r="A591" s="14" t="str">
        <f aca="false">IF(OR(B591="",C591="",D591="",E591=""),"",UPPER(B591)&amp;TEXT(C591,"00")&amp;"-"&amp;D591&amp;"-"&amp;TEXT(E591,"00"))</f>
        <v/>
      </c>
      <c r="B591" s="12"/>
      <c r="C591" s="12"/>
      <c r="D591" s="12"/>
      <c r="E591" s="12"/>
      <c r="F591" s="16" t="str">
        <f aca="false">IF(B591="","",IFERROR(INDEX(Zones!$B$2:$B$15,MATCH(B591,Zones!$A$2:$A$15,0)),"⚠ zone inconnue"))</f>
        <v/>
      </c>
      <c r="G591" s="12"/>
      <c r="H591" s="12"/>
      <c r="I591" s="12"/>
      <c r="J591" s="12"/>
    </row>
    <row r="592" customFormat="false" ht="15" hidden="false" customHeight="false" outlineLevel="0" collapsed="false">
      <c r="A592" s="14" t="str">
        <f aca="false">IF(OR(B592="",C592="",D592="",E592=""),"",UPPER(B592)&amp;TEXT(C592,"00")&amp;"-"&amp;D592&amp;"-"&amp;TEXT(E592,"00"))</f>
        <v/>
      </c>
      <c r="B592" s="12"/>
      <c r="C592" s="12"/>
      <c r="D592" s="12"/>
      <c r="E592" s="12"/>
      <c r="F592" s="16" t="str">
        <f aca="false">IF(B592="","",IFERROR(INDEX(Zones!$B$2:$B$15,MATCH(B592,Zones!$A$2:$A$15,0)),"⚠ zone inconnue"))</f>
        <v/>
      </c>
      <c r="G592" s="12"/>
      <c r="H592" s="12"/>
      <c r="I592" s="12"/>
      <c r="J592" s="12"/>
    </row>
    <row r="593" customFormat="false" ht="15" hidden="false" customHeight="false" outlineLevel="0" collapsed="false">
      <c r="A593" s="14" t="str">
        <f aca="false">IF(OR(B593="",C593="",D593="",E593=""),"",UPPER(B593)&amp;TEXT(C593,"00")&amp;"-"&amp;D593&amp;"-"&amp;TEXT(E593,"00"))</f>
        <v/>
      </c>
      <c r="B593" s="12"/>
      <c r="C593" s="12"/>
      <c r="D593" s="12"/>
      <c r="E593" s="12"/>
      <c r="F593" s="16" t="str">
        <f aca="false">IF(B593="","",IFERROR(INDEX(Zones!$B$2:$B$15,MATCH(B593,Zones!$A$2:$A$15,0)),"⚠ zone inconnue"))</f>
        <v/>
      </c>
      <c r="G593" s="12"/>
      <c r="H593" s="12"/>
      <c r="I593" s="12"/>
      <c r="J593" s="12"/>
    </row>
    <row r="594" customFormat="false" ht="15" hidden="false" customHeight="false" outlineLevel="0" collapsed="false">
      <c r="A594" s="14" t="str">
        <f aca="false">IF(OR(B594="",C594="",D594="",E594=""),"",UPPER(B594)&amp;TEXT(C594,"00")&amp;"-"&amp;D594&amp;"-"&amp;TEXT(E594,"00"))</f>
        <v/>
      </c>
      <c r="B594" s="12"/>
      <c r="C594" s="12"/>
      <c r="D594" s="12"/>
      <c r="E594" s="12"/>
      <c r="F594" s="16" t="str">
        <f aca="false">IF(B594="","",IFERROR(INDEX(Zones!$B$2:$B$15,MATCH(B594,Zones!$A$2:$A$15,0)),"⚠ zone inconnue"))</f>
        <v/>
      </c>
      <c r="G594" s="12"/>
      <c r="H594" s="12"/>
      <c r="I594" s="12"/>
      <c r="J594" s="12"/>
    </row>
    <row r="595" customFormat="false" ht="15" hidden="false" customHeight="false" outlineLevel="0" collapsed="false">
      <c r="A595" s="14" t="str">
        <f aca="false">IF(OR(B595="",C595="",D595="",E595=""),"",UPPER(B595)&amp;TEXT(C595,"00")&amp;"-"&amp;D595&amp;"-"&amp;TEXT(E595,"00"))</f>
        <v/>
      </c>
      <c r="B595" s="12"/>
      <c r="C595" s="12"/>
      <c r="D595" s="12"/>
      <c r="E595" s="12"/>
      <c r="F595" s="16" t="str">
        <f aca="false">IF(B595="","",IFERROR(INDEX(Zones!$B$2:$B$15,MATCH(B595,Zones!$A$2:$A$15,0)),"⚠ zone inconnue"))</f>
        <v/>
      </c>
      <c r="G595" s="12"/>
      <c r="H595" s="12"/>
      <c r="I595" s="12"/>
      <c r="J595" s="12"/>
    </row>
    <row r="596" customFormat="false" ht="15" hidden="false" customHeight="false" outlineLevel="0" collapsed="false">
      <c r="A596" s="14" t="str">
        <f aca="false">IF(OR(B596="",C596="",D596="",E596=""),"",UPPER(B596)&amp;TEXT(C596,"00")&amp;"-"&amp;D596&amp;"-"&amp;TEXT(E596,"00"))</f>
        <v/>
      </c>
      <c r="B596" s="12"/>
      <c r="C596" s="12"/>
      <c r="D596" s="12"/>
      <c r="E596" s="12"/>
      <c r="F596" s="16" t="str">
        <f aca="false">IF(B596="","",IFERROR(INDEX(Zones!$B$2:$B$15,MATCH(B596,Zones!$A$2:$A$15,0)),"⚠ zone inconnue"))</f>
        <v/>
      </c>
      <c r="G596" s="12"/>
      <c r="H596" s="12"/>
      <c r="I596" s="12"/>
      <c r="J596" s="12"/>
    </row>
    <row r="597" customFormat="false" ht="15" hidden="false" customHeight="false" outlineLevel="0" collapsed="false">
      <c r="A597" s="14" t="str">
        <f aca="false">IF(OR(B597="",C597="",D597="",E597=""),"",UPPER(B597)&amp;TEXT(C597,"00")&amp;"-"&amp;D597&amp;"-"&amp;TEXT(E597,"00"))</f>
        <v/>
      </c>
      <c r="B597" s="12"/>
      <c r="C597" s="12"/>
      <c r="D597" s="12"/>
      <c r="E597" s="12"/>
      <c r="F597" s="16" t="str">
        <f aca="false">IF(B597="","",IFERROR(INDEX(Zones!$B$2:$B$15,MATCH(B597,Zones!$A$2:$A$15,0)),"⚠ zone inconnue"))</f>
        <v/>
      </c>
      <c r="G597" s="12"/>
      <c r="H597" s="12"/>
      <c r="I597" s="12"/>
      <c r="J597" s="12"/>
    </row>
    <row r="598" customFormat="false" ht="15" hidden="false" customHeight="false" outlineLevel="0" collapsed="false">
      <c r="A598" s="14" t="str">
        <f aca="false">IF(OR(B598="",C598="",D598="",E598=""),"",UPPER(B598)&amp;TEXT(C598,"00")&amp;"-"&amp;D598&amp;"-"&amp;TEXT(E598,"00"))</f>
        <v/>
      </c>
      <c r="B598" s="12"/>
      <c r="C598" s="12"/>
      <c r="D598" s="12"/>
      <c r="E598" s="12"/>
      <c r="F598" s="16" t="str">
        <f aca="false">IF(B598="","",IFERROR(INDEX(Zones!$B$2:$B$15,MATCH(B598,Zones!$A$2:$A$15,0)),"⚠ zone inconnue"))</f>
        <v/>
      </c>
      <c r="G598" s="12"/>
      <c r="H598" s="12"/>
      <c r="I598" s="12"/>
      <c r="J598" s="12"/>
    </row>
    <row r="599" customFormat="false" ht="15" hidden="false" customHeight="false" outlineLevel="0" collapsed="false">
      <c r="A599" s="14" t="str">
        <f aca="false">IF(OR(B599="",C599="",D599="",E599=""),"",UPPER(B599)&amp;TEXT(C599,"00")&amp;"-"&amp;D599&amp;"-"&amp;TEXT(E599,"00"))</f>
        <v/>
      </c>
      <c r="B599" s="12"/>
      <c r="C599" s="12"/>
      <c r="D599" s="12"/>
      <c r="E599" s="12"/>
      <c r="F599" s="16" t="str">
        <f aca="false">IF(B599="","",IFERROR(INDEX(Zones!$B$2:$B$15,MATCH(B599,Zones!$A$2:$A$15,0)),"⚠ zone inconnue"))</f>
        <v/>
      </c>
      <c r="G599" s="12"/>
      <c r="H599" s="12"/>
      <c r="I599" s="12"/>
      <c r="J599" s="12"/>
    </row>
    <row r="600" customFormat="false" ht="15" hidden="false" customHeight="false" outlineLevel="0" collapsed="false">
      <c r="A600" s="14" t="str">
        <f aca="false">IF(OR(B600="",C600="",D600="",E600=""),"",UPPER(B600)&amp;TEXT(C600,"00")&amp;"-"&amp;D600&amp;"-"&amp;TEXT(E600,"00"))</f>
        <v/>
      </c>
      <c r="B600" s="12"/>
      <c r="C600" s="12"/>
      <c r="D600" s="12"/>
      <c r="E600" s="12"/>
      <c r="F600" s="16" t="str">
        <f aca="false">IF(B600="","",IFERROR(INDEX(Zones!$B$2:$B$15,MATCH(B600,Zones!$A$2:$A$15,0)),"⚠ zone inconnue"))</f>
        <v/>
      </c>
      <c r="G600" s="12"/>
      <c r="H600" s="12"/>
      <c r="I600" s="12"/>
      <c r="J600" s="12"/>
    </row>
    <row r="601" customFormat="false" ht="15" hidden="false" customHeight="false" outlineLevel="0" collapsed="false">
      <c r="A601" s="14" t="str">
        <f aca="false">IF(OR(B601="",C601="",D601="",E601=""),"",UPPER(B601)&amp;TEXT(C601,"00")&amp;"-"&amp;D601&amp;"-"&amp;TEXT(E601,"00"))</f>
        <v/>
      </c>
      <c r="B601" s="12"/>
      <c r="C601" s="12"/>
      <c r="D601" s="12"/>
      <c r="E601" s="12"/>
      <c r="F601" s="16" t="str">
        <f aca="false">IF(B601="","",IFERROR(INDEX(Zones!$B$2:$B$15,MATCH(B601,Zones!$A$2:$A$15,0)),"⚠ zone inconnue"))</f>
        <v/>
      </c>
      <c r="G601" s="12"/>
      <c r="H601" s="12"/>
      <c r="I601" s="12"/>
      <c r="J601" s="12"/>
    </row>
    <row r="602" customFormat="false" ht="15" hidden="false" customHeight="false" outlineLevel="0" collapsed="false">
      <c r="A602" s="14" t="str">
        <f aca="false">IF(OR(B602="",C602="",D602="",E602=""),"",UPPER(B602)&amp;TEXT(C602,"00")&amp;"-"&amp;D602&amp;"-"&amp;TEXT(E602,"00"))</f>
        <v/>
      </c>
      <c r="B602" s="12"/>
      <c r="C602" s="12"/>
      <c r="D602" s="12"/>
      <c r="E602" s="12"/>
      <c r="F602" s="16" t="str">
        <f aca="false">IF(B602="","",IFERROR(INDEX(Zones!$B$2:$B$15,MATCH(B602,Zones!$A$2:$A$15,0)),"⚠ zone inconnue"))</f>
        <v/>
      </c>
      <c r="G602" s="12"/>
      <c r="H602" s="12"/>
      <c r="I602" s="12"/>
      <c r="J602" s="12"/>
    </row>
    <row r="603" customFormat="false" ht="15" hidden="false" customHeight="false" outlineLevel="0" collapsed="false">
      <c r="A603" s="14" t="str">
        <f aca="false">IF(OR(B603="",C603="",D603="",E603=""),"",UPPER(B603)&amp;TEXT(C603,"00")&amp;"-"&amp;D603&amp;"-"&amp;TEXT(E603,"00"))</f>
        <v/>
      </c>
      <c r="B603" s="12"/>
      <c r="C603" s="12"/>
      <c r="D603" s="12"/>
      <c r="E603" s="12"/>
      <c r="F603" s="16" t="str">
        <f aca="false">IF(B603="","",IFERROR(INDEX(Zones!$B$2:$B$15,MATCH(B603,Zones!$A$2:$A$15,0)),"⚠ zone inconnue"))</f>
        <v/>
      </c>
      <c r="G603" s="12"/>
      <c r="H603" s="12"/>
      <c r="I603" s="12"/>
      <c r="J603" s="12"/>
    </row>
    <row r="604" customFormat="false" ht="15" hidden="false" customHeight="false" outlineLevel="0" collapsed="false">
      <c r="A604" s="14" t="str">
        <f aca="false">IF(OR(B604="",C604="",D604="",E604=""),"",UPPER(B604)&amp;TEXT(C604,"00")&amp;"-"&amp;D604&amp;"-"&amp;TEXT(E604,"00"))</f>
        <v/>
      </c>
      <c r="B604" s="12"/>
      <c r="C604" s="12"/>
      <c r="D604" s="12"/>
      <c r="E604" s="12"/>
      <c r="F604" s="16" t="str">
        <f aca="false">IF(B604="","",IFERROR(INDEX(Zones!$B$2:$B$15,MATCH(B604,Zones!$A$2:$A$15,0)),"⚠ zone inconnue"))</f>
        <v/>
      </c>
      <c r="G604" s="12"/>
      <c r="H604" s="12"/>
      <c r="I604" s="12"/>
      <c r="J604" s="12"/>
    </row>
    <row r="605" customFormat="false" ht="15" hidden="false" customHeight="false" outlineLevel="0" collapsed="false">
      <c r="A605" s="14" t="str">
        <f aca="false">IF(OR(B605="",C605="",D605="",E605=""),"",UPPER(B605)&amp;TEXT(C605,"00")&amp;"-"&amp;D605&amp;"-"&amp;TEXT(E605,"00"))</f>
        <v/>
      </c>
      <c r="B605" s="12"/>
      <c r="C605" s="12"/>
      <c r="D605" s="12"/>
      <c r="E605" s="12"/>
      <c r="F605" s="16" t="str">
        <f aca="false">IF(B605="","",IFERROR(INDEX(Zones!$B$2:$B$15,MATCH(B605,Zones!$A$2:$A$15,0)),"⚠ zone inconnue"))</f>
        <v/>
      </c>
      <c r="G605" s="12"/>
      <c r="H605" s="12"/>
      <c r="I605" s="12"/>
      <c r="J605" s="12"/>
    </row>
    <row r="606" customFormat="false" ht="15" hidden="false" customHeight="false" outlineLevel="0" collapsed="false">
      <c r="A606" s="14" t="str">
        <f aca="false">IF(OR(B606="",C606="",D606="",E606=""),"",UPPER(B606)&amp;TEXT(C606,"00")&amp;"-"&amp;D606&amp;"-"&amp;TEXT(E606,"00"))</f>
        <v/>
      </c>
      <c r="B606" s="12"/>
      <c r="C606" s="12"/>
      <c r="D606" s="12"/>
      <c r="E606" s="12"/>
      <c r="F606" s="16" t="str">
        <f aca="false">IF(B606="","",IFERROR(INDEX(Zones!$B$2:$B$15,MATCH(B606,Zones!$A$2:$A$15,0)),"⚠ zone inconnue"))</f>
        <v/>
      </c>
      <c r="G606" s="12"/>
      <c r="H606" s="12"/>
      <c r="I606" s="12"/>
      <c r="J606" s="12"/>
    </row>
    <row r="607" customFormat="false" ht="15" hidden="false" customHeight="false" outlineLevel="0" collapsed="false">
      <c r="A607" s="14" t="str">
        <f aca="false">IF(OR(B607="",C607="",D607="",E607=""),"",UPPER(B607)&amp;TEXT(C607,"00")&amp;"-"&amp;D607&amp;"-"&amp;TEXT(E607,"00"))</f>
        <v/>
      </c>
      <c r="B607" s="12"/>
      <c r="C607" s="12"/>
      <c r="D607" s="12"/>
      <c r="E607" s="12"/>
      <c r="F607" s="16" t="str">
        <f aca="false">IF(B607="","",IFERROR(INDEX(Zones!$B$2:$B$15,MATCH(B607,Zones!$A$2:$A$15,0)),"⚠ zone inconnue"))</f>
        <v/>
      </c>
      <c r="G607" s="12"/>
      <c r="H607" s="12"/>
      <c r="I607" s="12"/>
      <c r="J607" s="12"/>
    </row>
    <row r="608" customFormat="false" ht="15" hidden="false" customHeight="false" outlineLevel="0" collapsed="false">
      <c r="A608" s="14" t="str">
        <f aca="false">IF(OR(B608="",C608="",D608="",E608=""),"",UPPER(B608)&amp;TEXT(C608,"00")&amp;"-"&amp;D608&amp;"-"&amp;TEXT(E608,"00"))</f>
        <v/>
      </c>
      <c r="B608" s="12"/>
      <c r="C608" s="12"/>
      <c r="D608" s="12"/>
      <c r="E608" s="12"/>
      <c r="F608" s="16" t="str">
        <f aca="false">IF(B608="","",IFERROR(INDEX(Zones!$B$2:$B$15,MATCH(B608,Zones!$A$2:$A$15,0)),"⚠ zone inconnue"))</f>
        <v/>
      </c>
      <c r="G608" s="12"/>
      <c r="H608" s="12"/>
      <c r="I608" s="12"/>
      <c r="J608" s="12"/>
    </row>
    <row r="609" customFormat="false" ht="15" hidden="false" customHeight="false" outlineLevel="0" collapsed="false">
      <c r="A609" s="14" t="str">
        <f aca="false">IF(OR(B609="",C609="",D609="",E609=""),"",UPPER(B609)&amp;TEXT(C609,"00")&amp;"-"&amp;D609&amp;"-"&amp;TEXT(E609,"00"))</f>
        <v/>
      </c>
      <c r="B609" s="12"/>
      <c r="C609" s="12"/>
      <c r="D609" s="12"/>
      <c r="E609" s="12"/>
      <c r="F609" s="16" t="str">
        <f aca="false">IF(B609="","",IFERROR(INDEX(Zones!$B$2:$B$15,MATCH(B609,Zones!$A$2:$A$15,0)),"⚠ zone inconnue"))</f>
        <v/>
      </c>
      <c r="G609" s="12"/>
      <c r="H609" s="12"/>
      <c r="I609" s="12"/>
      <c r="J609" s="12"/>
    </row>
    <row r="610" customFormat="false" ht="15" hidden="false" customHeight="false" outlineLevel="0" collapsed="false">
      <c r="A610" s="14" t="str">
        <f aca="false">IF(OR(B610="",C610="",D610="",E610=""),"",UPPER(B610)&amp;TEXT(C610,"00")&amp;"-"&amp;D610&amp;"-"&amp;TEXT(E610,"00"))</f>
        <v/>
      </c>
      <c r="B610" s="12"/>
      <c r="C610" s="12"/>
      <c r="D610" s="12"/>
      <c r="E610" s="12"/>
      <c r="F610" s="16" t="str">
        <f aca="false">IF(B610="","",IFERROR(INDEX(Zones!$B$2:$B$15,MATCH(B610,Zones!$A$2:$A$15,0)),"⚠ zone inconnue"))</f>
        <v/>
      </c>
      <c r="G610" s="12"/>
      <c r="H610" s="12"/>
      <c r="I610" s="12"/>
      <c r="J610" s="12"/>
    </row>
    <row r="611" customFormat="false" ht="15" hidden="false" customHeight="false" outlineLevel="0" collapsed="false">
      <c r="A611" s="14" t="str">
        <f aca="false">IF(OR(B611="",C611="",D611="",E611=""),"",UPPER(B611)&amp;TEXT(C611,"00")&amp;"-"&amp;D611&amp;"-"&amp;TEXT(E611,"00"))</f>
        <v/>
      </c>
      <c r="B611" s="12"/>
      <c r="C611" s="12"/>
      <c r="D611" s="12"/>
      <c r="E611" s="12"/>
      <c r="F611" s="16" t="str">
        <f aca="false">IF(B611="","",IFERROR(INDEX(Zones!$B$2:$B$15,MATCH(B611,Zones!$A$2:$A$15,0)),"⚠ zone inconnue"))</f>
        <v/>
      </c>
      <c r="G611" s="12"/>
      <c r="H611" s="12"/>
      <c r="I611" s="12"/>
      <c r="J611" s="12"/>
    </row>
    <row r="612" customFormat="false" ht="15" hidden="false" customHeight="false" outlineLevel="0" collapsed="false">
      <c r="A612" s="14" t="str">
        <f aca="false">IF(OR(B612="",C612="",D612="",E612=""),"",UPPER(B612)&amp;TEXT(C612,"00")&amp;"-"&amp;D612&amp;"-"&amp;TEXT(E612,"00"))</f>
        <v/>
      </c>
      <c r="B612" s="12"/>
      <c r="C612" s="12"/>
      <c r="D612" s="12"/>
      <c r="E612" s="12"/>
      <c r="F612" s="16" t="str">
        <f aca="false">IF(B612="","",IFERROR(INDEX(Zones!$B$2:$B$15,MATCH(B612,Zones!$A$2:$A$15,0)),"⚠ zone inconnue"))</f>
        <v/>
      </c>
      <c r="G612" s="12"/>
      <c r="H612" s="12"/>
      <c r="I612" s="12"/>
      <c r="J612" s="12"/>
    </row>
    <row r="613" customFormat="false" ht="15" hidden="false" customHeight="false" outlineLevel="0" collapsed="false">
      <c r="A613" s="14" t="str">
        <f aca="false">IF(OR(B613="",C613="",D613="",E613=""),"",UPPER(B613)&amp;TEXT(C613,"00")&amp;"-"&amp;D613&amp;"-"&amp;TEXT(E613,"00"))</f>
        <v/>
      </c>
      <c r="B613" s="12"/>
      <c r="C613" s="12"/>
      <c r="D613" s="12"/>
      <c r="E613" s="12"/>
      <c r="F613" s="16" t="str">
        <f aca="false">IF(B613="","",IFERROR(INDEX(Zones!$B$2:$B$15,MATCH(B613,Zones!$A$2:$A$15,0)),"⚠ zone inconnue"))</f>
        <v/>
      </c>
      <c r="G613" s="12"/>
      <c r="H613" s="12"/>
      <c r="I613" s="12"/>
      <c r="J613" s="12"/>
    </row>
    <row r="614" customFormat="false" ht="15" hidden="false" customHeight="false" outlineLevel="0" collapsed="false">
      <c r="A614" s="14" t="str">
        <f aca="false">IF(OR(B614="",C614="",D614="",E614=""),"",UPPER(B614)&amp;TEXT(C614,"00")&amp;"-"&amp;D614&amp;"-"&amp;TEXT(E614,"00"))</f>
        <v/>
      </c>
      <c r="B614" s="12"/>
      <c r="C614" s="12"/>
      <c r="D614" s="12"/>
      <c r="E614" s="12"/>
      <c r="F614" s="16" t="str">
        <f aca="false">IF(B614="","",IFERROR(INDEX(Zones!$B$2:$B$15,MATCH(B614,Zones!$A$2:$A$15,0)),"⚠ zone inconnue"))</f>
        <v/>
      </c>
      <c r="G614" s="12"/>
      <c r="H614" s="12"/>
      <c r="I614" s="12"/>
      <c r="J614" s="12"/>
    </row>
    <row r="615" customFormat="false" ht="15" hidden="false" customHeight="false" outlineLevel="0" collapsed="false">
      <c r="A615" s="14" t="str">
        <f aca="false">IF(OR(B615="",C615="",D615="",E615=""),"",UPPER(B615)&amp;TEXT(C615,"00")&amp;"-"&amp;D615&amp;"-"&amp;TEXT(E615,"00"))</f>
        <v/>
      </c>
      <c r="B615" s="12"/>
      <c r="C615" s="12"/>
      <c r="D615" s="12"/>
      <c r="E615" s="12"/>
      <c r="F615" s="16" t="str">
        <f aca="false">IF(B615="","",IFERROR(INDEX(Zones!$B$2:$B$15,MATCH(B615,Zones!$A$2:$A$15,0)),"⚠ zone inconnue"))</f>
        <v/>
      </c>
      <c r="G615" s="12"/>
      <c r="H615" s="12"/>
      <c r="I615" s="12"/>
      <c r="J615" s="12"/>
    </row>
    <row r="616" customFormat="false" ht="15" hidden="false" customHeight="false" outlineLevel="0" collapsed="false">
      <c r="A616" s="14" t="str">
        <f aca="false">IF(OR(B616="",C616="",D616="",E616=""),"",UPPER(B616)&amp;TEXT(C616,"00")&amp;"-"&amp;D616&amp;"-"&amp;TEXT(E616,"00"))</f>
        <v/>
      </c>
      <c r="B616" s="12"/>
      <c r="C616" s="12"/>
      <c r="D616" s="12"/>
      <c r="E616" s="12"/>
      <c r="F616" s="16" t="str">
        <f aca="false">IF(B616="","",IFERROR(INDEX(Zones!$B$2:$B$15,MATCH(B616,Zones!$A$2:$A$15,0)),"⚠ zone inconnue"))</f>
        <v/>
      </c>
      <c r="G616" s="12"/>
      <c r="H616" s="12"/>
      <c r="I616" s="12"/>
      <c r="J616" s="12"/>
    </row>
    <row r="617" customFormat="false" ht="15" hidden="false" customHeight="false" outlineLevel="0" collapsed="false">
      <c r="A617" s="14" t="str">
        <f aca="false">IF(OR(B617="",C617="",D617="",E617=""),"",UPPER(B617)&amp;TEXT(C617,"00")&amp;"-"&amp;D617&amp;"-"&amp;TEXT(E617,"00"))</f>
        <v/>
      </c>
      <c r="B617" s="12"/>
      <c r="C617" s="12"/>
      <c r="D617" s="12"/>
      <c r="E617" s="12"/>
      <c r="F617" s="16" t="str">
        <f aca="false">IF(B617="","",IFERROR(INDEX(Zones!$B$2:$B$15,MATCH(B617,Zones!$A$2:$A$15,0)),"⚠ zone inconnue"))</f>
        <v/>
      </c>
      <c r="G617" s="12"/>
      <c r="H617" s="12"/>
      <c r="I617" s="12"/>
      <c r="J617" s="12"/>
    </row>
    <row r="618" customFormat="false" ht="15" hidden="false" customHeight="false" outlineLevel="0" collapsed="false">
      <c r="A618" s="14" t="str">
        <f aca="false">IF(OR(B618="",C618="",D618="",E618=""),"",UPPER(B618)&amp;TEXT(C618,"00")&amp;"-"&amp;D618&amp;"-"&amp;TEXT(E618,"00"))</f>
        <v/>
      </c>
      <c r="B618" s="12"/>
      <c r="C618" s="12"/>
      <c r="D618" s="12"/>
      <c r="E618" s="12"/>
      <c r="F618" s="16" t="str">
        <f aca="false">IF(B618="","",IFERROR(INDEX(Zones!$B$2:$B$15,MATCH(B618,Zones!$A$2:$A$15,0)),"⚠ zone inconnue"))</f>
        <v/>
      </c>
      <c r="G618" s="12"/>
      <c r="H618" s="12"/>
      <c r="I618" s="12"/>
      <c r="J618" s="12"/>
    </row>
    <row r="619" customFormat="false" ht="15" hidden="false" customHeight="false" outlineLevel="0" collapsed="false">
      <c r="A619" s="14" t="str">
        <f aca="false">IF(OR(B619="",C619="",D619="",E619=""),"",UPPER(B619)&amp;TEXT(C619,"00")&amp;"-"&amp;D619&amp;"-"&amp;TEXT(E619,"00"))</f>
        <v/>
      </c>
      <c r="B619" s="12"/>
      <c r="C619" s="12"/>
      <c r="D619" s="12"/>
      <c r="E619" s="12"/>
      <c r="F619" s="16" t="str">
        <f aca="false">IF(B619="","",IFERROR(INDEX(Zones!$B$2:$B$15,MATCH(B619,Zones!$A$2:$A$15,0)),"⚠ zone inconnue"))</f>
        <v/>
      </c>
      <c r="G619" s="12"/>
      <c r="H619" s="12"/>
      <c r="I619" s="12"/>
      <c r="J619" s="12"/>
    </row>
    <row r="620" customFormat="false" ht="15" hidden="false" customHeight="false" outlineLevel="0" collapsed="false">
      <c r="A620" s="14" t="str">
        <f aca="false">IF(OR(B620="",C620="",D620="",E620=""),"",UPPER(B620)&amp;TEXT(C620,"00")&amp;"-"&amp;D620&amp;"-"&amp;TEXT(E620,"00"))</f>
        <v/>
      </c>
      <c r="B620" s="12"/>
      <c r="C620" s="12"/>
      <c r="D620" s="12"/>
      <c r="E620" s="12"/>
      <c r="F620" s="16" t="str">
        <f aca="false">IF(B620="","",IFERROR(INDEX(Zones!$B$2:$B$15,MATCH(B620,Zones!$A$2:$A$15,0)),"⚠ zone inconnue"))</f>
        <v/>
      </c>
      <c r="G620" s="12"/>
      <c r="H620" s="12"/>
      <c r="I620" s="12"/>
      <c r="J620" s="12"/>
    </row>
    <row r="621" customFormat="false" ht="15" hidden="false" customHeight="false" outlineLevel="0" collapsed="false">
      <c r="A621" s="14" t="str">
        <f aca="false">IF(OR(B621="",C621="",D621="",E621=""),"",UPPER(B621)&amp;TEXT(C621,"00")&amp;"-"&amp;D621&amp;"-"&amp;TEXT(E621,"00"))</f>
        <v/>
      </c>
      <c r="B621" s="12"/>
      <c r="C621" s="12"/>
      <c r="D621" s="12"/>
      <c r="E621" s="12"/>
      <c r="F621" s="16" t="str">
        <f aca="false">IF(B621="","",IFERROR(INDEX(Zones!$B$2:$B$15,MATCH(B621,Zones!$A$2:$A$15,0)),"⚠ zone inconnue"))</f>
        <v/>
      </c>
      <c r="G621" s="12"/>
      <c r="H621" s="12"/>
      <c r="I621" s="12"/>
      <c r="J621" s="12"/>
    </row>
    <row r="622" customFormat="false" ht="15" hidden="false" customHeight="false" outlineLevel="0" collapsed="false">
      <c r="A622" s="14" t="str">
        <f aca="false">IF(OR(B622="",C622="",D622="",E622=""),"",UPPER(B622)&amp;TEXT(C622,"00")&amp;"-"&amp;D622&amp;"-"&amp;TEXT(E622,"00"))</f>
        <v/>
      </c>
      <c r="B622" s="12"/>
      <c r="C622" s="12"/>
      <c r="D622" s="12"/>
      <c r="E622" s="12"/>
      <c r="F622" s="16" t="str">
        <f aca="false">IF(B622="","",IFERROR(INDEX(Zones!$B$2:$B$15,MATCH(B622,Zones!$A$2:$A$15,0)),"⚠ zone inconnue"))</f>
        <v/>
      </c>
      <c r="G622" s="12"/>
      <c r="H622" s="12"/>
      <c r="I622" s="12"/>
      <c r="J622" s="12"/>
    </row>
    <row r="623" customFormat="false" ht="15" hidden="false" customHeight="false" outlineLevel="0" collapsed="false">
      <c r="A623" s="14" t="str">
        <f aca="false">IF(OR(B623="",C623="",D623="",E623=""),"",UPPER(B623)&amp;TEXT(C623,"00")&amp;"-"&amp;D623&amp;"-"&amp;TEXT(E623,"00"))</f>
        <v/>
      </c>
      <c r="B623" s="12"/>
      <c r="C623" s="12"/>
      <c r="D623" s="12"/>
      <c r="E623" s="12"/>
      <c r="F623" s="16" t="str">
        <f aca="false">IF(B623="","",IFERROR(INDEX(Zones!$B$2:$B$15,MATCH(B623,Zones!$A$2:$A$15,0)),"⚠ zone inconnue"))</f>
        <v/>
      </c>
      <c r="G623" s="12"/>
      <c r="H623" s="12"/>
      <c r="I623" s="12"/>
      <c r="J623" s="12"/>
    </row>
    <row r="624" customFormat="false" ht="15" hidden="false" customHeight="false" outlineLevel="0" collapsed="false">
      <c r="A624" s="14" t="str">
        <f aca="false">IF(OR(B624="",C624="",D624="",E624=""),"",UPPER(B624)&amp;TEXT(C624,"00")&amp;"-"&amp;D624&amp;"-"&amp;TEXT(E624,"00"))</f>
        <v/>
      </c>
      <c r="B624" s="12"/>
      <c r="C624" s="12"/>
      <c r="D624" s="12"/>
      <c r="E624" s="12"/>
      <c r="F624" s="16" t="str">
        <f aca="false">IF(B624="","",IFERROR(INDEX(Zones!$B$2:$B$15,MATCH(B624,Zones!$A$2:$A$15,0)),"⚠ zone inconnue"))</f>
        <v/>
      </c>
      <c r="G624" s="12"/>
      <c r="H624" s="12"/>
      <c r="I624" s="12"/>
      <c r="J624" s="12"/>
    </row>
    <row r="625" customFormat="false" ht="15" hidden="false" customHeight="false" outlineLevel="0" collapsed="false">
      <c r="A625" s="14" t="str">
        <f aca="false">IF(OR(B625="",C625="",D625="",E625=""),"",UPPER(B625)&amp;TEXT(C625,"00")&amp;"-"&amp;D625&amp;"-"&amp;TEXT(E625,"00"))</f>
        <v/>
      </c>
      <c r="B625" s="12"/>
      <c r="C625" s="12"/>
      <c r="D625" s="12"/>
      <c r="E625" s="12"/>
      <c r="F625" s="16" t="str">
        <f aca="false">IF(B625="","",IFERROR(INDEX(Zones!$B$2:$B$15,MATCH(B625,Zones!$A$2:$A$15,0)),"⚠ zone inconnue"))</f>
        <v/>
      </c>
      <c r="G625" s="12"/>
      <c r="H625" s="12"/>
      <c r="I625" s="12"/>
      <c r="J625" s="12"/>
    </row>
    <row r="626" customFormat="false" ht="15" hidden="false" customHeight="false" outlineLevel="0" collapsed="false">
      <c r="A626" s="14" t="str">
        <f aca="false">IF(OR(B626="",C626="",D626="",E626=""),"",UPPER(B626)&amp;TEXT(C626,"00")&amp;"-"&amp;D626&amp;"-"&amp;TEXT(E626,"00"))</f>
        <v/>
      </c>
      <c r="B626" s="12"/>
      <c r="C626" s="12"/>
      <c r="D626" s="12"/>
      <c r="E626" s="12"/>
      <c r="F626" s="16" t="str">
        <f aca="false">IF(B626="","",IFERROR(INDEX(Zones!$B$2:$B$15,MATCH(B626,Zones!$A$2:$A$15,0)),"⚠ zone inconnue"))</f>
        <v/>
      </c>
      <c r="G626" s="12"/>
      <c r="H626" s="12"/>
      <c r="I626" s="12"/>
      <c r="J626" s="12"/>
    </row>
    <row r="627" customFormat="false" ht="15" hidden="false" customHeight="false" outlineLevel="0" collapsed="false">
      <c r="A627" s="14" t="str">
        <f aca="false">IF(OR(B627="",C627="",D627="",E627=""),"",UPPER(B627)&amp;TEXT(C627,"00")&amp;"-"&amp;D627&amp;"-"&amp;TEXT(E627,"00"))</f>
        <v/>
      </c>
      <c r="B627" s="12"/>
      <c r="C627" s="12"/>
      <c r="D627" s="12"/>
      <c r="E627" s="12"/>
      <c r="F627" s="16" t="str">
        <f aca="false">IF(B627="","",IFERROR(INDEX(Zones!$B$2:$B$15,MATCH(B627,Zones!$A$2:$A$15,0)),"⚠ zone inconnue"))</f>
        <v/>
      </c>
      <c r="G627" s="12"/>
      <c r="H627" s="12"/>
      <c r="I627" s="12"/>
      <c r="J627" s="12"/>
    </row>
    <row r="628" customFormat="false" ht="15" hidden="false" customHeight="false" outlineLevel="0" collapsed="false">
      <c r="A628" s="14" t="str">
        <f aca="false">IF(OR(B628="",C628="",D628="",E628=""),"",UPPER(B628)&amp;TEXT(C628,"00")&amp;"-"&amp;D628&amp;"-"&amp;TEXT(E628,"00"))</f>
        <v/>
      </c>
      <c r="B628" s="12"/>
      <c r="C628" s="12"/>
      <c r="D628" s="12"/>
      <c r="E628" s="12"/>
      <c r="F628" s="16" t="str">
        <f aca="false">IF(B628="","",IFERROR(INDEX(Zones!$B$2:$B$15,MATCH(B628,Zones!$A$2:$A$15,0)),"⚠ zone inconnue"))</f>
        <v/>
      </c>
      <c r="G628" s="12"/>
      <c r="H628" s="12"/>
      <c r="I628" s="12"/>
      <c r="J628" s="12"/>
    </row>
    <row r="629" customFormat="false" ht="15" hidden="false" customHeight="false" outlineLevel="0" collapsed="false">
      <c r="A629" s="14" t="str">
        <f aca="false">IF(OR(B629="",C629="",D629="",E629=""),"",UPPER(B629)&amp;TEXT(C629,"00")&amp;"-"&amp;D629&amp;"-"&amp;TEXT(E629,"00"))</f>
        <v/>
      </c>
      <c r="B629" s="12"/>
      <c r="C629" s="12"/>
      <c r="D629" s="12"/>
      <c r="E629" s="12"/>
      <c r="F629" s="16" t="str">
        <f aca="false">IF(B629="","",IFERROR(INDEX(Zones!$B$2:$B$15,MATCH(B629,Zones!$A$2:$A$15,0)),"⚠ zone inconnue"))</f>
        <v/>
      </c>
      <c r="G629" s="12"/>
      <c r="H629" s="12"/>
      <c r="I629" s="12"/>
      <c r="J629" s="12"/>
    </row>
    <row r="630" customFormat="false" ht="15" hidden="false" customHeight="false" outlineLevel="0" collapsed="false">
      <c r="A630" s="14" t="str">
        <f aca="false">IF(OR(B630="",C630="",D630="",E630=""),"",UPPER(B630)&amp;TEXT(C630,"00")&amp;"-"&amp;D630&amp;"-"&amp;TEXT(E630,"00"))</f>
        <v/>
      </c>
      <c r="B630" s="12"/>
      <c r="C630" s="12"/>
      <c r="D630" s="12"/>
      <c r="E630" s="12"/>
      <c r="F630" s="16" t="str">
        <f aca="false">IF(B630="","",IFERROR(INDEX(Zones!$B$2:$B$15,MATCH(B630,Zones!$A$2:$A$15,0)),"⚠ zone inconnue"))</f>
        <v/>
      </c>
      <c r="G630" s="12"/>
      <c r="H630" s="12"/>
      <c r="I630" s="12"/>
      <c r="J630" s="12"/>
    </row>
    <row r="631" customFormat="false" ht="15" hidden="false" customHeight="false" outlineLevel="0" collapsed="false">
      <c r="A631" s="14" t="str">
        <f aca="false">IF(OR(B631="",C631="",D631="",E631=""),"",UPPER(B631)&amp;TEXT(C631,"00")&amp;"-"&amp;D631&amp;"-"&amp;TEXT(E631,"00"))</f>
        <v/>
      </c>
      <c r="B631" s="12"/>
      <c r="C631" s="12"/>
      <c r="D631" s="12"/>
      <c r="E631" s="12"/>
      <c r="F631" s="16" t="str">
        <f aca="false">IF(B631="","",IFERROR(INDEX(Zones!$B$2:$B$15,MATCH(B631,Zones!$A$2:$A$15,0)),"⚠ zone inconnue"))</f>
        <v/>
      </c>
      <c r="G631" s="12"/>
      <c r="H631" s="12"/>
      <c r="I631" s="12"/>
      <c r="J631" s="12"/>
    </row>
    <row r="632" customFormat="false" ht="15" hidden="false" customHeight="false" outlineLevel="0" collapsed="false">
      <c r="A632" s="14" t="str">
        <f aca="false">IF(OR(B632="",C632="",D632="",E632=""),"",UPPER(B632)&amp;TEXT(C632,"00")&amp;"-"&amp;D632&amp;"-"&amp;TEXT(E632,"00"))</f>
        <v/>
      </c>
      <c r="B632" s="12"/>
      <c r="C632" s="12"/>
      <c r="D632" s="12"/>
      <c r="E632" s="12"/>
      <c r="F632" s="16" t="str">
        <f aca="false">IF(B632="","",IFERROR(INDEX(Zones!$B$2:$B$15,MATCH(B632,Zones!$A$2:$A$15,0)),"⚠ zone inconnue"))</f>
        <v/>
      </c>
      <c r="G632" s="12"/>
      <c r="H632" s="12"/>
      <c r="I632" s="12"/>
      <c r="J632" s="12"/>
    </row>
    <row r="633" customFormat="false" ht="15" hidden="false" customHeight="false" outlineLevel="0" collapsed="false">
      <c r="A633" s="14" t="str">
        <f aca="false">IF(OR(B633="",C633="",D633="",E633=""),"",UPPER(B633)&amp;TEXT(C633,"00")&amp;"-"&amp;D633&amp;"-"&amp;TEXT(E633,"00"))</f>
        <v/>
      </c>
      <c r="B633" s="12"/>
      <c r="C633" s="12"/>
      <c r="D633" s="12"/>
      <c r="E633" s="12"/>
      <c r="F633" s="16" t="str">
        <f aca="false">IF(B633="","",IFERROR(INDEX(Zones!$B$2:$B$15,MATCH(B633,Zones!$A$2:$A$15,0)),"⚠ zone inconnue"))</f>
        <v/>
      </c>
      <c r="G633" s="12"/>
      <c r="H633" s="12"/>
      <c r="I633" s="12"/>
      <c r="J633" s="12"/>
    </row>
    <row r="634" customFormat="false" ht="15" hidden="false" customHeight="false" outlineLevel="0" collapsed="false">
      <c r="A634" s="14" t="str">
        <f aca="false">IF(OR(B634="",C634="",D634="",E634=""),"",UPPER(B634)&amp;TEXT(C634,"00")&amp;"-"&amp;D634&amp;"-"&amp;TEXT(E634,"00"))</f>
        <v/>
      </c>
      <c r="B634" s="12"/>
      <c r="C634" s="12"/>
      <c r="D634" s="12"/>
      <c r="E634" s="12"/>
      <c r="F634" s="16" t="str">
        <f aca="false">IF(B634="","",IFERROR(INDEX(Zones!$B$2:$B$15,MATCH(B634,Zones!$A$2:$A$15,0)),"⚠ zone inconnue"))</f>
        <v/>
      </c>
      <c r="G634" s="12"/>
      <c r="H634" s="12"/>
      <c r="I634" s="12"/>
      <c r="J634" s="12"/>
    </row>
    <row r="635" customFormat="false" ht="15" hidden="false" customHeight="false" outlineLevel="0" collapsed="false">
      <c r="A635" s="14" t="str">
        <f aca="false">IF(OR(B635="",C635="",D635="",E635=""),"",UPPER(B635)&amp;TEXT(C635,"00")&amp;"-"&amp;D635&amp;"-"&amp;TEXT(E635,"00"))</f>
        <v/>
      </c>
      <c r="B635" s="12"/>
      <c r="C635" s="12"/>
      <c r="D635" s="12"/>
      <c r="E635" s="12"/>
      <c r="F635" s="16" t="str">
        <f aca="false">IF(B635="","",IFERROR(INDEX(Zones!$B$2:$B$15,MATCH(B635,Zones!$A$2:$A$15,0)),"⚠ zone inconnue"))</f>
        <v/>
      </c>
      <c r="G635" s="12"/>
      <c r="H635" s="12"/>
      <c r="I635" s="12"/>
      <c r="J635" s="12"/>
    </row>
    <row r="636" customFormat="false" ht="15" hidden="false" customHeight="false" outlineLevel="0" collapsed="false">
      <c r="A636" s="14" t="str">
        <f aca="false">IF(OR(B636="",C636="",D636="",E636=""),"",UPPER(B636)&amp;TEXT(C636,"00")&amp;"-"&amp;D636&amp;"-"&amp;TEXT(E636,"00"))</f>
        <v/>
      </c>
      <c r="B636" s="12"/>
      <c r="C636" s="12"/>
      <c r="D636" s="12"/>
      <c r="E636" s="12"/>
      <c r="F636" s="16" t="str">
        <f aca="false">IF(B636="","",IFERROR(INDEX(Zones!$B$2:$B$15,MATCH(B636,Zones!$A$2:$A$15,0)),"⚠ zone inconnue"))</f>
        <v/>
      </c>
      <c r="G636" s="12"/>
      <c r="H636" s="12"/>
      <c r="I636" s="12"/>
      <c r="J636" s="12"/>
    </row>
    <row r="637" customFormat="false" ht="15" hidden="false" customHeight="false" outlineLevel="0" collapsed="false">
      <c r="A637" s="14" t="str">
        <f aca="false">IF(OR(B637="",C637="",D637="",E637=""),"",UPPER(B637)&amp;TEXT(C637,"00")&amp;"-"&amp;D637&amp;"-"&amp;TEXT(E637,"00"))</f>
        <v/>
      </c>
      <c r="B637" s="12"/>
      <c r="C637" s="12"/>
      <c r="D637" s="12"/>
      <c r="E637" s="12"/>
      <c r="F637" s="16" t="str">
        <f aca="false">IF(B637="","",IFERROR(INDEX(Zones!$B$2:$B$15,MATCH(B637,Zones!$A$2:$A$15,0)),"⚠ zone inconnue"))</f>
        <v/>
      </c>
      <c r="G637" s="12"/>
      <c r="H637" s="12"/>
      <c r="I637" s="12"/>
      <c r="J637" s="12"/>
    </row>
    <row r="638" customFormat="false" ht="15" hidden="false" customHeight="false" outlineLevel="0" collapsed="false">
      <c r="A638" s="14" t="str">
        <f aca="false">IF(OR(B638="",C638="",D638="",E638=""),"",UPPER(B638)&amp;TEXT(C638,"00")&amp;"-"&amp;D638&amp;"-"&amp;TEXT(E638,"00"))</f>
        <v/>
      </c>
      <c r="B638" s="12"/>
      <c r="C638" s="12"/>
      <c r="D638" s="12"/>
      <c r="E638" s="12"/>
      <c r="F638" s="16" t="str">
        <f aca="false">IF(B638="","",IFERROR(INDEX(Zones!$B$2:$B$15,MATCH(B638,Zones!$A$2:$A$15,0)),"⚠ zone inconnue"))</f>
        <v/>
      </c>
      <c r="G638" s="12"/>
      <c r="H638" s="12"/>
      <c r="I638" s="12"/>
      <c r="J638" s="12"/>
    </row>
    <row r="639" customFormat="false" ht="15" hidden="false" customHeight="false" outlineLevel="0" collapsed="false">
      <c r="A639" s="14" t="str">
        <f aca="false">IF(OR(B639="",C639="",D639="",E639=""),"",UPPER(B639)&amp;TEXT(C639,"00")&amp;"-"&amp;D639&amp;"-"&amp;TEXT(E639,"00"))</f>
        <v/>
      </c>
      <c r="B639" s="12"/>
      <c r="C639" s="12"/>
      <c r="D639" s="12"/>
      <c r="E639" s="12"/>
      <c r="F639" s="16" t="str">
        <f aca="false">IF(B639="","",IFERROR(INDEX(Zones!$B$2:$B$15,MATCH(B639,Zones!$A$2:$A$15,0)),"⚠ zone inconnue"))</f>
        <v/>
      </c>
      <c r="G639" s="12"/>
      <c r="H639" s="12"/>
      <c r="I639" s="12"/>
      <c r="J639" s="12"/>
    </row>
    <row r="640" customFormat="false" ht="15" hidden="false" customHeight="false" outlineLevel="0" collapsed="false">
      <c r="A640" s="14" t="str">
        <f aca="false">IF(OR(B640="",C640="",D640="",E640=""),"",UPPER(B640)&amp;TEXT(C640,"00")&amp;"-"&amp;D640&amp;"-"&amp;TEXT(E640,"00"))</f>
        <v/>
      </c>
      <c r="B640" s="12"/>
      <c r="C640" s="12"/>
      <c r="D640" s="12"/>
      <c r="E640" s="12"/>
      <c r="F640" s="16" t="str">
        <f aca="false">IF(B640="","",IFERROR(INDEX(Zones!$B$2:$B$15,MATCH(B640,Zones!$A$2:$A$15,0)),"⚠ zone inconnue"))</f>
        <v/>
      </c>
      <c r="G640" s="12"/>
      <c r="H640" s="12"/>
      <c r="I640" s="12"/>
      <c r="J640" s="12"/>
    </row>
    <row r="641" customFormat="false" ht="15" hidden="false" customHeight="false" outlineLevel="0" collapsed="false">
      <c r="A641" s="14" t="str">
        <f aca="false">IF(OR(B641="",C641="",D641="",E641=""),"",UPPER(B641)&amp;TEXT(C641,"00")&amp;"-"&amp;D641&amp;"-"&amp;TEXT(E641,"00"))</f>
        <v/>
      </c>
      <c r="B641" s="12"/>
      <c r="C641" s="12"/>
      <c r="D641" s="12"/>
      <c r="E641" s="12"/>
      <c r="F641" s="16" t="str">
        <f aca="false">IF(B641="","",IFERROR(INDEX(Zones!$B$2:$B$15,MATCH(B641,Zones!$A$2:$A$15,0)),"⚠ zone inconnue"))</f>
        <v/>
      </c>
      <c r="G641" s="12"/>
      <c r="H641" s="12"/>
      <c r="I641" s="12"/>
      <c r="J641" s="12"/>
    </row>
    <row r="642" customFormat="false" ht="15" hidden="false" customHeight="false" outlineLevel="0" collapsed="false">
      <c r="A642" s="14" t="str">
        <f aca="false">IF(OR(B642="",C642="",D642="",E642=""),"",UPPER(B642)&amp;TEXT(C642,"00")&amp;"-"&amp;D642&amp;"-"&amp;TEXT(E642,"00"))</f>
        <v/>
      </c>
      <c r="B642" s="12"/>
      <c r="C642" s="12"/>
      <c r="D642" s="12"/>
      <c r="E642" s="12"/>
      <c r="F642" s="16" t="str">
        <f aca="false">IF(B642="","",IFERROR(INDEX(Zones!$B$2:$B$15,MATCH(B642,Zones!$A$2:$A$15,0)),"⚠ zone inconnue"))</f>
        <v/>
      </c>
      <c r="G642" s="12"/>
      <c r="H642" s="12"/>
      <c r="I642" s="12"/>
      <c r="J642" s="12"/>
    </row>
    <row r="643" customFormat="false" ht="15" hidden="false" customHeight="false" outlineLevel="0" collapsed="false">
      <c r="A643" s="14" t="str">
        <f aca="false">IF(OR(B643="",C643="",D643="",E643=""),"",UPPER(B643)&amp;TEXT(C643,"00")&amp;"-"&amp;D643&amp;"-"&amp;TEXT(E643,"00"))</f>
        <v/>
      </c>
      <c r="B643" s="12"/>
      <c r="C643" s="12"/>
      <c r="D643" s="12"/>
      <c r="E643" s="12"/>
      <c r="F643" s="16" t="str">
        <f aca="false">IF(B643="","",IFERROR(INDEX(Zones!$B$2:$B$15,MATCH(B643,Zones!$A$2:$A$15,0)),"⚠ zone inconnue"))</f>
        <v/>
      </c>
      <c r="G643" s="12"/>
      <c r="H643" s="12"/>
      <c r="I643" s="12"/>
      <c r="J643" s="12"/>
    </row>
    <row r="644" customFormat="false" ht="15" hidden="false" customHeight="false" outlineLevel="0" collapsed="false">
      <c r="A644" s="14" t="str">
        <f aca="false">IF(OR(B644="",C644="",D644="",E644=""),"",UPPER(B644)&amp;TEXT(C644,"00")&amp;"-"&amp;D644&amp;"-"&amp;TEXT(E644,"00"))</f>
        <v/>
      </c>
      <c r="B644" s="12"/>
      <c r="C644" s="12"/>
      <c r="D644" s="12"/>
      <c r="E644" s="12"/>
      <c r="F644" s="16" t="str">
        <f aca="false">IF(B644="","",IFERROR(INDEX(Zones!$B$2:$B$15,MATCH(B644,Zones!$A$2:$A$15,0)),"⚠ zone inconnue"))</f>
        <v/>
      </c>
      <c r="G644" s="12"/>
      <c r="H644" s="12"/>
      <c r="I644" s="12"/>
      <c r="J644" s="12"/>
    </row>
    <row r="645" customFormat="false" ht="15" hidden="false" customHeight="false" outlineLevel="0" collapsed="false">
      <c r="A645" s="14" t="str">
        <f aca="false">IF(OR(B645="",C645="",D645="",E645=""),"",UPPER(B645)&amp;TEXT(C645,"00")&amp;"-"&amp;D645&amp;"-"&amp;TEXT(E645,"00"))</f>
        <v/>
      </c>
      <c r="B645" s="12"/>
      <c r="C645" s="12"/>
      <c r="D645" s="12"/>
      <c r="E645" s="12"/>
      <c r="F645" s="16" t="str">
        <f aca="false">IF(B645="","",IFERROR(INDEX(Zones!$B$2:$B$15,MATCH(B645,Zones!$A$2:$A$15,0)),"⚠ zone inconnue"))</f>
        <v/>
      </c>
      <c r="G645" s="12"/>
      <c r="H645" s="12"/>
      <c r="I645" s="12"/>
      <c r="J645" s="12"/>
    </row>
    <row r="646" customFormat="false" ht="15" hidden="false" customHeight="false" outlineLevel="0" collapsed="false">
      <c r="A646" s="14" t="str">
        <f aca="false">IF(OR(B646="",C646="",D646="",E646=""),"",UPPER(B646)&amp;TEXT(C646,"00")&amp;"-"&amp;D646&amp;"-"&amp;TEXT(E646,"00"))</f>
        <v/>
      </c>
      <c r="B646" s="12"/>
      <c r="C646" s="12"/>
      <c r="D646" s="12"/>
      <c r="E646" s="12"/>
      <c r="F646" s="16" t="str">
        <f aca="false">IF(B646="","",IFERROR(INDEX(Zones!$B$2:$B$15,MATCH(B646,Zones!$A$2:$A$15,0)),"⚠ zone inconnue"))</f>
        <v/>
      </c>
      <c r="G646" s="12"/>
      <c r="H646" s="12"/>
      <c r="I646" s="12"/>
      <c r="J646" s="12"/>
    </row>
    <row r="647" customFormat="false" ht="15" hidden="false" customHeight="false" outlineLevel="0" collapsed="false">
      <c r="A647" s="14" t="str">
        <f aca="false">IF(OR(B647="",C647="",D647="",E647=""),"",UPPER(B647)&amp;TEXT(C647,"00")&amp;"-"&amp;D647&amp;"-"&amp;TEXT(E647,"00"))</f>
        <v/>
      </c>
      <c r="B647" s="12"/>
      <c r="C647" s="12"/>
      <c r="D647" s="12"/>
      <c r="E647" s="12"/>
      <c r="F647" s="16" t="str">
        <f aca="false">IF(B647="","",IFERROR(INDEX(Zones!$B$2:$B$15,MATCH(B647,Zones!$A$2:$A$15,0)),"⚠ zone inconnue"))</f>
        <v/>
      </c>
      <c r="G647" s="12"/>
      <c r="H647" s="12"/>
      <c r="I647" s="12"/>
      <c r="J647" s="12"/>
    </row>
    <row r="648" customFormat="false" ht="15" hidden="false" customHeight="false" outlineLevel="0" collapsed="false">
      <c r="A648" s="14" t="str">
        <f aca="false">IF(OR(B648="",C648="",D648="",E648=""),"",UPPER(B648)&amp;TEXT(C648,"00")&amp;"-"&amp;D648&amp;"-"&amp;TEXT(E648,"00"))</f>
        <v/>
      </c>
      <c r="B648" s="12"/>
      <c r="C648" s="12"/>
      <c r="D648" s="12"/>
      <c r="E648" s="12"/>
      <c r="F648" s="16" t="str">
        <f aca="false">IF(B648="","",IFERROR(INDEX(Zones!$B$2:$B$15,MATCH(B648,Zones!$A$2:$A$15,0)),"⚠ zone inconnue"))</f>
        <v/>
      </c>
      <c r="G648" s="12"/>
      <c r="H648" s="12"/>
      <c r="I648" s="12"/>
      <c r="J648" s="12"/>
    </row>
    <row r="649" customFormat="false" ht="15" hidden="false" customHeight="false" outlineLevel="0" collapsed="false">
      <c r="A649" s="14" t="str">
        <f aca="false">IF(OR(B649="",C649="",D649="",E649=""),"",UPPER(B649)&amp;TEXT(C649,"00")&amp;"-"&amp;D649&amp;"-"&amp;TEXT(E649,"00"))</f>
        <v/>
      </c>
      <c r="B649" s="12"/>
      <c r="C649" s="12"/>
      <c r="D649" s="12"/>
      <c r="E649" s="12"/>
      <c r="F649" s="16" t="str">
        <f aca="false">IF(B649="","",IFERROR(INDEX(Zones!$B$2:$B$15,MATCH(B649,Zones!$A$2:$A$15,0)),"⚠ zone inconnue"))</f>
        <v/>
      </c>
      <c r="G649" s="12"/>
      <c r="H649" s="12"/>
      <c r="I649" s="12"/>
      <c r="J649" s="12"/>
    </row>
    <row r="650" customFormat="false" ht="15" hidden="false" customHeight="false" outlineLevel="0" collapsed="false">
      <c r="A650" s="14" t="str">
        <f aca="false">IF(OR(B650="",C650="",D650="",E650=""),"",UPPER(B650)&amp;TEXT(C650,"00")&amp;"-"&amp;D650&amp;"-"&amp;TEXT(E650,"00"))</f>
        <v/>
      </c>
      <c r="B650" s="12"/>
      <c r="C650" s="12"/>
      <c r="D650" s="12"/>
      <c r="E650" s="12"/>
      <c r="F650" s="16" t="str">
        <f aca="false">IF(B650="","",IFERROR(INDEX(Zones!$B$2:$B$15,MATCH(B650,Zones!$A$2:$A$15,0)),"⚠ zone inconnue"))</f>
        <v/>
      </c>
      <c r="G650" s="12"/>
      <c r="H650" s="12"/>
      <c r="I650" s="12"/>
      <c r="J650" s="12"/>
    </row>
    <row r="651" customFormat="false" ht="15" hidden="false" customHeight="false" outlineLevel="0" collapsed="false">
      <c r="A651" s="14" t="str">
        <f aca="false">IF(OR(B651="",C651="",D651="",E651=""),"",UPPER(B651)&amp;TEXT(C651,"00")&amp;"-"&amp;D651&amp;"-"&amp;TEXT(E651,"00"))</f>
        <v/>
      </c>
      <c r="B651" s="12"/>
      <c r="C651" s="12"/>
      <c r="D651" s="12"/>
      <c r="E651" s="12"/>
      <c r="F651" s="16" t="str">
        <f aca="false">IF(B651="","",IFERROR(INDEX(Zones!$B$2:$B$15,MATCH(B651,Zones!$A$2:$A$15,0)),"⚠ zone inconnue"))</f>
        <v/>
      </c>
      <c r="G651" s="12"/>
      <c r="H651" s="12"/>
      <c r="I651" s="12"/>
      <c r="J651" s="12"/>
    </row>
    <row r="652" customFormat="false" ht="15" hidden="false" customHeight="false" outlineLevel="0" collapsed="false">
      <c r="A652" s="14" t="str">
        <f aca="false">IF(OR(B652="",C652="",D652="",E652=""),"",UPPER(B652)&amp;TEXT(C652,"00")&amp;"-"&amp;D652&amp;"-"&amp;TEXT(E652,"00"))</f>
        <v/>
      </c>
      <c r="B652" s="12"/>
      <c r="C652" s="12"/>
      <c r="D652" s="12"/>
      <c r="E652" s="12"/>
      <c r="F652" s="16" t="str">
        <f aca="false">IF(B652="","",IFERROR(INDEX(Zones!$B$2:$B$15,MATCH(B652,Zones!$A$2:$A$15,0)),"⚠ zone inconnue"))</f>
        <v/>
      </c>
      <c r="G652" s="12"/>
      <c r="H652" s="12"/>
      <c r="I652" s="12"/>
      <c r="J652" s="12"/>
    </row>
    <row r="653" customFormat="false" ht="15" hidden="false" customHeight="false" outlineLevel="0" collapsed="false">
      <c r="A653" s="14" t="str">
        <f aca="false">IF(OR(B653="",C653="",D653="",E653=""),"",UPPER(B653)&amp;TEXT(C653,"00")&amp;"-"&amp;D653&amp;"-"&amp;TEXT(E653,"00"))</f>
        <v/>
      </c>
      <c r="B653" s="12"/>
      <c r="C653" s="12"/>
      <c r="D653" s="12"/>
      <c r="E653" s="12"/>
      <c r="F653" s="16" t="str">
        <f aca="false">IF(B653="","",IFERROR(INDEX(Zones!$B$2:$B$15,MATCH(B653,Zones!$A$2:$A$15,0)),"⚠ zone inconnue"))</f>
        <v/>
      </c>
      <c r="G653" s="12"/>
      <c r="H653" s="12"/>
      <c r="I653" s="12"/>
      <c r="J653" s="12"/>
    </row>
    <row r="654" customFormat="false" ht="15" hidden="false" customHeight="false" outlineLevel="0" collapsed="false">
      <c r="A654" s="14" t="str">
        <f aca="false">IF(OR(B654="",C654="",D654="",E654=""),"",UPPER(B654)&amp;TEXT(C654,"00")&amp;"-"&amp;D654&amp;"-"&amp;TEXT(E654,"00"))</f>
        <v/>
      </c>
      <c r="B654" s="12"/>
      <c r="C654" s="12"/>
      <c r="D654" s="12"/>
      <c r="E654" s="12"/>
      <c r="F654" s="16" t="str">
        <f aca="false">IF(B654="","",IFERROR(INDEX(Zones!$B$2:$B$15,MATCH(B654,Zones!$A$2:$A$15,0)),"⚠ zone inconnue"))</f>
        <v/>
      </c>
      <c r="G654" s="12"/>
      <c r="H654" s="12"/>
      <c r="I654" s="12"/>
      <c r="J654" s="12"/>
    </row>
    <row r="655" customFormat="false" ht="15" hidden="false" customHeight="false" outlineLevel="0" collapsed="false">
      <c r="A655" s="14" t="str">
        <f aca="false">IF(OR(B655="",C655="",D655="",E655=""),"",UPPER(B655)&amp;TEXT(C655,"00")&amp;"-"&amp;D655&amp;"-"&amp;TEXT(E655,"00"))</f>
        <v/>
      </c>
      <c r="B655" s="12"/>
      <c r="C655" s="12"/>
      <c r="D655" s="12"/>
      <c r="E655" s="12"/>
      <c r="F655" s="16" t="str">
        <f aca="false">IF(B655="","",IFERROR(INDEX(Zones!$B$2:$B$15,MATCH(B655,Zones!$A$2:$A$15,0)),"⚠ zone inconnue"))</f>
        <v/>
      </c>
      <c r="G655" s="12"/>
      <c r="H655" s="12"/>
      <c r="I655" s="12"/>
      <c r="J655" s="12"/>
    </row>
    <row r="656" customFormat="false" ht="15" hidden="false" customHeight="false" outlineLevel="0" collapsed="false">
      <c r="A656" s="14" t="str">
        <f aca="false">IF(OR(B656="",C656="",D656="",E656=""),"",UPPER(B656)&amp;TEXT(C656,"00")&amp;"-"&amp;D656&amp;"-"&amp;TEXT(E656,"00"))</f>
        <v/>
      </c>
      <c r="B656" s="12"/>
      <c r="C656" s="12"/>
      <c r="D656" s="12"/>
      <c r="E656" s="12"/>
      <c r="F656" s="16" t="str">
        <f aca="false">IF(B656="","",IFERROR(INDEX(Zones!$B$2:$B$15,MATCH(B656,Zones!$A$2:$A$15,0)),"⚠ zone inconnue"))</f>
        <v/>
      </c>
      <c r="G656" s="12"/>
      <c r="H656" s="12"/>
      <c r="I656" s="12"/>
      <c r="J656" s="12"/>
    </row>
    <row r="657" customFormat="false" ht="15" hidden="false" customHeight="false" outlineLevel="0" collapsed="false">
      <c r="A657" s="14" t="str">
        <f aca="false">IF(OR(B657="",C657="",D657="",E657=""),"",UPPER(B657)&amp;TEXT(C657,"00")&amp;"-"&amp;D657&amp;"-"&amp;TEXT(E657,"00"))</f>
        <v/>
      </c>
      <c r="B657" s="12"/>
      <c r="C657" s="12"/>
      <c r="D657" s="12"/>
      <c r="E657" s="12"/>
      <c r="F657" s="16" t="str">
        <f aca="false">IF(B657="","",IFERROR(INDEX(Zones!$B$2:$B$15,MATCH(B657,Zones!$A$2:$A$15,0)),"⚠ zone inconnue"))</f>
        <v/>
      </c>
      <c r="G657" s="12"/>
      <c r="H657" s="12"/>
      <c r="I657" s="12"/>
      <c r="J657" s="12"/>
    </row>
    <row r="658" customFormat="false" ht="15" hidden="false" customHeight="false" outlineLevel="0" collapsed="false">
      <c r="A658" s="14" t="str">
        <f aca="false">IF(OR(B658="",C658="",D658="",E658=""),"",UPPER(B658)&amp;TEXT(C658,"00")&amp;"-"&amp;D658&amp;"-"&amp;TEXT(E658,"00"))</f>
        <v/>
      </c>
      <c r="B658" s="12"/>
      <c r="C658" s="12"/>
      <c r="D658" s="12"/>
      <c r="E658" s="12"/>
      <c r="F658" s="16" t="str">
        <f aca="false">IF(B658="","",IFERROR(INDEX(Zones!$B$2:$B$15,MATCH(B658,Zones!$A$2:$A$15,0)),"⚠ zone inconnue"))</f>
        <v/>
      </c>
      <c r="G658" s="12"/>
      <c r="H658" s="12"/>
      <c r="I658" s="12"/>
      <c r="J658" s="12"/>
    </row>
    <row r="659" customFormat="false" ht="15" hidden="false" customHeight="false" outlineLevel="0" collapsed="false">
      <c r="A659" s="14" t="str">
        <f aca="false">IF(OR(B659="",C659="",D659="",E659=""),"",UPPER(B659)&amp;TEXT(C659,"00")&amp;"-"&amp;D659&amp;"-"&amp;TEXT(E659,"00"))</f>
        <v/>
      </c>
      <c r="B659" s="12"/>
      <c r="C659" s="12"/>
      <c r="D659" s="12"/>
      <c r="E659" s="12"/>
      <c r="F659" s="16" t="str">
        <f aca="false">IF(B659="","",IFERROR(INDEX(Zones!$B$2:$B$15,MATCH(B659,Zones!$A$2:$A$15,0)),"⚠ zone inconnue"))</f>
        <v/>
      </c>
      <c r="G659" s="12"/>
      <c r="H659" s="12"/>
      <c r="I659" s="12"/>
      <c r="J659" s="12"/>
    </row>
    <row r="660" customFormat="false" ht="15" hidden="false" customHeight="false" outlineLevel="0" collapsed="false">
      <c r="A660" s="14" t="str">
        <f aca="false">IF(OR(B660="",C660="",D660="",E660=""),"",UPPER(B660)&amp;TEXT(C660,"00")&amp;"-"&amp;D660&amp;"-"&amp;TEXT(E660,"00"))</f>
        <v/>
      </c>
      <c r="B660" s="12"/>
      <c r="C660" s="12"/>
      <c r="D660" s="12"/>
      <c r="E660" s="12"/>
      <c r="F660" s="16" t="str">
        <f aca="false">IF(B660="","",IFERROR(INDEX(Zones!$B$2:$B$15,MATCH(B660,Zones!$A$2:$A$15,0)),"⚠ zone inconnue"))</f>
        <v/>
      </c>
      <c r="G660" s="12"/>
      <c r="H660" s="12"/>
      <c r="I660" s="12"/>
      <c r="J660" s="12"/>
    </row>
    <row r="661" customFormat="false" ht="15" hidden="false" customHeight="false" outlineLevel="0" collapsed="false">
      <c r="A661" s="14" t="str">
        <f aca="false">IF(OR(B661="",C661="",D661="",E661=""),"",UPPER(B661)&amp;TEXT(C661,"00")&amp;"-"&amp;D661&amp;"-"&amp;TEXT(E661,"00"))</f>
        <v/>
      </c>
      <c r="B661" s="12"/>
      <c r="C661" s="12"/>
      <c r="D661" s="12"/>
      <c r="E661" s="12"/>
      <c r="F661" s="16" t="str">
        <f aca="false">IF(B661="","",IFERROR(INDEX(Zones!$B$2:$B$15,MATCH(B661,Zones!$A$2:$A$15,0)),"⚠ zone inconnue"))</f>
        <v/>
      </c>
      <c r="G661" s="12"/>
      <c r="H661" s="12"/>
      <c r="I661" s="12"/>
      <c r="J661" s="12"/>
    </row>
    <row r="662" customFormat="false" ht="15" hidden="false" customHeight="false" outlineLevel="0" collapsed="false">
      <c r="A662" s="14" t="str">
        <f aca="false">IF(OR(B662="",C662="",D662="",E662=""),"",UPPER(B662)&amp;TEXT(C662,"00")&amp;"-"&amp;D662&amp;"-"&amp;TEXT(E662,"00"))</f>
        <v/>
      </c>
      <c r="B662" s="12"/>
      <c r="C662" s="12"/>
      <c r="D662" s="12"/>
      <c r="E662" s="12"/>
      <c r="F662" s="16" t="str">
        <f aca="false">IF(B662="","",IFERROR(INDEX(Zones!$B$2:$B$15,MATCH(B662,Zones!$A$2:$A$15,0)),"⚠ zone inconnue"))</f>
        <v/>
      </c>
      <c r="G662" s="12"/>
      <c r="H662" s="12"/>
      <c r="I662" s="12"/>
      <c r="J662" s="12"/>
    </row>
    <row r="663" customFormat="false" ht="15" hidden="false" customHeight="false" outlineLevel="0" collapsed="false">
      <c r="A663" s="14" t="str">
        <f aca="false">IF(OR(B663="",C663="",D663="",E663=""),"",UPPER(B663)&amp;TEXT(C663,"00")&amp;"-"&amp;D663&amp;"-"&amp;TEXT(E663,"00"))</f>
        <v/>
      </c>
      <c r="B663" s="12"/>
      <c r="C663" s="12"/>
      <c r="D663" s="12"/>
      <c r="E663" s="12"/>
      <c r="F663" s="16" t="str">
        <f aca="false">IF(B663="","",IFERROR(INDEX(Zones!$B$2:$B$15,MATCH(B663,Zones!$A$2:$A$15,0)),"⚠ zone inconnue"))</f>
        <v/>
      </c>
      <c r="G663" s="12"/>
      <c r="H663" s="12"/>
      <c r="I663" s="12"/>
      <c r="J663" s="12"/>
    </row>
    <row r="664" customFormat="false" ht="15" hidden="false" customHeight="false" outlineLevel="0" collapsed="false">
      <c r="A664" s="14" t="str">
        <f aca="false">IF(OR(B664="",C664="",D664="",E664=""),"",UPPER(B664)&amp;TEXT(C664,"00")&amp;"-"&amp;D664&amp;"-"&amp;TEXT(E664,"00"))</f>
        <v/>
      </c>
      <c r="B664" s="12"/>
      <c r="C664" s="12"/>
      <c r="D664" s="12"/>
      <c r="E664" s="12"/>
      <c r="F664" s="16" t="str">
        <f aca="false">IF(B664="","",IFERROR(INDEX(Zones!$B$2:$B$15,MATCH(B664,Zones!$A$2:$A$15,0)),"⚠ zone inconnue"))</f>
        <v/>
      </c>
      <c r="G664" s="12"/>
      <c r="H664" s="12"/>
      <c r="I664" s="12"/>
      <c r="J664" s="12"/>
    </row>
    <row r="665" customFormat="false" ht="15" hidden="false" customHeight="false" outlineLevel="0" collapsed="false">
      <c r="A665" s="14" t="str">
        <f aca="false">IF(OR(B665="",C665="",D665="",E665=""),"",UPPER(B665)&amp;TEXT(C665,"00")&amp;"-"&amp;D665&amp;"-"&amp;TEXT(E665,"00"))</f>
        <v/>
      </c>
      <c r="B665" s="12"/>
      <c r="C665" s="12"/>
      <c r="D665" s="12"/>
      <c r="E665" s="12"/>
      <c r="F665" s="16" t="str">
        <f aca="false">IF(B665="","",IFERROR(INDEX(Zones!$B$2:$B$15,MATCH(B665,Zones!$A$2:$A$15,0)),"⚠ zone inconnue"))</f>
        <v/>
      </c>
      <c r="G665" s="12"/>
      <c r="H665" s="12"/>
      <c r="I665" s="12"/>
      <c r="J665" s="12"/>
    </row>
    <row r="666" customFormat="false" ht="15" hidden="false" customHeight="false" outlineLevel="0" collapsed="false">
      <c r="A666" s="14" t="str">
        <f aca="false">IF(OR(B666="",C666="",D666="",E666=""),"",UPPER(B666)&amp;TEXT(C666,"00")&amp;"-"&amp;D666&amp;"-"&amp;TEXT(E666,"00"))</f>
        <v/>
      </c>
      <c r="B666" s="12"/>
      <c r="C666" s="12"/>
      <c r="D666" s="12"/>
      <c r="E666" s="12"/>
      <c r="F666" s="16" t="str">
        <f aca="false">IF(B666="","",IFERROR(INDEX(Zones!$B$2:$B$15,MATCH(B666,Zones!$A$2:$A$15,0)),"⚠ zone inconnue"))</f>
        <v/>
      </c>
      <c r="G666" s="12"/>
      <c r="H666" s="12"/>
      <c r="I666" s="12"/>
      <c r="J666" s="12"/>
    </row>
    <row r="667" customFormat="false" ht="15" hidden="false" customHeight="false" outlineLevel="0" collapsed="false">
      <c r="A667" s="14" t="str">
        <f aca="false">IF(OR(B667="",C667="",D667="",E667=""),"",UPPER(B667)&amp;TEXT(C667,"00")&amp;"-"&amp;D667&amp;"-"&amp;TEXT(E667,"00"))</f>
        <v/>
      </c>
      <c r="B667" s="12"/>
      <c r="C667" s="12"/>
      <c r="D667" s="12"/>
      <c r="E667" s="12"/>
      <c r="F667" s="16" t="str">
        <f aca="false">IF(B667="","",IFERROR(INDEX(Zones!$B$2:$B$15,MATCH(B667,Zones!$A$2:$A$15,0)),"⚠ zone inconnue"))</f>
        <v/>
      </c>
      <c r="G667" s="12"/>
      <c r="H667" s="12"/>
      <c r="I667" s="12"/>
      <c r="J667" s="12"/>
    </row>
    <row r="668" customFormat="false" ht="15" hidden="false" customHeight="false" outlineLevel="0" collapsed="false">
      <c r="A668" s="14" t="str">
        <f aca="false">IF(OR(B668="",C668="",D668="",E668=""),"",UPPER(B668)&amp;TEXT(C668,"00")&amp;"-"&amp;D668&amp;"-"&amp;TEXT(E668,"00"))</f>
        <v/>
      </c>
      <c r="B668" s="12"/>
      <c r="C668" s="12"/>
      <c r="D668" s="12"/>
      <c r="E668" s="12"/>
      <c r="F668" s="16" t="str">
        <f aca="false">IF(B668="","",IFERROR(INDEX(Zones!$B$2:$B$15,MATCH(B668,Zones!$A$2:$A$15,0)),"⚠ zone inconnue"))</f>
        <v/>
      </c>
      <c r="G668" s="12"/>
      <c r="H668" s="12"/>
      <c r="I668" s="12"/>
      <c r="J668" s="12"/>
    </row>
    <row r="669" customFormat="false" ht="15" hidden="false" customHeight="false" outlineLevel="0" collapsed="false">
      <c r="A669" s="14" t="str">
        <f aca="false">IF(OR(B669="",C669="",D669="",E669=""),"",UPPER(B669)&amp;TEXT(C669,"00")&amp;"-"&amp;D669&amp;"-"&amp;TEXT(E669,"00"))</f>
        <v/>
      </c>
      <c r="B669" s="12"/>
      <c r="C669" s="12"/>
      <c r="D669" s="12"/>
      <c r="E669" s="12"/>
      <c r="F669" s="16" t="str">
        <f aca="false">IF(B669="","",IFERROR(INDEX(Zones!$B$2:$B$15,MATCH(B669,Zones!$A$2:$A$15,0)),"⚠ zone inconnue"))</f>
        <v/>
      </c>
      <c r="G669" s="12"/>
      <c r="H669" s="12"/>
      <c r="I669" s="12"/>
      <c r="J669" s="12"/>
    </row>
    <row r="670" customFormat="false" ht="15" hidden="false" customHeight="false" outlineLevel="0" collapsed="false">
      <c r="A670" s="14" t="str">
        <f aca="false">IF(OR(B670="",C670="",D670="",E670=""),"",UPPER(B670)&amp;TEXT(C670,"00")&amp;"-"&amp;D670&amp;"-"&amp;TEXT(E670,"00"))</f>
        <v/>
      </c>
      <c r="B670" s="12"/>
      <c r="C670" s="12"/>
      <c r="D670" s="12"/>
      <c r="E670" s="12"/>
      <c r="F670" s="16" t="str">
        <f aca="false">IF(B670="","",IFERROR(INDEX(Zones!$B$2:$B$15,MATCH(B670,Zones!$A$2:$A$15,0)),"⚠ zone inconnue"))</f>
        <v/>
      </c>
      <c r="G670" s="12"/>
      <c r="H670" s="12"/>
      <c r="I670" s="12"/>
      <c r="J670" s="12"/>
    </row>
    <row r="671" customFormat="false" ht="15" hidden="false" customHeight="false" outlineLevel="0" collapsed="false">
      <c r="A671" s="14" t="str">
        <f aca="false">IF(OR(B671="",C671="",D671="",E671=""),"",UPPER(B671)&amp;TEXT(C671,"00")&amp;"-"&amp;D671&amp;"-"&amp;TEXT(E671,"00"))</f>
        <v/>
      </c>
      <c r="B671" s="12"/>
      <c r="C671" s="12"/>
      <c r="D671" s="12"/>
      <c r="E671" s="12"/>
      <c r="F671" s="16" t="str">
        <f aca="false">IF(B671="","",IFERROR(INDEX(Zones!$B$2:$B$15,MATCH(B671,Zones!$A$2:$A$15,0)),"⚠ zone inconnue"))</f>
        <v/>
      </c>
      <c r="G671" s="12"/>
      <c r="H671" s="12"/>
      <c r="I671" s="12"/>
      <c r="J671" s="12"/>
    </row>
    <row r="672" customFormat="false" ht="15" hidden="false" customHeight="false" outlineLevel="0" collapsed="false">
      <c r="A672" s="14" t="str">
        <f aca="false">IF(OR(B672="",C672="",D672="",E672=""),"",UPPER(B672)&amp;TEXT(C672,"00")&amp;"-"&amp;D672&amp;"-"&amp;TEXT(E672,"00"))</f>
        <v/>
      </c>
      <c r="B672" s="12"/>
      <c r="C672" s="12"/>
      <c r="D672" s="12"/>
      <c r="E672" s="12"/>
      <c r="F672" s="16" t="str">
        <f aca="false">IF(B672="","",IFERROR(INDEX(Zones!$B$2:$B$15,MATCH(B672,Zones!$A$2:$A$15,0)),"⚠ zone inconnue"))</f>
        <v/>
      </c>
      <c r="G672" s="12"/>
      <c r="H672" s="12"/>
      <c r="I672" s="12"/>
      <c r="J672" s="12"/>
    </row>
    <row r="673" customFormat="false" ht="15" hidden="false" customHeight="false" outlineLevel="0" collapsed="false">
      <c r="A673" s="14" t="str">
        <f aca="false">IF(OR(B673="",C673="",D673="",E673=""),"",UPPER(B673)&amp;TEXT(C673,"00")&amp;"-"&amp;D673&amp;"-"&amp;TEXT(E673,"00"))</f>
        <v/>
      </c>
      <c r="B673" s="12"/>
      <c r="C673" s="12"/>
      <c r="D673" s="12"/>
      <c r="E673" s="12"/>
      <c r="F673" s="16" t="str">
        <f aca="false">IF(B673="","",IFERROR(INDEX(Zones!$B$2:$B$15,MATCH(B673,Zones!$A$2:$A$15,0)),"⚠ zone inconnue"))</f>
        <v/>
      </c>
      <c r="G673" s="12"/>
      <c r="H673" s="12"/>
      <c r="I673" s="12"/>
      <c r="J673" s="12"/>
    </row>
    <row r="674" customFormat="false" ht="15" hidden="false" customHeight="false" outlineLevel="0" collapsed="false">
      <c r="A674" s="14" t="str">
        <f aca="false">IF(OR(B674="",C674="",D674="",E674=""),"",UPPER(B674)&amp;TEXT(C674,"00")&amp;"-"&amp;D674&amp;"-"&amp;TEXT(E674,"00"))</f>
        <v/>
      </c>
      <c r="B674" s="12"/>
      <c r="C674" s="12"/>
      <c r="D674" s="12"/>
      <c r="E674" s="12"/>
      <c r="F674" s="16" t="str">
        <f aca="false">IF(B674="","",IFERROR(INDEX(Zones!$B$2:$B$15,MATCH(B674,Zones!$A$2:$A$15,0)),"⚠ zone inconnue"))</f>
        <v/>
      </c>
      <c r="G674" s="12"/>
      <c r="H674" s="12"/>
      <c r="I674" s="12"/>
      <c r="J674" s="12"/>
    </row>
    <row r="675" customFormat="false" ht="15" hidden="false" customHeight="false" outlineLevel="0" collapsed="false">
      <c r="A675" s="14" t="str">
        <f aca="false">IF(OR(B675="",C675="",D675="",E675=""),"",UPPER(B675)&amp;TEXT(C675,"00")&amp;"-"&amp;D675&amp;"-"&amp;TEXT(E675,"00"))</f>
        <v/>
      </c>
      <c r="B675" s="12"/>
      <c r="C675" s="12"/>
      <c r="D675" s="12"/>
      <c r="E675" s="12"/>
      <c r="F675" s="16" t="str">
        <f aca="false">IF(B675="","",IFERROR(INDEX(Zones!$B$2:$B$15,MATCH(B675,Zones!$A$2:$A$15,0)),"⚠ zone inconnue"))</f>
        <v/>
      </c>
      <c r="G675" s="12"/>
      <c r="H675" s="12"/>
      <c r="I675" s="12"/>
      <c r="J675" s="12"/>
    </row>
    <row r="676" customFormat="false" ht="15" hidden="false" customHeight="false" outlineLevel="0" collapsed="false">
      <c r="A676" s="14" t="str">
        <f aca="false">IF(OR(B676="",C676="",D676="",E676=""),"",UPPER(B676)&amp;TEXT(C676,"00")&amp;"-"&amp;D676&amp;"-"&amp;TEXT(E676,"00"))</f>
        <v/>
      </c>
      <c r="B676" s="12"/>
      <c r="C676" s="12"/>
      <c r="D676" s="12"/>
      <c r="E676" s="12"/>
      <c r="F676" s="16" t="str">
        <f aca="false">IF(B676="","",IFERROR(INDEX(Zones!$B$2:$B$15,MATCH(B676,Zones!$A$2:$A$15,0)),"⚠ zone inconnue"))</f>
        <v/>
      </c>
      <c r="G676" s="12"/>
      <c r="H676" s="12"/>
      <c r="I676" s="12"/>
      <c r="J676" s="12"/>
    </row>
    <row r="677" customFormat="false" ht="15" hidden="false" customHeight="false" outlineLevel="0" collapsed="false">
      <c r="A677" s="14" t="str">
        <f aca="false">IF(OR(B677="",C677="",D677="",E677=""),"",UPPER(B677)&amp;TEXT(C677,"00")&amp;"-"&amp;D677&amp;"-"&amp;TEXT(E677,"00"))</f>
        <v/>
      </c>
      <c r="B677" s="12"/>
      <c r="C677" s="12"/>
      <c r="D677" s="12"/>
      <c r="E677" s="12"/>
      <c r="F677" s="16" t="str">
        <f aca="false">IF(B677="","",IFERROR(INDEX(Zones!$B$2:$B$15,MATCH(B677,Zones!$A$2:$A$15,0)),"⚠ zone inconnue"))</f>
        <v/>
      </c>
      <c r="G677" s="12"/>
      <c r="H677" s="12"/>
      <c r="I677" s="12"/>
      <c r="J677" s="12"/>
    </row>
    <row r="678" customFormat="false" ht="15" hidden="false" customHeight="false" outlineLevel="0" collapsed="false">
      <c r="A678" s="14" t="str">
        <f aca="false">IF(OR(B678="",C678="",D678="",E678=""),"",UPPER(B678)&amp;TEXT(C678,"00")&amp;"-"&amp;D678&amp;"-"&amp;TEXT(E678,"00"))</f>
        <v/>
      </c>
      <c r="B678" s="12"/>
      <c r="C678" s="12"/>
      <c r="D678" s="12"/>
      <c r="E678" s="12"/>
      <c r="F678" s="16" t="str">
        <f aca="false">IF(B678="","",IFERROR(INDEX(Zones!$B$2:$B$15,MATCH(B678,Zones!$A$2:$A$15,0)),"⚠ zone inconnue"))</f>
        <v/>
      </c>
      <c r="G678" s="12"/>
      <c r="H678" s="12"/>
      <c r="I678" s="12"/>
      <c r="J678" s="12"/>
    </row>
    <row r="679" customFormat="false" ht="15" hidden="false" customHeight="false" outlineLevel="0" collapsed="false">
      <c r="A679" s="14" t="str">
        <f aca="false">IF(OR(B679="",C679="",D679="",E679=""),"",UPPER(B679)&amp;TEXT(C679,"00")&amp;"-"&amp;D679&amp;"-"&amp;TEXT(E679,"00"))</f>
        <v/>
      </c>
      <c r="B679" s="12"/>
      <c r="C679" s="12"/>
      <c r="D679" s="12"/>
      <c r="E679" s="12"/>
      <c r="F679" s="16" t="str">
        <f aca="false">IF(B679="","",IFERROR(INDEX(Zones!$B$2:$B$15,MATCH(B679,Zones!$A$2:$A$15,0)),"⚠ zone inconnue"))</f>
        <v/>
      </c>
      <c r="G679" s="12"/>
      <c r="H679" s="12"/>
      <c r="I679" s="12"/>
      <c r="J679" s="12"/>
    </row>
    <row r="680" customFormat="false" ht="15" hidden="false" customHeight="false" outlineLevel="0" collapsed="false">
      <c r="A680" s="14" t="str">
        <f aca="false">IF(OR(B680="",C680="",D680="",E680=""),"",UPPER(B680)&amp;TEXT(C680,"00")&amp;"-"&amp;D680&amp;"-"&amp;TEXT(E680,"00"))</f>
        <v/>
      </c>
      <c r="B680" s="12"/>
      <c r="C680" s="12"/>
      <c r="D680" s="12"/>
      <c r="E680" s="12"/>
      <c r="F680" s="16" t="str">
        <f aca="false">IF(B680="","",IFERROR(INDEX(Zones!$B$2:$B$15,MATCH(B680,Zones!$A$2:$A$15,0)),"⚠ zone inconnue"))</f>
        <v/>
      </c>
      <c r="G680" s="12"/>
      <c r="H680" s="12"/>
      <c r="I680" s="12"/>
      <c r="J680" s="12"/>
    </row>
    <row r="681" customFormat="false" ht="15" hidden="false" customHeight="false" outlineLevel="0" collapsed="false">
      <c r="A681" s="14" t="str">
        <f aca="false">IF(OR(B681="",C681="",D681="",E681=""),"",UPPER(B681)&amp;TEXT(C681,"00")&amp;"-"&amp;D681&amp;"-"&amp;TEXT(E681,"00"))</f>
        <v/>
      </c>
      <c r="B681" s="12"/>
      <c r="C681" s="12"/>
      <c r="D681" s="12"/>
      <c r="E681" s="12"/>
      <c r="F681" s="16" t="str">
        <f aca="false">IF(B681="","",IFERROR(INDEX(Zones!$B$2:$B$15,MATCH(B681,Zones!$A$2:$A$15,0)),"⚠ zone inconnue"))</f>
        <v/>
      </c>
      <c r="G681" s="12"/>
      <c r="H681" s="12"/>
      <c r="I681" s="12"/>
      <c r="J681" s="12"/>
    </row>
    <row r="682" customFormat="false" ht="15" hidden="false" customHeight="false" outlineLevel="0" collapsed="false">
      <c r="A682" s="14" t="str">
        <f aca="false">IF(OR(B682="",C682="",D682="",E682=""),"",UPPER(B682)&amp;TEXT(C682,"00")&amp;"-"&amp;D682&amp;"-"&amp;TEXT(E682,"00"))</f>
        <v/>
      </c>
      <c r="B682" s="12"/>
      <c r="C682" s="12"/>
      <c r="D682" s="12"/>
      <c r="E682" s="12"/>
      <c r="F682" s="16" t="str">
        <f aca="false">IF(B682="","",IFERROR(INDEX(Zones!$B$2:$B$15,MATCH(B682,Zones!$A$2:$A$15,0)),"⚠ zone inconnue"))</f>
        <v/>
      </c>
      <c r="G682" s="12"/>
      <c r="H682" s="12"/>
      <c r="I682" s="12"/>
      <c r="J682" s="12"/>
    </row>
    <row r="683" customFormat="false" ht="15" hidden="false" customHeight="false" outlineLevel="0" collapsed="false">
      <c r="A683" s="14" t="str">
        <f aca="false">IF(OR(B683="",C683="",D683="",E683=""),"",UPPER(B683)&amp;TEXT(C683,"00")&amp;"-"&amp;D683&amp;"-"&amp;TEXT(E683,"00"))</f>
        <v/>
      </c>
      <c r="B683" s="12"/>
      <c r="C683" s="12"/>
      <c r="D683" s="12"/>
      <c r="E683" s="12"/>
      <c r="F683" s="16" t="str">
        <f aca="false">IF(B683="","",IFERROR(INDEX(Zones!$B$2:$B$15,MATCH(B683,Zones!$A$2:$A$15,0)),"⚠ zone inconnue"))</f>
        <v/>
      </c>
      <c r="G683" s="12"/>
      <c r="H683" s="12"/>
      <c r="I683" s="12"/>
      <c r="J683" s="12"/>
    </row>
    <row r="684" customFormat="false" ht="15" hidden="false" customHeight="false" outlineLevel="0" collapsed="false">
      <c r="A684" s="14" t="str">
        <f aca="false">IF(OR(B684="",C684="",D684="",E684=""),"",UPPER(B684)&amp;TEXT(C684,"00")&amp;"-"&amp;D684&amp;"-"&amp;TEXT(E684,"00"))</f>
        <v/>
      </c>
      <c r="B684" s="12"/>
      <c r="C684" s="12"/>
      <c r="D684" s="12"/>
      <c r="E684" s="12"/>
      <c r="F684" s="16" t="str">
        <f aca="false">IF(B684="","",IFERROR(INDEX(Zones!$B$2:$B$15,MATCH(B684,Zones!$A$2:$A$15,0)),"⚠ zone inconnue"))</f>
        <v/>
      </c>
      <c r="G684" s="12"/>
      <c r="H684" s="12"/>
      <c r="I684" s="12"/>
      <c r="J684" s="12"/>
    </row>
    <row r="685" customFormat="false" ht="15" hidden="false" customHeight="false" outlineLevel="0" collapsed="false">
      <c r="A685" s="14" t="str">
        <f aca="false">IF(OR(B685="",C685="",D685="",E685=""),"",UPPER(B685)&amp;TEXT(C685,"00")&amp;"-"&amp;D685&amp;"-"&amp;TEXT(E685,"00"))</f>
        <v/>
      </c>
      <c r="B685" s="12"/>
      <c r="C685" s="12"/>
      <c r="D685" s="12"/>
      <c r="E685" s="12"/>
      <c r="F685" s="16" t="str">
        <f aca="false">IF(B685="","",IFERROR(INDEX(Zones!$B$2:$B$15,MATCH(B685,Zones!$A$2:$A$15,0)),"⚠ zone inconnue"))</f>
        <v/>
      </c>
      <c r="G685" s="12"/>
      <c r="H685" s="12"/>
      <c r="I685" s="12"/>
      <c r="J685" s="12"/>
    </row>
    <row r="686" customFormat="false" ht="15" hidden="false" customHeight="false" outlineLevel="0" collapsed="false">
      <c r="A686" s="14" t="str">
        <f aca="false">IF(OR(B686="",C686="",D686="",E686=""),"",UPPER(B686)&amp;TEXT(C686,"00")&amp;"-"&amp;D686&amp;"-"&amp;TEXT(E686,"00"))</f>
        <v/>
      </c>
      <c r="B686" s="12"/>
      <c r="C686" s="12"/>
      <c r="D686" s="12"/>
      <c r="E686" s="12"/>
      <c r="F686" s="16" t="str">
        <f aca="false">IF(B686="","",IFERROR(INDEX(Zones!$B$2:$B$15,MATCH(B686,Zones!$A$2:$A$15,0)),"⚠ zone inconnue"))</f>
        <v/>
      </c>
      <c r="G686" s="12"/>
      <c r="H686" s="12"/>
      <c r="I686" s="12"/>
      <c r="J686" s="12"/>
    </row>
    <row r="687" customFormat="false" ht="15" hidden="false" customHeight="false" outlineLevel="0" collapsed="false">
      <c r="A687" s="14" t="str">
        <f aca="false">IF(OR(B687="",C687="",D687="",E687=""),"",UPPER(B687)&amp;TEXT(C687,"00")&amp;"-"&amp;D687&amp;"-"&amp;TEXT(E687,"00"))</f>
        <v/>
      </c>
      <c r="B687" s="12"/>
      <c r="C687" s="12"/>
      <c r="D687" s="12"/>
      <c r="E687" s="12"/>
      <c r="F687" s="16" t="str">
        <f aca="false">IF(B687="","",IFERROR(INDEX(Zones!$B$2:$B$15,MATCH(B687,Zones!$A$2:$A$15,0)),"⚠ zone inconnue"))</f>
        <v/>
      </c>
      <c r="G687" s="12"/>
      <c r="H687" s="12"/>
      <c r="I687" s="12"/>
      <c r="J687" s="12"/>
    </row>
    <row r="688" customFormat="false" ht="15" hidden="false" customHeight="false" outlineLevel="0" collapsed="false">
      <c r="A688" s="14" t="str">
        <f aca="false">IF(OR(B688="",C688="",D688="",E688=""),"",UPPER(B688)&amp;TEXT(C688,"00")&amp;"-"&amp;D688&amp;"-"&amp;TEXT(E688,"00"))</f>
        <v/>
      </c>
      <c r="B688" s="12"/>
      <c r="C688" s="12"/>
      <c r="D688" s="12"/>
      <c r="E688" s="12"/>
      <c r="F688" s="16" t="str">
        <f aca="false">IF(B688="","",IFERROR(INDEX(Zones!$B$2:$B$15,MATCH(B688,Zones!$A$2:$A$15,0)),"⚠ zone inconnue"))</f>
        <v/>
      </c>
      <c r="G688" s="12"/>
      <c r="H688" s="12"/>
      <c r="I688" s="12"/>
      <c r="J688" s="12"/>
    </row>
    <row r="689" customFormat="false" ht="15" hidden="false" customHeight="false" outlineLevel="0" collapsed="false">
      <c r="A689" s="14" t="str">
        <f aca="false">IF(OR(B689="",C689="",D689="",E689=""),"",UPPER(B689)&amp;TEXT(C689,"00")&amp;"-"&amp;D689&amp;"-"&amp;TEXT(E689,"00"))</f>
        <v/>
      </c>
      <c r="B689" s="12"/>
      <c r="C689" s="12"/>
      <c r="D689" s="12"/>
      <c r="E689" s="12"/>
      <c r="F689" s="16" t="str">
        <f aca="false">IF(B689="","",IFERROR(INDEX(Zones!$B$2:$B$15,MATCH(B689,Zones!$A$2:$A$15,0)),"⚠ zone inconnue"))</f>
        <v/>
      </c>
      <c r="G689" s="12"/>
      <c r="H689" s="12"/>
      <c r="I689" s="12"/>
      <c r="J689" s="12"/>
    </row>
    <row r="690" customFormat="false" ht="15" hidden="false" customHeight="false" outlineLevel="0" collapsed="false">
      <c r="A690" s="14" t="str">
        <f aca="false">IF(OR(B690="",C690="",D690="",E690=""),"",UPPER(B690)&amp;TEXT(C690,"00")&amp;"-"&amp;D690&amp;"-"&amp;TEXT(E690,"00"))</f>
        <v/>
      </c>
      <c r="B690" s="12"/>
      <c r="C690" s="12"/>
      <c r="D690" s="12"/>
      <c r="E690" s="12"/>
      <c r="F690" s="16" t="str">
        <f aca="false">IF(B690="","",IFERROR(INDEX(Zones!$B$2:$B$15,MATCH(B690,Zones!$A$2:$A$15,0)),"⚠ zone inconnue"))</f>
        <v/>
      </c>
      <c r="G690" s="12"/>
      <c r="H690" s="12"/>
      <c r="I690" s="12"/>
      <c r="J690" s="12"/>
    </row>
    <row r="691" customFormat="false" ht="15" hidden="false" customHeight="false" outlineLevel="0" collapsed="false">
      <c r="A691" s="14" t="str">
        <f aca="false">IF(OR(B691="",C691="",D691="",E691=""),"",UPPER(B691)&amp;TEXT(C691,"00")&amp;"-"&amp;D691&amp;"-"&amp;TEXT(E691,"00"))</f>
        <v/>
      </c>
      <c r="B691" s="12"/>
      <c r="C691" s="12"/>
      <c r="D691" s="12"/>
      <c r="E691" s="12"/>
      <c r="F691" s="16" t="str">
        <f aca="false">IF(B691="","",IFERROR(INDEX(Zones!$B$2:$B$15,MATCH(B691,Zones!$A$2:$A$15,0)),"⚠ zone inconnue"))</f>
        <v/>
      </c>
      <c r="G691" s="12"/>
      <c r="H691" s="12"/>
      <c r="I691" s="12"/>
      <c r="J691" s="12"/>
    </row>
    <row r="692" customFormat="false" ht="15" hidden="false" customHeight="false" outlineLevel="0" collapsed="false">
      <c r="A692" s="14" t="str">
        <f aca="false">IF(OR(B692="",C692="",D692="",E692=""),"",UPPER(B692)&amp;TEXT(C692,"00")&amp;"-"&amp;D692&amp;"-"&amp;TEXT(E692,"00"))</f>
        <v/>
      </c>
      <c r="B692" s="12"/>
      <c r="C692" s="12"/>
      <c r="D692" s="12"/>
      <c r="E692" s="12"/>
      <c r="F692" s="16" t="str">
        <f aca="false">IF(B692="","",IFERROR(INDEX(Zones!$B$2:$B$15,MATCH(B692,Zones!$A$2:$A$15,0)),"⚠ zone inconnue"))</f>
        <v/>
      </c>
      <c r="G692" s="12"/>
      <c r="H692" s="12"/>
      <c r="I692" s="12"/>
      <c r="J692" s="12"/>
    </row>
    <row r="693" customFormat="false" ht="15" hidden="false" customHeight="false" outlineLevel="0" collapsed="false">
      <c r="A693" s="14" t="str">
        <f aca="false">IF(OR(B693="",C693="",D693="",E693=""),"",UPPER(B693)&amp;TEXT(C693,"00")&amp;"-"&amp;D693&amp;"-"&amp;TEXT(E693,"00"))</f>
        <v/>
      </c>
      <c r="B693" s="12"/>
      <c r="C693" s="12"/>
      <c r="D693" s="12"/>
      <c r="E693" s="12"/>
      <c r="F693" s="16" t="str">
        <f aca="false">IF(B693="","",IFERROR(INDEX(Zones!$B$2:$B$15,MATCH(B693,Zones!$A$2:$A$15,0)),"⚠ zone inconnue"))</f>
        <v/>
      </c>
      <c r="G693" s="12"/>
      <c r="H693" s="12"/>
      <c r="I693" s="12"/>
      <c r="J693" s="12"/>
    </row>
    <row r="694" customFormat="false" ht="15" hidden="false" customHeight="false" outlineLevel="0" collapsed="false">
      <c r="A694" s="14" t="str">
        <f aca="false">IF(OR(B694="",C694="",D694="",E694=""),"",UPPER(B694)&amp;TEXT(C694,"00")&amp;"-"&amp;D694&amp;"-"&amp;TEXT(E694,"00"))</f>
        <v/>
      </c>
      <c r="B694" s="12"/>
      <c r="C694" s="12"/>
      <c r="D694" s="12"/>
      <c r="E694" s="12"/>
      <c r="F694" s="16" t="str">
        <f aca="false">IF(B694="","",IFERROR(INDEX(Zones!$B$2:$B$15,MATCH(B694,Zones!$A$2:$A$15,0)),"⚠ zone inconnue"))</f>
        <v/>
      </c>
      <c r="G694" s="12"/>
      <c r="H694" s="12"/>
      <c r="I694" s="12"/>
      <c r="J694" s="12"/>
    </row>
    <row r="695" customFormat="false" ht="15" hidden="false" customHeight="false" outlineLevel="0" collapsed="false">
      <c r="A695" s="14" t="str">
        <f aca="false">IF(OR(B695="",C695="",D695="",E695=""),"",UPPER(B695)&amp;TEXT(C695,"00")&amp;"-"&amp;D695&amp;"-"&amp;TEXT(E695,"00"))</f>
        <v/>
      </c>
      <c r="B695" s="12"/>
      <c r="C695" s="12"/>
      <c r="D695" s="12"/>
      <c r="E695" s="12"/>
      <c r="F695" s="16" t="str">
        <f aca="false">IF(B695="","",IFERROR(INDEX(Zones!$B$2:$B$15,MATCH(B695,Zones!$A$2:$A$15,0)),"⚠ zone inconnue"))</f>
        <v/>
      </c>
      <c r="G695" s="12"/>
      <c r="H695" s="12"/>
      <c r="I695" s="12"/>
      <c r="J695" s="12"/>
    </row>
    <row r="696" customFormat="false" ht="15" hidden="false" customHeight="false" outlineLevel="0" collapsed="false">
      <c r="A696" s="14" t="str">
        <f aca="false">IF(OR(B696="",C696="",D696="",E696=""),"",UPPER(B696)&amp;TEXT(C696,"00")&amp;"-"&amp;D696&amp;"-"&amp;TEXT(E696,"00"))</f>
        <v/>
      </c>
      <c r="B696" s="12"/>
      <c r="C696" s="12"/>
      <c r="D696" s="12"/>
      <c r="E696" s="12"/>
      <c r="F696" s="16" t="str">
        <f aca="false">IF(B696="","",IFERROR(INDEX(Zones!$B$2:$B$15,MATCH(B696,Zones!$A$2:$A$15,0)),"⚠ zone inconnue"))</f>
        <v/>
      </c>
      <c r="G696" s="12"/>
      <c r="H696" s="12"/>
      <c r="I696" s="12"/>
      <c r="J696" s="12"/>
    </row>
    <row r="697" customFormat="false" ht="15" hidden="false" customHeight="false" outlineLevel="0" collapsed="false">
      <c r="A697" s="14" t="str">
        <f aca="false">IF(OR(B697="",C697="",D697="",E697=""),"",UPPER(B697)&amp;TEXT(C697,"00")&amp;"-"&amp;D697&amp;"-"&amp;TEXT(E697,"00"))</f>
        <v/>
      </c>
      <c r="B697" s="12"/>
      <c r="C697" s="12"/>
      <c r="D697" s="12"/>
      <c r="E697" s="12"/>
      <c r="F697" s="16" t="str">
        <f aca="false">IF(B697="","",IFERROR(INDEX(Zones!$B$2:$B$15,MATCH(B697,Zones!$A$2:$A$15,0)),"⚠ zone inconnue"))</f>
        <v/>
      </c>
      <c r="G697" s="12"/>
      <c r="H697" s="12"/>
      <c r="I697" s="12"/>
      <c r="J697" s="12"/>
    </row>
    <row r="698" customFormat="false" ht="15" hidden="false" customHeight="false" outlineLevel="0" collapsed="false">
      <c r="A698" s="14" t="str">
        <f aca="false">IF(OR(B698="",C698="",D698="",E698=""),"",UPPER(B698)&amp;TEXT(C698,"00")&amp;"-"&amp;D698&amp;"-"&amp;TEXT(E698,"00"))</f>
        <v/>
      </c>
      <c r="B698" s="12"/>
      <c r="C698" s="12"/>
      <c r="D698" s="12"/>
      <c r="E698" s="12"/>
      <c r="F698" s="16" t="str">
        <f aca="false">IF(B698="","",IFERROR(INDEX(Zones!$B$2:$B$15,MATCH(B698,Zones!$A$2:$A$15,0)),"⚠ zone inconnue"))</f>
        <v/>
      </c>
      <c r="G698" s="12"/>
      <c r="H698" s="12"/>
      <c r="I698" s="12"/>
      <c r="J698" s="12"/>
    </row>
    <row r="699" customFormat="false" ht="15" hidden="false" customHeight="false" outlineLevel="0" collapsed="false">
      <c r="A699" s="14" t="str">
        <f aca="false">IF(OR(B699="",C699="",D699="",E699=""),"",UPPER(B699)&amp;TEXT(C699,"00")&amp;"-"&amp;D699&amp;"-"&amp;TEXT(E699,"00"))</f>
        <v/>
      </c>
      <c r="B699" s="12"/>
      <c r="C699" s="12"/>
      <c r="D699" s="12"/>
      <c r="E699" s="12"/>
      <c r="F699" s="16" t="str">
        <f aca="false">IF(B699="","",IFERROR(INDEX(Zones!$B$2:$B$15,MATCH(B699,Zones!$A$2:$A$15,0)),"⚠ zone inconnue"))</f>
        <v/>
      </c>
      <c r="G699" s="12"/>
      <c r="H699" s="12"/>
      <c r="I699" s="12"/>
      <c r="J699" s="12"/>
    </row>
    <row r="700" customFormat="false" ht="15" hidden="false" customHeight="false" outlineLevel="0" collapsed="false">
      <c r="A700" s="14" t="str">
        <f aca="false">IF(OR(B700="",C700="",D700="",E700=""),"",UPPER(B700)&amp;TEXT(C700,"00")&amp;"-"&amp;D700&amp;"-"&amp;TEXT(E700,"00"))</f>
        <v/>
      </c>
      <c r="B700" s="12"/>
      <c r="C700" s="12"/>
      <c r="D700" s="12"/>
      <c r="E700" s="12"/>
      <c r="F700" s="16" t="str">
        <f aca="false">IF(B700="","",IFERROR(INDEX(Zones!$B$2:$B$15,MATCH(B700,Zones!$A$2:$A$15,0)),"⚠ zone inconnue"))</f>
        <v/>
      </c>
      <c r="G700" s="12"/>
      <c r="H700" s="12"/>
      <c r="I700" s="12"/>
      <c r="J700" s="12"/>
    </row>
    <row r="701" customFormat="false" ht="15" hidden="false" customHeight="false" outlineLevel="0" collapsed="false">
      <c r="A701" s="14" t="str">
        <f aca="false">IF(OR(B701="",C701="",D701="",E701=""),"",UPPER(B701)&amp;TEXT(C701,"00")&amp;"-"&amp;D701&amp;"-"&amp;TEXT(E701,"00"))</f>
        <v/>
      </c>
      <c r="B701" s="12"/>
      <c r="C701" s="12"/>
      <c r="D701" s="12"/>
      <c r="E701" s="12"/>
      <c r="F701" s="16" t="str">
        <f aca="false">IF(B701="","",IFERROR(INDEX(Zones!$B$2:$B$15,MATCH(B701,Zones!$A$2:$A$15,0)),"⚠ zone inconnue"))</f>
        <v/>
      </c>
      <c r="G701" s="12"/>
      <c r="H701" s="12"/>
      <c r="I701" s="12"/>
      <c r="J701" s="12"/>
    </row>
    <row r="702" customFormat="false" ht="15" hidden="false" customHeight="false" outlineLevel="0" collapsed="false">
      <c r="A702" s="14" t="str">
        <f aca="false">IF(OR(B702="",C702="",D702="",E702=""),"",UPPER(B702)&amp;TEXT(C702,"00")&amp;"-"&amp;D702&amp;"-"&amp;TEXT(E702,"00"))</f>
        <v/>
      </c>
      <c r="B702" s="12"/>
      <c r="C702" s="12"/>
      <c r="D702" s="12"/>
      <c r="E702" s="12"/>
      <c r="F702" s="16" t="str">
        <f aca="false">IF(B702="","",IFERROR(INDEX(Zones!$B$2:$B$15,MATCH(B702,Zones!$A$2:$A$15,0)),"⚠ zone inconnue"))</f>
        <v/>
      </c>
      <c r="G702" s="12"/>
      <c r="H702" s="12"/>
      <c r="I702" s="12"/>
      <c r="J702" s="12"/>
    </row>
    <row r="703" customFormat="false" ht="15" hidden="false" customHeight="false" outlineLevel="0" collapsed="false">
      <c r="A703" s="14" t="str">
        <f aca="false">IF(OR(B703="",C703="",D703="",E703=""),"",UPPER(B703)&amp;TEXT(C703,"00")&amp;"-"&amp;D703&amp;"-"&amp;TEXT(E703,"00"))</f>
        <v/>
      </c>
      <c r="B703" s="12"/>
      <c r="C703" s="12"/>
      <c r="D703" s="12"/>
      <c r="E703" s="12"/>
      <c r="F703" s="16" t="str">
        <f aca="false">IF(B703="","",IFERROR(INDEX(Zones!$B$2:$B$15,MATCH(B703,Zones!$A$2:$A$15,0)),"⚠ zone inconnue"))</f>
        <v/>
      </c>
      <c r="G703" s="12"/>
      <c r="H703" s="12"/>
      <c r="I703" s="12"/>
      <c r="J703" s="12"/>
    </row>
    <row r="704" customFormat="false" ht="15" hidden="false" customHeight="false" outlineLevel="0" collapsed="false">
      <c r="A704" s="14" t="str">
        <f aca="false">IF(OR(B704="",C704="",D704="",E704=""),"",UPPER(B704)&amp;TEXT(C704,"00")&amp;"-"&amp;D704&amp;"-"&amp;TEXT(E704,"00"))</f>
        <v/>
      </c>
      <c r="B704" s="12"/>
      <c r="C704" s="12"/>
      <c r="D704" s="12"/>
      <c r="E704" s="12"/>
      <c r="F704" s="16" t="str">
        <f aca="false">IF(B704="","",IFERROR(INDEX(Zones!$B$2:$B$15,MATCH(B704,Zones!$A$2:$A$15,0)),"⚠ zone inconnue"))</f>
        <v/>
      </c>
      <c r="G704" s="12"/>
      <c r="H704" s="12"/>
      <c r="I704" s="12"/>
      <c r="J704" s="12"/>
    </row>
    <row r="705" customFormat="false" ht="15" hidden="false" customHeight="false" outlineLevel="0" collapsed="false">
      <c r="A705" s="14" t="str">
        <f aca="false">IF(OR(B705="",C705="",D705="",E705=""),"",UPPER(B705)&amp;TEXT(C705,"00")&amp;"-"&amp;D705&amp;"-"&amp;TEXT(E705,"00"))</f>
        <v/>
      </c>
      <c r="B705" s="12"/>
      <c r="C705" s="12"/>
      <c r="D705" s="12"/>
      <c r="E705" s="12"/>
      <c r="F705" s="16" t="str">
        <f aca="false">IF(B705="","",IFERROR(INDEX(Zones!$B$2:$B$15,MATCH(B705,Zones!$A$2:$A$15,0)),"⚠ zone inconnue"))</f>
        <v/>
      </c>
      <c r="G705" s="12"/>
      <c r="H705" s="12"/>
      <c r="I705" s="12"/>
      <c r="J705" s="12"/>
    </row>
    <row r="706" customFormat="false" ht="15" hidden="false" customHeight="false" outlineLevel="0" collapsed="false">
      <c r="A706" s="14" t="str">
        <f aca="false">IF(OR(B706="",C706="",D706="",E706=""),"",UPPER(B706)&amp;TEXT(C706,"00")&amp;"-"&amp;D706&amp;"-"&amp;TEXT(E706,"00"))</f>
        <v/>
      </c>
      <c r="B706" s="12"/>
      <c r="C706" s="12"/>
      <c r="D706" s="12"/>
      <c r="E706" s="12"/>
      <c r="F706" s="16" t="str">
        <f aca="false">IF(B706="","",IFERROR(INDEX(Zones!$B$2:$B$15,MATCH(B706,Zones!$A$2:$A$15,0)),"⚠ zone inconnue"))</f>
        <v/>
      </c>
      <c r="G706" s="12"/>
      <c r="H706" s="12"/>
      <c r="I706" s="12"/>
      <c r="J706" s="12"/>
    </row>
    <row r="707" customFormat="false" ht="15" hidden="false" customHeight="false" outlineLevel="0" collapsed="false">
      <c r="A707" s="14" t="str">
        <f aca="false">IF(OR(B707="",C707="",D707="",E707=""),"",UPPER(B707)&amp;TEXT(C707,"00")&amp;"-"&amp;D707&amp;"-"&amp;TEXT(E707,"00"))</f>
        <v/>
      </c>
      <c r="B707" s="12"/>
      <c r="C707" s="12"/>
      <c r="D707" s="12"/>
      <c r="E707" s="12"/>
      <c r="F707" s="16" t="str">
        <f aca="false">IF(B707="","",IFERROR(INDEX(Zones!$B$2:$B$15,MATCH(B707,Zones!$A$2:$A$15,0)),"⚠ zone inconnue"))</f>
        <v/>
      </c>
      <c r="G707" s="12"/>
      <c r="H707" s="12"/>
      <c r="I707" s="12"/>
      <c r="J707" s="12"/>
    </row>
    <row r="708" customFormat="false" ht="15" hidden="false" customHeight="false" outlineLevel="0" collapsed="false">
      <c r="A708" s="14" t="str">
        <f aca="false">IF(OR(B708="",C708="",D708="",E708=""),"",UPPER(B708)&amp;TEXT(C708,"00")&amp;"-"&amp;D708&amp;"-"&amp;TEXT(E708,"00"))</f>
        <v/>
      </c>
      <c r="B708" s="12"/>
      <c r="C708" s="12"/>
      <c r="D708" s="12"/>
      <c r="E708" s="12"/>
      <c r="F708" s="16" t="str">
        <f aca="false">IF(B708="","",IFERROR(INDEX(Zones!$B$2:$B$15,MATCH(B708,Zones!$A$2:$A$15,0)),"⚠ zone inconnue"))</f>
        <v/>
      </c>
      <c r="G708" s="12"/>
      <c r="H708" s="12"/>
      <c r="I708" s="12"/>
      <c r="J708" s="12"/>
    </row>
    <row r="709" customFormat="false" ht="15" hidden="false" customHeight="false" outlineLevel="0" collapsed="false">
      <c r="A709" s="14" t="str">
        <f aca="false">IF(OR(B709="",C709="",D709="",E709=""),"",UPPER(B709)&amp;TEXT(C709,"00")&amp;"-"&amp;D709&amp;"-"&amp;TEXT(E709,"00"))</f>
        <v/>
      </c>
      <c r="B709" s="12"/>
      <c r="C709" s="12"/>
      <c r="D709" s="12"/>
      <c r="E709" s="12"/>
      <c r="F709" s="16" t="str">
        <f aca="false">IF(B709="","",IFERROR(INDEX(Zones!$B$2:$B$15,MATCH(B709,Zones!$A$2:$A$15,0)),"⚠ zone inconnue"))</f>
        <v/>
      </c>
      <c r="G709" s="12"/>
      <c r="H709" s="12"/>
      <c r="I709" s="12"/>
      <c r="J709" s="12"/>
    </row>
    <row r="710" customFormat="false" ht="15" hidden="false" customHeight="false" outlineLevel="0" collapsed="false">
      <c r="A710" s="14" t="str">
        <f aca="false">IF(OR(B710="",C710="",D710="",E710=""),"",UPPER(B710)&amp;TEXT(C710,"00")&amp;"-"&amp;D710&amp;"-"&amp;TEXT(E710,"00"))</f>
        <v/>
      </c>
      <c r="B710" s="12"/>
      <c r="C710" s="12"/>
      <c r="D710" s="12"/>
      <c r="E710" s="12"/>
      <c r="F710" s="16" t="str">
        <f aca="false">IF(B710="","",IFERROR(INDEX(Zones!$B$2:$B$15,MATCH(B710,Zones!$A$2:$A$15,0)),"⚠ zone inconnue"))</f>
        <v/>
      </c>
      <c r="G710" s="12"/>
      <c r="H710" s="12"/>
      <c r="I710" s="12"/>
      <c r="J710" s="12"/>
    </row>
    <row r="711" customFormat="false" ht="15" hidden="false" customHeight="false" outlineLevel="0" collapsed="false">
      <c r="A711" s="14" t="str">
        <f aca="false">IF(OR(B711="",C711="",D711="",E711=""),"",UPPER(B711)&amp;TEXT(C711,"00")&amp;"-"&amp;D711&amp;"-"&amp;TEXT(E711,"00"))</f>
        <v/>
      </c>
      <c r="B711" s="12"/>
      <c r="C711" s="12"/>
      <c r="D711" s="12"/>
      <c r="E711" s="12"/>
      <c r="F711" s="16" t="str">
        <f aca="false">IF(B711="","",IFERROR(INDEX(Zones!$B$2:$B$15,MATCH(B711,Zones!$A$2:$A$15,0)),"⚠ zone inconnue"))</f>
        <v/>
      </c>
      <c r="G711" s="12"/>
      <c r="H711" s="12"/>
      <c r="I711" s="12"/>
      <c r="J711" s="12"/>
    </row>
    <row r="712" customFormat="false" ht="15" hidden="false" customHeight="false" outlineLevel="0" collapsed="false">
      <c r="A712" s="14" t="str">
        <f aca="false">IF(OR(B712="",C712="",D712="",E712=""),"",UPPER(B712)&amp;TEXT(C712,"00")&amp;"-"&amp;D712&amp;"-"&amp;TEXT(E712,"00"))</f>
        <v/>
      </c>
      <c r="B712" s="12"/>
      <c r="C712" s="12"/>
      <c r="D712" s="12"/>
      <c r="E712" s="12"/>
      <c r="F712" s="16" t="str">
        <f aca="false">IF(B712="","",IFERROR(INDEX(Zones!$B$2:$B$15,MATCH(B712,Zones!$A$2:$A$15,0)),"⚠ zone inconnue"))</f>
        <v/>
      </c>
      <c r="G712" s="12"/>
      <c r="H712" s="12"/>
      <c r="I712" s="12"/>
      <c r="J712" s="12"/>
    </row>
    <row r="713" customFormat="false" ht="15" hidden="false" customHeight="false" outlineLevel="0" collapsed="false">
      <c r="A713" s="14" t="str">
        <f aca="false">IF(OR(B713="",C713="",D713="",E713=""),"",UPPER(B713)&amp;TEXT(C713,"00")&amp;"-"&amp;D713&amp;"-"&amp;TEXT(E713,"00"))</f>
        <v/>
      </c>
      <c r="B713" s="12"/>
      <c r="C713" s="12"/>
      <c r="D713" s="12"/>
      <c r="E713" s="12"/>
      <c r="F713" s="16" t="str">
        <f aca="false">IF(B713="","",IFERROR(INDEX(Zones!$B$2:$B$15,MATCH(B713,Zones!$A$2:$A$15,0)),"⚠ zone inconnue"))</f>
        <v/>
      </c>
      <c r="G713" s="12"/>
      <c r="H713" s="12"/>
      <c r="I713" s="12"/>
      <c r="J713" s="12"/>
    </row>
    <row r="714" customFormat="false" ht="15" hidden="false" customHeight="false" outlineLevel="0" collapsed="false">
      <c r="A714" s="14" t="str">
        <f aca="false">IF(OR(B714="",C714="",D714="",E714=""),"",UPPER(B714)&amp;TEXT(C714,"00")&amp;"-"&amp;D714&amp;"-"&amp;TEXT(E714,"00"))</f>
        <v/>
      </c>
      <c r="B714" s="12"/>
      <c r="C714" s="12"/>
      <c r="D714" s="12"/>
      <c r="E714" s="12"/>
      <c r="F714" s="16" t="str">
        <f aca="false">IF(B714="","",IFERROR(INDEX(Zones!$B$2:$B$15,MATCH(B714,Zones!$A$2:$A$15,0)),"⚠ zone inconnue"))</f>
        <v/>
      </c>
      <c r="G714" s="12"/>
      <c r="H714" s="12"/>
      <c r="I714" s="12"/>
      <c r="J714" s="12"/>
    </row>
    <row r="715" customFormat="false" ht="15" hidden="false" customHeight="false" outlineLevel="0" collapsed="false">
      <c r="A715" s="14" t="str">
        <f aca="false">IF(OR(B715="",C715="",D715="",E715=""),"",UPPER(B715)&amp;TEXT(C715,"00")&amp;"-"&amp;D715&amp;"-"&amp;TEXT(E715,"00"))</f>
        <v/>
      </c>
      <c r="B715" s="12"/>
      <c r="C715" s="12"/>
      <c r="D715" s="12"/>
      <c r="E715" s="12"/>
      <c r="F715" s="16" t="str">
        <f aca="false">IF(B715="","",IFERROR(INDEX(Zones!$B$2:$B$15,MATCH(B715,Zones!$A$2:$A$15,0)),"⚠ zone inconnue"))</f>
        <v/>
      </c>
      <c r="G715" s="12"/>
      <c r="H715" s="12"/>
      <c r="I715" s="12"/>
      <c r="J715" s="12"/>
    </row>
    <row r="716" customFormat="false" ht="15" hidden="false" customHeight="false" outlineLevel="0" collapsed="false">
      <c r="A716" s="14" t="str">
        <f aca="false">IF(OR(B716="",C716="",D716="",E716=""),"",UPPER(B716)&amp;TEXT(C716,"00")&amp;"-"&amp;D716&amp;"-"&amp;TEXT(E716,"00"))</f>
        <v/>
      </c>
      <c r="B716" s="12"/>
      <c r="C716" s="12"/>
      <c r="D716" s="12"/>
      <c r="E716" s="12"/>
      <c r="F716" s="16" t="str">
        <f aca="false">IF(B716="","",IFERROR(INDEX(Zones!$B$2:$B$15,MATCH(B716,Zones!$A$2:$A$15,0)),"⚠ zone inconnue"))</f>
        <v/>
      </c>
      <c r="G716" s="12"/>
      <c r="H716" s="12"/>
      <c r="I716" s="12"/>
      <c r="J716" s="12"/>
    </row>
    <row r="717" customFormat="false" ht="15" hidden="false" customHeight="false" outlineLevel="0" collapsed="false">
      <c r="A717" s="14" t="str">
        <f aca="false">IF(OR(B717="",C717="",D717="",E717=""),"",UPPER(B717)&amp;TEXT(C717,"00")&amp;"-"&amp;D717&amp;"-"&amp;TEXT(E717,"00"))</f>
        <v/>
      </c>
      <c r="B717" s="12"/>
      <c r="C717" s="12"/>
      <c r="D717" s="12"/>
      <c r="E717" s="12"/>
      <c r="F717" s="16" t="str">
        <f aca="false">IF(B717="","",IFERROR(INDEX(Zones!$B$2:$B$15,MATCH(B717,Zones!$A$2:$A$15,0)),"⚠ zone inconnue"))</f>
        <v/>
      </c>
      <c r="G717" s="12"/>
      <c r="H717" s="12"/>
      <c r="I717" s="12"/>
      <c r="J717" s="12"/>
    </row>
    <row r="718" customFormat="false" ht="15" hidden="false" customHeight="false" outlineLevel="0" collapsed="false">
      <c r="A718" s="14" t="str">
        <f aca="false">IF(OR(B718="",C718="",D718="",E718=""),"",UPPER(B718)&amp;TEXT(C718,"00")&amp;"-"&amp;D718&amp;"-"&amp;TEXT(E718,"00"))</f>
        <v/>
      </c>
      <c r="B718" s="12"/>
      <c r="C718" s="12"/>
      <c r="D718" s="12"/>
      <c r="E718" s="12"/>
      <c r="F718" s="16" t="str">
        <f aca="false">IF(B718="","",IFERROR(INDEX(Zones!$B$2:$B$15,MATCH(B718,Zones!$A$2:$A$15,0)),"⚠ zone inconnue"))</f>
        <v/>
      </c>
      <c r="G718" s="12"/>
      <c r="H718" s="12"/>
      <c r="I718" s="12"/>
      <c r="J718" s="12"/>
    </row>
    <row r="719" customFormat="false" ht="15" hidden="false" customHeight="false" outlineLevel="0" collapsed="false">
      <c r="A719" s="14" t="str">
        <f aca="false">IF(OR(B719="",C719="",D719="",E719=""),"",UPPER(B719)&amp;TEXT(C719,"00")&amp;"-"&amp;D719&amp;"-"&amp;TEXT(E719,"00"))</f>
        <v/>
      </c>
      <c r="B719" s="12"/>
      <c r="C719" s="12"/>
      <c r="D719" s="12"/>
      <c r="E719" s="12"/>
      <c r="F719" s="16" t="str">
        <f aca="false">IF(B719="","",IFERROR(INDEX(Zones!$B$2:$B$15,MATCH(B719,Zones!$A$2:$A$15,0)),"⚠ zone inconnue"))</f>
        <v/>
      </c>
      <c r="G719" s="12"/>
      <c r="H719" s="12"/>
      <c r="I719" s="12"/>
      <c r="J719" s="12"/>
    </row>
    <row r="720" customFormat="false" ht="15" hidden="false" customHeight="false" outlineLevel="0" collapsed="false">
      <c r="A720" s="14" t="str">
        <f aca="false">IF(OR(B720="",C720="",D720="",E720=""),"",UPPER(B720)&amp;TEXT(C720,"00")&amp;"-"&amp;D720&amp;"-"&amp;TEXT(E720,"00"))</f>
        <v/>
      </c>
      <c r="B720" s="12"/>
      <c r="C720" s="12"/>
      <c r="D720" s="12"/>
      <c r="E720" s="12"/>
      <c r="F720" s="16" t="str">
        <f aca="false">IF(B720="","",IFERROR(INDEX(Zones!$B$2:$B$15,MATCH(B720,Zones!$A$2:$A$15,0)),"⚠ zone inconnue"))</f>
        <v/>
      </c>
      <c r="G720" s="12"/>
      <c r="H720" s="12"/>
      <c r="I720" s="12"/>
      <c r="J720" s="12"/>
    </row>
    <row r="721" customFormat="false" ht="15" hidden="false" customHeight="false" outlineLevel="0" collapsed="false">
      <c r="A721" s="14" t="str">
        <f aca="false">IF(OR(B721="",C721="",D721="",E721=""),"",UPPER(B721)&amp;TEXT(C721,"00")&amp;"-"&amp;D721&amp;"-"&amp;TEXT(E721,"00"))</f>
        <v/>
      </c>
      <c r="B721" s="12"/>
      <c r="C721" s="12"/>
      <c r="D721" s="12"/>
      <c r="E721" s="12"/>
      <c r="F721" s="16" t="str">
        <f aca="false">IF(B721="","",IFERROR(INDEX(Zones!$B$2:$B$15,MATCH(B721,Zones!$A$2:$A$15,0)),"⚠ zone inconnue"))</f>
        <v/>
      </c>
      <c r="G721" s="12"/>
      <c r="H721" s="12"/>
      <c r="I721" s="12"/>
      <c r="J721" s="12"/>
    </row>
    <row r="722" customFormat="false" ht="15" hidden="false" customHeight="false" outlineLevel="0" collapsed="false">
      <c r="A722" s="14" t="str">
        <f aca="false">IF(OR(B722="",C722="",D722="",E722=""),"",UPPER(B722)&amp;TEXT(C722,"00")&amp;"-"&amp;D722&amp;"-"&amp;TEXT(E722,"00"))</f>
        <v/>
      </c>
      <c r="B722" s="12"/>
      <c r="C722" s="12"/>
      <c r="D722" s="12"/>
      <c r="E722" s="12"/>
      <c r="F722" s="16" t="str">
        <f aca="false">IF(B722="","",IFERROR(INDEX(Zones!$B$2:$B$15,MATCH(B722,Zones!$A$2:$A$15,0)),"⚠ zone inconnue"))</f>
        <v/>
      </c>
      <c r="G722" s="12"/>
      <c r="H722" s="12"/>
      <c r="I722" s="12"/>
      <c r="J722" s="12"/>
    </row>
    <row r="723" customFormat="false" ht="15" hidden="false" customHeight="false" outlineLevel="0" collapsed="false">
      <c r="A723" s="14" t="str">
        <f aca="false">IF(OR(B723="",C723="",D723="",E723=""),"",UPPER(B723)&amp;TEXT(C723,"00")&amp;"-"&amp;D723&amp;"-"&amp;TEXT(E723,"00"))</f>
        <v/>
      </c>
      <c r="B723" s="12"/>
      <c r="C723" s="12"/>
      <c r="D723" s="12"/>
      <c r="E723" s="12"/>
      <c r="F723" s="16" t="str">
        <f aca="false">IF(B723="","",IFERROR(INDEX(Zones!$B$2:$B$15,MATCH(B723,Zones!$A$2:$A$15,0)),"⚠ zone inconnue"))</f>
        <v/>
      </c>
      <c r="G723" s="12"/>
      <c r="H723" s="12"/>
      <c r="I723" s="12"/>
      <c r="J723" s="12"/>
    </row>
    <row r="724" customFormat="false" ht="15" hidden="false" customHeight="false" outlineLevel="0" collapsed="false">
      <c r="A724" s="14" t="str">
        <f aca="false">IF(OR(B724="",C724="",D724="",E724=""),"",UPPER(B724)&amp;TEXT(C724,"00")&amp;"-"&amp;D724&amp;"-"&amp;TEXT(E724,"00"))</f>
        <v/>
      </c>
      <c r="B724" s="12"/>
      <c r="C724" s="12"/>
      <c r="D724" s="12"/>
      <c r="E724" s="12"/>
      <c r="F724" s="16" t="str">
        <f aca="false">IF(B724="","",IFERROR(INDEX(Zones!$B$2:$B$15,MATCH(B724,Zones!$A$2:$A$15,0)),"⚠ zone inconnue"))</f>
        <v/>
      </c>
      <c r="G724" s="12"/>
      <c r="H724" s="12"/>
      <c r="I724" s="12"/>
      <c r="J724" s="12"/>
    </row>
    <row r="725" customFormat="false" ht="15" hidden="false" customHeight="false" outlineLevel="0" collapsed="false">
      <c r="A725" s="14" t="str">
        <f aca="false">IF(OR(B725="",C725="",D725="",E725=""),"",UPPER(B725)&amp;TEXT(C725,"00")&amp;"-"&amp;D725&amp;"-"&amp;TEXT(E725,"00"))</f>
        <v/>
      </c>
      <c r="B725" s="12"/>
      <c r="C725" s="12"/>
      <c r="D725" s="12"/>
      <c r="E725" s="12"/>
      <c r="F725" s="16" t="str">
        <f aca="false">IF(B725="","",IFERROR(INDEX(Zones!$B$2:$B$15,MATCH(B725,Zones!$A$2:$A$15,0)),"⚠ zone inconnue"))</f>
        <v/>
      </c>
      <c r="G725" s="12"/>
      <c r="H725" s="12"/>
      <c r="I725" s="12"/>
      <c r="J725" s="12"/>
    </row>
    <row r="726" customFormat="false" ht="15" hidden="false" customHeight="false" outlineLevel="0" collapsed="false">
      <c r="A726" s="14" t="str">
        <f aca="false">IF(OR(B726="",C726="",D726="",E726=""),"",UPPER(B726)&amp;TEXT(C726,"00")&amp;"-"&amp;D726&amp;"-"&amp;TEXT(E726,"00"))</f>
        <v/>
      </c>
      <c r="B726" s="12"/>
      <c r="C726" s="12"/>
      <c r="D726" s="12"/>
      <c r="E726" s="12"/>
      <c r="F726" s="16" t="str">
        <f aca="false">IF(B726="","",IFERROR(INDEX(Zones!$B$2:$B$15,MATCH(B726,Zones!$A$2:$A$15,0)),"⚠ zone inconnue"))</f>
        <v/>
      </c>
      <c r="G726" s="12"/>
      <c r="H726" s="12"/>
      <c r="I726" s="12"/>
      <c r="J726" s="12"/>
    </row>
    <row r="727" customFormat="false" ht="15" hidden="false" customHeight="false" outlineLevel="0" collapsed="false">
      <c r="A727" s="14" t="str">
        <f aca="false">IF(OR(B727="",C727="",D727="",E727=""),"",UPPER(B727)&amp;TEXT(C727,"00")&amp;"-"&amp;D727&amp;"-"&amp;TEXT(E727,"00"))</f>
        <v/>
      </c>
      <c r="B727" s="12"/>
      <c r="C727" s="12"/>
      <c r="D727" s="12"/>
      <c r="E727" s="12"/>
      <c r="F727" s="16" t="str">
        <f aca="false">IF(B727="","",IFERROR(INDEX(Zones!$B$2:$B$15,MATCH(B727,Zones!$A$2:$A$15,0)),"⚠ zone inconnue"))</f>
        <v/>
      </c>
      <c r="G727" s="12"/>
      <c r="H727" s="12"/>
      <c r="I727" s="12"/>
      <c r="J727" s="12"/>
    </row>
    <row r="728" customFormat="false" ht="15" hidden="false" customHeight="false" outlineLevel="0" collapsed="false">
      <c r="A728" s="14" t="str">
        <f aca="false">IF(OR(B728="",C728="",D728="",E728=""),"",UPPER(B728)&amp;TEXT(C728,"00")&amp;"-"&amp;D728&amp;"-"&amp;TEXT(E728,"00"))</f>
        <v/>
      </c>
      <c r="B728" s="12"/>
      <c r="C728" s="12"/>
      <c r="D728" s="12"/>
      <c r="E728" s="12"/>
      <c r="F728" s="16" t="str">
        <f aca="false">IF(B728="","",IFERROR(INDEX(Zones!$B$2:$B$15,MATCH(B728,Zones!$A$2:$A$15,0)),"⚠ zone inconnue"))</f>
        <v/>
      </c>
      <c r="G728" s="12"/>
      <c r="H728" s="12"/>
      <c r="I728" s="12"/>
      <c r="J728" s="12"/>
    </row>
    <row r="729" customFormat="false" ht="15" hidden="false" customHeight="false" outlineLevel="0" collapsed="false">
      <c r="A729" s="14" t="str">
        <f aca="false">IF(OR(B729="",C729="",D729="",E729=""),"",UPPER(B729)&amp;TEXT(C729,"00")&amp;"-"&amp;D729&amp;"-"&amp;TEXT(E729,"00"))</f>
        <v/>
      </c>
      <c r="B729" s="12"/>
      <c r="C729" s="12"/>
      <c r="D729" s="12"/>
      <c r="E729" s="12"/>
      <c r="F729" s="16" t="str">
        <f aca="false">IF(B729="","",IFERROR(INDEX(Zones!$B$2:$B$15,MATCH(B729,Zones!$A$2:$A$15,0)),"⚠ zone inconnue"))</f>
        <v/>
      </c>
      <c r="G729" s="12"/>
      <c r="H729" s="12"/>
      <c r="I729" s="12"/>
      <c r="J729" s="12"/>
    </row>
    <row r="730" customFormat="false" ht="15" hidden="false" customHeight="false" outlineLevel="0" collapsed="false">
      <c r="A730" s="14" t="str">
        <f aca="false">IF(OR(B730="",C730="",D730="",E730=""),"",UPPER(B730)&amp;TEXT(C730,"00")&amp;"-"&amp;D730&amp;"-"&amp;TEXT(E730,"00"))</f>
        <v/>
      </c>
      <c r="B730" s="12"/>
      <c r="C730" s="12"/>
      <c r="D730" s="12"/>
      <c r="E730" s="12"/>
      <c r="F730" s="16" t="str">
        <f aca="false">IF(B730="","",IFERROR(INDEX(Zones!$B$2:$B$15,MATCH(B730,Zones!$A$2:$A$15,0)),"⚠ zone inconnue"))</f>
        <v/>
      </c>
      <c r="G730" s="12"/>
      <c r="H730" s="12"/>
      <c r="I730" s="12"/>
      <c r="J730" s="12"/>
    </row>
    <row r="731" customFormat="false" ht="15" hidden="false" customHeight="false" outlineLevel="0" collapsed="false">
      <c r="A731" s="14" t="str">
        <f aca="false">IF(OR(B731="",C731="",D731="",E731=""),"",UPPER(B731)&amp;TEXT(C731,"00")&amp;"-"&amp;D731&amp;"-"&amp;TEXT(E731,"00"))</f>
        <v/>
      </c>
      <c r="B731" s="12"/>
      <c r="C731" s="12"/>
      <c r="D731" s="12"/>
      <c r="E731" s="12"/>
      <c r="F731" s="16" t="str">
        <f aca="false">IF(B731="","",IFERROR(INDEX(Zones!$B$2:$B$15,MATCH(B731,Zones!$A$2:$A$15,0)),"⚠ zone inconnue"))</f>
        <v/>
      </c>
      <c r="G731" s="12"/>
      <c r="H731" s="12"/>
      <c r="I731" s="12"/>
      <c r="J731" s="12"/>
    </row>
    <row r="732" customFormat="false" ht="15" hidden="false" customHeight="false" outlineLevel="0" collapsed="false">
      <c r="A732" s="14" t="str">
        <f aca="false">IF(OR(B732="",C732="",D732="",E732=""),"",UPPER(B732)&amp;TEXT(C732,"00")&amp;"-"&amp;D732&amp;"-"&amp;TEXT(E732,"00"))</f>
        <v/>
      </c>
      <c r="B732" s="12"/>
      <c r="C732" s="12"/>
      <c r="D732" s="12"/>
      <c r="E732" s="12"/>
      <c r="F732" s="16" t="str">
        <f aca="false">IF(B732="","",IFERROR(INDEX(Zones!$B$2:$B$15,MATCH(B732,Zones!$A$2:$A$15,0)),"⚠ zone inconnue"))</f>
        <v/>
      </c>
      <c r="G732" s="12"/>
      <c r="H732" s="12"/>
      <c r="I732" s="12"/>
      <c r="J732" s="12"/>
    </row>
    <row r="733" customFormat="false" ht="15" hidden="false" customHeight="false" outlineLevel="0" collapsed="false">
      <c r="A733" s="14" t="str">
        <f aca="false">IF(OR(B733="",C733="",D733="",E733=""),"",UPPER(B733)&amp;TEXT(C733,"00")&amp;"-"&amp;D733&amp;"-"&amp;TEXT(E733,"00"))</f>
        <v/>
      </c>
      <c r="B733" s="12"/>
      <c r="C733" s="12"/>
      <c r="D733" s="12"/>
      <c r="E733" s="12"/>
      <c r="F733" s="16" t="str">
        <f aca="false">IF(B733="","",IFERROR(INDEX(Zones!$B$2:$B$15,MATCH(B733,Zones!$A$2:$A$15,0)),"⚠ zone inconnue"))</f>
        <v/>
      </c>
      <c r="G733" s="12"/>
      <c r="H733" s="12"/>
      <c r="I733" s="12"/>
      <c r="J733" s="12"/>
    </row>
    <row r="734" customFormat="false" ht="15" hidden="false" customHeight="false" outlineLevel="0" collapsed="false">
      <c r="A734" s="14" t="str">
        <f aca="false">IF(OR(B734="",C734="",D734="",E734=""),"",UPPER(B734)&amp;TEXT(C734,"00")&amp;"-"&amp;D734&amp;"-"&amp;TEXT(E734,"00"))</f>
        <v/>
      </c>
      <c r="B734" s="12"/>
      <c r="C734" s="12"/>
      <c r="D734" s="12"/>
      <c r="E734" s="12"/>
      <c r="F734" s="16" t="str">
        <f aca="false">IF(B734="","",IFERROR(INDEX(Zones!$B$2:$B$15,MATCH(B734,Zones!$A$2:$A$15,0)),"⚠ zone inconnue"))</f>
        <v/>
      </c>
      <c r="G734" s="12"/>
      <c r="H734" s="12"/>
      <c r="I734" s="12"/>
      <c r="J734" s="12"/>
    </row>
    <row r="735" customFormat="false" ht="15" hidden="false" customHeight="false" outlineLevel="0" collapsed="false">
      <c r="A735" s="14" t="str">
        <f aca="false">IF(OR(B735="",C735="",D735="",E735=""),"",UPPER(B735)&amp;TEXT(C735,"00")&amp;"-"&amp;D735&amp;"-"&amp;TEXT(E735,"00"))</f>
        <v/>
      </c>
      <c r="B735" s="12"/>
      <c r="C735" s="12"/>
      <c r="D735" s="12"/>
      <c r="E735" s="12"/>
      <c r="F735" s="16" t="str">
        <f aca="false">IF(B735="","",IFERROR(INDEX(Zones!$B$2:$B$15,MATCH(B735,Zones!$A$2:$A$15,0)),"⚠ zone inconnue"))</f>
        <v/>
      </c>
      <c r="G735" s="12"/>
      <c r="H735" s="12"/>
      <c r="I735" s="12"/>
      <c r="J735" s="12"/>
    </row>
    <row r="736" customFormat="false" ht="15" hidden="false" customHeight="false" outlineLevel="0" collapsed="false">
      <c r="A736" s="14" t="str">
        <f aca="false">IF(OR(B736="",C736="",D736="",E736=""),"",UPPER(B736)&amp;TEXT(C736,"00")&amp;"-"&amp;D736&amp;"-"&amp;TEXT(E736,"00"))</f>
        <v/>
      </c>
      <c r="B736" s="12"/>
      <c r="C736" s="12"/>
      <c r="D736" s="12"/>
      <c r="E736" s="12"/>
      <c r="F736" s="16" t="str">
        <f aca="false">IF(B736="","",IFERROR(INDEX(Zones!$B$2:$B$15,MATCH(B736,Zones!$A$2:$A$15,0)),"⚠ zone inconnue"))</f>
        <v/>
      </c>
      <c r="G736" s="12"/>
      <c r="H736" s="12"/>
      <c r="I736" s="12"/>
      <c r="J736" s="12"/>
    </row>
    <row r="737" customFormat="false" ht="15" hidden="false" customHeight="false" outlineLevel="0" collapsed="false">
      <c r="A737" s="14" t="str">
        <f aca="false">IF(OR(B737="",C737="",D737="",E737=""),"",UPPER(B737)&amp;TEXT(C737,"00")&amp;"-"&amp;D737&amp;"-"&amp;TEXT(E737,"00"))</f>
        <v/>
      </c>
      <c r="B737" s="12"/>
      <c r="C737" s="12"/>
      <c r="D737" s="12"/>
      <c r="E737" s="12"/>
      <c r="F737" s="16" t="str">
        <f aca="false">IF(B737="","",IFERROR(INDEX(Zones!$B$2:$B$15,MATCH(B737,Zones!$A$2:$A$15,0)),"⚠ zone inconnue"))</f>
        <v/>
      </c>
      <c r="G737" s="12"/>
      <c r="H737" s="12"/>
      <c r="I737" s="12"/>
      <c r="J737" s="12"/>
    </row>
    <row r="738" customFormat="false" ht="15" hidden="false" customHeight="false" outlineLevel="0" collapsed="false">
      <c r="A738" s="14" t="str">
        <f aca="false">IF(OR(B738="",C738="",D738="",E738=""),"",UPPER(B738)&amp;TEXT(C738,"00")&amp;"-"&amp;D738&amp;"-"&amp;TEXT(E738,"00"))</f>
        <v/>
      </c>
      <c r="B738" s="12"/>
      <c r="C738" s="12"/>
      <c r="D738" s="12"/>
      <c r="E738" s="12"/>
      <c r="F738" s="16" t="str">
        <f aca="false">IF(B738="","",IFERROR(INDEX(Zones!$B$2:$B$15,MATCH(B738,Zones!$A$2:$A$15,0)),"⚠ zone inconnue"))</f>
        <v/>
      </c>
      <c r="G738" s="12"/>
      <c r="H738" s="12"/>
      <c r="I738" s="12"/>
      <c r="J738" s="12"/>
    </row>
    <row r="739" customFormat="false" ht="15" hidden="false" customHeight="false" outlineLevel="0" collapsed="false">
      <c r="A739" s="14" t="str">
        <f aca="false">IF(OR(B739="",C739="",D739="",E739=""),"",UPPER(B739)&amp;TEXT(C739,"00")&amp;"-"&amp;D739&amp;"-"&amp;TEXT(E739,"00"))</f>
        <v/>
      </c>
      <c r="B739" s="12"/>
      <c r="C739" s="12"/>
      <c r="D739" s="12"/>
      <c r="E739" s="12"/>
      <c r="F739" s="16" t="str">
        <f aca="false">IF(B739="","",IFERROR(INDEX(Zones!$B$2:$B$15,MATCH(B739,Zones!$A$2:$A$15,0)),"⚠ zone inconnue"))</f>
        <v/>
      </c>
      <c r="G739" s="12"/>
      <c r="H739" s="12"/>
      <c r="I739" s="12"/>
      <c r="J739" s="12"/>
    </row>
    <row r="740" customFormat="false" ht="15" hidden="false" customHeight="false" outlineLevel="0" collapsed="false">
      <c r="A740" s="14" t="str">
        <f aca="false">IF(OR(B740="",C740="",D740="",E740=""),"",UPPER(B740)&amp;TEXT(C740,"00")&amp;"-"&amp;D740&amp;"-"&amp;TEXT(E740,"00"))</f>
        <v/>
      </c>
      <c r="B740" s="12"/>
      <c r="C740" s="12"/>
      <c r="D740" s="12"/>
      <c r="E740" s="12"/>
      <c r="F740" s="16" t="str">
        <f aca="false">IF(B740="","",IFERROR(INDEX(Zones!$B$2:$B$15,MATCH(B740,Zones!$A$2:$A$15,0)),"⚠ zone inconnue"))</f>
        <v/>
      </c>
      <c r="G740" s="12"/>
      <c r="H740" s="12"/>
      <c r="I740" s="12"/>
      <c r="J740" s="12"/>
    </row>
    <row r="741" customFormat="false" ht="15" hidden="false" customHeight="false" outlineLevel="0" collapsed="false">
      <c r="A741" s="14" t="str">
        <f aca="false">IF(OR(B741="",C741="",D741="",E741=""),"",UPPER(B741)&amp;TEXT(C741,"00")&amp;"-"&amp;D741&amp;"-"&amp;TEXT(E741,"00"))</f>
        <v/>
      </c>
      <c r="B741" s="12"/>
      <c r="C741" s="12"/>
      <c r="D741" s="12"/>
      <c r="E741" s="12"/>
      <c r="F741" s="16" t="str">
        <f aca="false">IF(B741="","",IFERROR(INDEX(Zones!$B$2:$B$15,MATCH(B741,Zones!$A$2:$A$15,0)),"⚠ zone inconnue"))</f>
        <v/>
      </c>
      <c r="G741" s="12"/>
      <c r="H741" s="12"/>
      <c r="I741" s="12"/>
      <c r="J741" s="12"/>
    </row>
    <row r="742" customFormat="false" ht="15" hidden="false" customHeight="false" outlineLevel="0" collapsed="false">
      <c r="A742" s="14" t="str">
        <f aca="false">IF(OR(B742="",C742="",D742="",E742=""),"",UPPER(B742)&amp;TEXT(C742,"00")&amp;"-"&amp;D742&amp;"-"&amp;TEXT(E742,"00"))</f>
        <v/>
      </c>
      <c r="B742" s="12"/>
      <c r="C742" s="12"/>
      <c r="D742" s="12"/>
      <c r="E742" s="12"/>
      <c r="F742" s="16" t="str">
        <f aca="false">IF(B742="","",IFERROR(INDEX(Zones!$B$2:$B$15,MATCH(B742,Zones!$A$2:$A$15,0)),"⚠ zone inconnue"))</f>
        <v/>
      </c>
      <c r="G742" s="12"/>
      <c r="H742" s="12"/>
      <c r="I742" s="12"/>
      <c r="J742" s="12"/>
    </row>
    <row r="743" customFormat="false" ht="15" hidden="false" customHeight="false" outlineLevel="0" collapsed="false">
      <c r="A743" s="14" t="str">
        <f aca="false">IF(OR(B743="",C743="",D743="",E743=""),"",UPPER(B743)&amp;TEXT(C743,"00")&amp;"-"&amp;D743&amp;"-"&amp;TEXT(E743,"00"))</f>
        <v/>
      </c>
      <c r="B743" s="12"/>
      <c r="C743" s="12"/>
      <c r="D743" s="12"/>
      <c r="E743" s="12"/>
      <c r="F743" s="16" t="str">
        <f aca="false">IF(B743="","",IFERROR(INDEX(Zones!$B$2:$B$15,MATCH(B743,Zones!$A$2:$A$15,0)),"⚠ zone inconnue"))</f>
        <v/>
      </c>
      <c r="G743" s="12"/>
      <c r="H743" s="12"/>
      <c r="I743" s="12"/>
      <c r="J743" s="12"/>
    </row>
    <row r="744" customFormat="false" ht="15" hidden="false" customHeight="false" outlineLevel="0" collapsed="false">
      <c r="A744" s="14" t="str">
        <f aca="false">IF(OR(B744="",C744="",D744="",E744=""),"",UPPER(B744)&amp;TEXT(C744,"00")&amp;"-"&amp;D744&amp;"-"&amp;TEXT(E744,"00"))</f>
        <v/>
      </c>
      <c r="B744" s="12"/>
      <c r="C744" s="12"/>
      <c r="D744" s="12"/>
      <c r="E744" s="12"/>
      <c r="F744" s="16" t="str">
        <f aca="false">IF(B744="","",IFERROR(INDEX(Zones!$B$2:$B$15,MATCH(B744,Zones!$A$2:$A$15,0)),"⚠ zone inconnue"))</f>
        <v/>
      </c>
      <c r="G744" s="12"/>
      <c r="H744" s="12"/>
      <c r="I744" s="12"/>
      <c r="J744" s="12"/>
    </row>
    <row r="745" customFormat="false" ht="15" hidden="false" customHeight="false" outlineLevel="0" collapsed="false">
      <c r="A745" s="14" t="str">
        <f aca="false">IF(OR(B745="",C745="",D745="",E745=""),"",UPPER(B745)&amp;TEXT(C745,"00")&amp;"-"&amp;D745&amp;"-"&amp;TEXT(E745,"00"))</f>
        <v/>
      </c>
      <c r="B745" s="12"/>
      <c r="C745" s="12"/>
      <c r="D745" s="12"/>
      <c r="E745" s="12"/>
      <c r="F745" s="16" t="str">
        <f aca="false">IF(B745="","",IFERROR(INDEX(Zones!$B$2:$B$15,MATCH(B745,Zones!$A$2:$A$15,0)),"⚠ zone inconnue"))</f>
        <v/>
      </c>
      <c r="G745" s="12"/>
      <c r="H745" s="12"/>
      <c r="I745" s="12"/>
      <c r="J745" s="12"/>
    </row>
    <row r="746" customFormat="false" ht="15" hidden="false" customHeight="false" outlineLevel="0" collapsed="false">
      <c r="A746" s="14" t="str">
        <f aca="false">IF(OR(B746="",C746="",D746="",E746=""),"",UPPER(B746)&amp;TEXT(C746,"00")&amp;"-"&amp;D746&amp;"-"&amp;TEXT(E746,"00"))</f>
        <v/>
      </c>
      <c r="B746" s="12"/>
      <c r="C746" s="12"/>
      <c r="D746" s="12"/>
      <c r="E746" s="12"/>
      <c r="F746" s="16" t="str">
        <f aca="false">IF(B746="","",IFERROR(INDEX(Zones!$B$2:$B$15,MATCH(B746,Zones!$A$2:$A$15,0)),"⚠ zone inconnue"))</f>
        <v/>
      </c>
      <c r="G746" s="12"/>
      <c r="H746" s="12"/>
      <c r="I746" s="12"/>
      <c r="J746" s="12"/>
    </row>
    <row r="747" customFormat="false" ht="15" hidden="false" customHeight="false" outlineLevel="0" collapsed="false">
      <c r="A747" s="14" t="str">
        <f aca="false">IF(OR(B747="",C747="",D747="",E747=""),"",UPPER(B747)&amp;TEXT(C747,"00")&amp;"-"&amp;D747&amp;"-"&amp;TEXT(E747,"00"))</f>
        <v/>
      </c>
      <c r="B747" s="12"/>
      <c r="C747" s="12"/>
      <c r="D747" s="12"/>
      <c r="E747" s="12"/>
      <c r="F747" s="16" t="str">
        <f aca="false">IF(B747="","",IFERROR(INDEX(Zones!$B$2:$B$15,MATCH(B747,Zones!$A$2:$A$15,0)),"⚠ zone inconnue"))</f>
        <v/>
      </c>
      <c r="G747" s="12"/>
      <c r="H747" s="12"/>
      <c r="I747" s="12"/>
      <c r="J747" s="12"/>
    </row>
    <row r="748" customFormat="false" ht="15" hidden="false" customHeight="false" outlineLevel="0" collapsed="false">
      <c r="A748" s="14" t="str">
        <f aca="false">IF(OR(B748="",C748="",D748="",E748=""),"",UPPER(B748)&amp;TEXT(C748,"00")&amp;"-"&amp;D748&amp;"-"&amp;TEXT(E748,"00"))</f>
        <v/>
      </c>
      <c r="B748" s="12"/>
      <c r="C748" s="12"/>
      <c r="D748" s="12"/>
      <c r="E748" s="12"/>
      <c r="F748" s="16" t="str">
        <f aca="false">IF(B748="","",IFERROR(INDEX(Zones!$B$2:$B$15,MATCH(B748,Zones!$A$2:$A$15,0)),"⚠ zone inconnue"))</f>
        <v/>
      </c>
      <c r="G748" s="12"/>
      <c r="H748" s="12"/>
      <c r="I748" s="12"/>
      <c r="J748" s="12"/>
    </row>
    <row r="749" customFormat="false" ht="15" hidden="false" customHeight="false" outlineLevel="0" collapsed="false">
      <c r="A749" s="14" t="str">
        <f aca="false">IF(OR(B749="",C749="",D749="",E749=""),"",UPPER(B749)&amp;TEXT(C749,"00")&amp;"-"&amp;D749&amp;"-"&amp;TEXT(E749,"00"))</f>
        <v/>
      </c>
      <c r="B749" s="12"/>
      <c r="C749" s="12"/>
      <c r="D749" s="12"/>
      <c r="E749" s="12"/>
      <c r="F749" s="16" t="str">
        <f aca="false">IF(B749="","",IFERROR(INDEX(Zones!$B$2:$B$15,MATCH(B749,Zones!$A$2:$A$15,0)),"⚠ zone inconnue"))</f>
        <v/>
      </c>
      <c r="G749" s="12"/>
      <c r="H749" s="12"/>
      <c r="I749" s="12"/>
      <c r="J749" s="12"/>
    </row>
    <row r="750" customFormat="false" ht="15" hidden="false" customHeight="false" outlineLevel="0" collapsed="false">
      <c r="A750" s="14" t="str">
        <f aca="false">IF(OR(B750="",C750="",D750="",E750=""),"",UPPER(B750)&amp;TEXT(C750,"00")&amp;"-"&amp;D750&amp;"-"&amp;TEXT(E750,"00"))</f>
        <v/>
      </c>
      <c r="B750" s="12"/>
      <c r="C750" s="12"/>
      <c r="D750" s="12"/>
      <c r="E750" s="12"/>
      <c r="F750" s="16" t="str">
        <f aca="false">IF(B750="","",IFERROR(INDEX(Zones!$B$2:$B$15,MATCH(B750,Zones!$A$2:$A$15,0)),"⚠ zone inconnue"))</f>
        <v/>
      </c>
      <c r="G750" s="12"/>
      <c r="H750" s="12"/>
      <c r="I750" s="12"/>
      <c r="J750" s="12"/>
    </row>
    <row r="751" customFormat="false" ht="15" hidden="false" customHeight="false" outlineLevel="0" collapsed="false">
      <c r="A751" s="14" t="str">
        <f aca="false">IF(OR(B751="",C751="",D751="",E751=""),"",UPPER(B751)&amp;TEXT(C751,"00")&amp;"-"&amp;D751&amp;"-"&amp;TEXT(E751,"00"))</f>
        <v/>
      </c>
      <c r="B751" s="12"/>
      <c r="C751" s="12"/>
      <c r="D751" s="12"/>
      <c r="E751" s="12"/>
      <c r="F751" s="16" t="str">
        <f aca="false">IF(B751="","",IFERROR(INDEX(Zones!$B$2:$B$15,MATCH(B751,Zones!$A$2:$A$15,0)),"⚠ zone inconnue"))</f>
        <v/>
      </c>
      <c r="G751" s="12"/>
      <c r="H751" s="12"/>
      <c r="I751" s="12"/>
      <c r="J751" s="12"/>
    </row>
    <row r="752" customFormat="false" ht="15" hidden="false" customHeight="false" outlineLevel="0" collapsed="false">
      <c r="A752" s="14" t="str">
        <f aca="false">IF(OR(B752="",C752="",D752="",E752=""),"",UPPER(B752)&amp;TEXT(C752,"00")&amp;"-"&amp;D752&amp;"-"&amp;TEXT(E752,"00"))</f>
        <v/>
      </c>
      <c r="B752" s="12"/>
      <c r="C752" s="12"/>
      <c r="D752" s="12"/>
      <c r="E752" s="12"/>
      <c r="F752" s="16" t="str">
        <f aca="false">IF(B752="","",IFERROR(INDEX(Zones!$B$2:$B$15,MATCH(B752,Zones!$A$2:$A$15,0)),"⚠ zone inconnue"))</f>
        <v/>
      </c>
      <c r="G752" s="12"/>
      <c r="H752" s="12"/>
      <c r="I752" s="12"/>
      <c r="J752" s="12"/>
    </row>
    <row r="753" customFormat="false" ht="15" hidden="false" customHeight="false" outlineLevel="0" collapsed="false">
      <c r="A753" s="14" t="str">
        <f aca="false">IF(OR(B753="",C753="",D753="",E753=""),"",UPPER(B753)&amp;TEXT(C753,"00")&amp;"-"&amp;D753&amp;"-"&amp;TEXT(E753,"00"))</f>
        <v/>
      </c>
      <c r="B753" s="12"/>
      <c r="C753" s="12"/>
      <c r="D753" s="12"/>
      <c r="E753" s="12"/>
      <c r="F753" s="16" t="str">
        <f aca="false">IF(B753="","",IFERROR(INDEX(Zones!$B$2:$B$15,MATCH(B753,Zones!$A$2:$A$15,0)),"⚠ zone inconnue"))</f>
        <v/>
      </c>
      <c r="G753" s="12"/>
      <c r="H753" s="12"/>
      <c r="I753" s="12"/>
      <c r="J753" s="12"/>
    </row>
    <row r="754" customFormat="false" ht="15" hidden="false" customHeight="false" outlineLevel="0" collapsed="false">
      <c r="A754" s="14" t="str">
        <f aca="false">IF(OR(B754="",C754="",D754="",E754=""),"",UPPER(B754)&amp;TEXT(C754,"00")&amp;"-"&amp;D754&amp;"-"&amp;TEXT(E754,"00"))</f>
        <v/>
      </c>
      <c r="B754" s="12"/>
      <c r="C754" s="12"/>
      <c r="D754" s="12"/>
      <c r="E754" s="12"/>
      <c r="F754" s="16" t="str">
        <f aca="false">IF(B754="","",IFERROR(INDEX(Zones!$B$2:$B$15,MATCH(B754,Zones!$A$2:$A$15,0)),"⚠ zone inconnue"))</f>
        <v/>
      </c>
      <c r="G754" s="12"/>
      <c r="H754" s="12"/>
      <c r="I754" s="12"/>
      <c r="J754" s="12"/>
    </row>
    <row r="755" customFormat="false" ht="15" hidden="false" customHeight="false" outlineLevel="0" collapsed="false">
      <c r="A755" s="14" t="str">
        <f aca="false">IF(OR(B755="",C755="",D755="",E755=""),"",UPPER(B755)&amp;TEXT(C755,"00")&amp;"-"&amp;D755&amp;"-"&amp;TEXT(E755,"00"))</f>
        <v/>
      </c>
      <c r="B755" s="12"/>
      <c r="C755" s="12"/>
      <c r="D755" s="12"/>
      <c r="E755" s="12"/>
      <c r="F755" s="16" t="str">
        <f aca="false">IF(B755="","",IFERROR(INDEX(Zones!$B$2:$B$15,MATCH(B755,Zones!$A$2:$A$15,0)),"⚠ zone inconnue"))</f>
        <v/>
      </c>
      <c r="G755" s="12"/>
      <c r="H755" s="12"/>
      <c r="I755" s="12"/>
      <c r="J755" s="12"/>
    </row>
    <row r="756" customFormat="false" ht="15" hidden="false" customHeight="false" outlineLevel="0" collapsed="false">
      <c r="A756" s="14" t="str">
        <f aca="false">IF(OR(B756="",C756="",D756="",E756=""),"",UPPER(B756)&amp;TEXT(C756,"00")&amp;"-"&amp;D756&amp;"-"&amp;TEXT(E756,"00"))</f>
        <v/>
      </c>
      <c r="B756" s="12"/>
      <c r="C756" s="12"/>
      <c r="D756" s="12"/>
      <c r="E756" s="12"/>
      <c r="F756" s="16" t="str">
        <f aca="false">IF(B756="","",IFERROR(INDEX(Zones!$B$2:$B$15,MATCH(B756,Zones!$A$2:$A$15,0)),"⚠ zone inconnue"))</f>
        <v/>
      </c>
      <c r="G756" s="12"/>
      <c r="H756" s="12"/>
      <c r="I756" s="12"/>
      <c r="J756" s="12"/>
    </row>
    <row r="757" customFormat="false" ht="15" hidden="false" customHeight="false" outlineLevel="0" collapsed="false">
      <c r="A757" s="14" t="str">
        <f aca="false">IF(OR(B757="",C757="",D757="",E757=""),"",UPPER(B757)&amp;TEXT(C757,"00")&amp;"-"&amp;D757&amp;"-"&amp;TEXT(E757,"00"))</f>
        <v/>
      </c>
      <c r="B757" s="12"/>
      <c r="C757" s="12"/>
      <c r="D757" s="12"/>
      <c r="E757" s="12"/>
      <c r="F757" s="16" t="str">
        <f aca="false">IF(B757="","",IFERROR(INDEX(Zones!$B$2:$B$15,MATCH(B757,Zones!$A$2:$A$15,0)),"⚠ zone inconnue"))</f>
        <v/>
      </c>
      <c r="G757" s="12"/>
      <c r="H757" s="12"/>
      <c r="I757" s="12"/>
      <c r="J757" s="12"/>
    </row>
    <row r="758" customFormat="false" ht="15" hidden="false" customHeight="false" outlineLevel="0" collapsed="false">
      <c r="A758" s="14" t="str">
        <f aca="false">IF(OR(B758="",C758="",D758="",E758=""),"",UPPER(B758)&amp;TEXT(C758,"00")&amp;"-"&amp;D758&amp;"-"&amp;TEXT(E758,"00"))</f>
        <v/>
      </c>
      <c r="B758" s="12"/>
      <c r="C758" s="12"/>
      <c r="D758" s="12"/>
      <c r="E758" s="12"/>
      <c r="F758" s="16" t="str">
        <f aca="false">IF(B758="","",IFERROR(INDEX(Zones!$B$2:$B$15,MATCH(B758,Zones!$A$2:$A$15,0)),"⚠ zone inconnue"))</f>
        <v/>
      </c>
      <c r="G758" s="12"/>
      <c r="H758" s="12"/>
      <c r="I758" s="12"/>
      <c r="J758" s="12"/>
    </row>
    <row r="759" customFormat="false" ht="15" hidden="false" customHeight="false" outlineLevel="0" collapsed="false">
      <c r="A759" s="14" t="str">
        <f aca="false">IF(OR(B759="",C759="",D759="",E759=""),"",UPPER(B759)&amp;TEXT(C759,"00")&amp;"-"&amp;D759&amp;"-"&amp;TEXT(E759,"00"))</f>
        <v/>
      </c>
      <c r="B759" s="12"/>
      <c r="C759" s="12"/>
      <c r="D759" s="12"/>
      <c r="E759" s="12"/>
      <c r="F759" s="16" t="str">
        <f aca="false">IF(B759="","",IFERROR(INDEX(Zones!$B$2:$B$15,MATCH(B759,Zones!$A$2:$A$15,0)),"⚠ zone inconnue"))</f>
        <v/>
      </c>
      <c r="G759" s="12"/>
      <c r="H759" s="12"/>
      <c r="I759" s="12"/>
      <c r="J759" s="12"/>
    </row>
    <row r="760" customFormat="false" ht="15" hidden="false" customHeight="false" outlineLevel="0" collapsed="false">
      <c r="A760" s="14" t="str">
        <f aca="false">IF(OR(B760="",C760="",D760="",E760=""),"",UPPER(B760)&amp;TEXT(C760,"00")&amp;"-"&amp;D760&amp;"-"&amp;TEXT(E760,"00"))</f>
        <v/>
      </c>
      <c r="B760" s="12"/>
      <c r="C760" s="12"/>
      <c r="D760" s="12"/>
      <c r="E760" s="12"/>
      <c r="F760" s="16" t="str">
        <f aca="false">IF(B760="","",IFERROR(INDEX(Zones!$B$2:$B$15,MATCH(B760,Zones!$A$2:$A$15,0)),"⚠ zone inconnue"))</f>
        <v/>
      </c>
      <c r="G760" s="12"/>
      <c r="H760" s="12"/>
      <c r="I760" s="12"/>
      <c r="J760" s="12"/>
    </row>
    <row r="761" customFormat="false" ht="15" hidden="false" customHeight="false" outlineLevel="0" collapsed="false">
      <c r="A761" s="14" t="str">
        <f aca="false">IF(OR(B761="",C761="",D761="",E761=""),"",UPPER(B761)&amp;TEXT(C761,"00")&amp;"-"&amp;D761&amp;"-"&amp;TEXT(E761,"00"))</f>
        <v/>
      </c>
      <c r="B761" s="12"/>
      <c r="C761" s="12"/>
      <c r="D761" s="12"/>
      <c r="E761" s="12"/>
      <c r="F761" s="16" t="str">
        <f aca="false">IF(B761="","",IFERROR(INDEX(Zones!$B$2:$B$15,MATCH(B761,Zones!$A$2:$A$15,0)),"⚠ zone inconnue"))</f>
        <v/>
      </c>
      <c r="G761" s="12"/>
      <c r="H761" s="12"/>
      <c r="I761" s="12"/>
      <c r="J761" s="12"/>
    </row>
    <row r="762" customFormat="false" ht="15" hidden="false" customHeight="false" outlineLevel="0" collapsed="false">
      <c r="A762" s="14" t="str">
        <f aca="false">IF(OR(B762="",C762="",D762="",E762=""),"",UPPER(B762)&amp;TEXT(C762,"00")&amp;"-"&amp;D762&amp;"-"&amp;TEXT(E762,"00"))</f>
        <v/>
      </c>
      <c r="B762" s="12"/>
      <c r="C762" s="12"/>
      <c r="D762" s="12"/>
      <c r="E762" s="12"/>
      <c r="F762" s="16" t="str">
        <f aca="false">IF(B762="","",IFERROR(INDEX(Zones!$B$2:$B$15,MATCH(B762,Zones!$A$2:$A$15,0)),"⚠ zone inconnue"))</f>
        <v/>
      </c>
      <c r="G762" s="12"/>
      <c r="H762" s="12"/>
      <c r="I762" s="12"/>
      <c r="J762" s="12"/>
    </row>
    <row r="763" customFormat="false" ht="15" hidden="false" customHeight="false" outlineLevel="0" collapsed="false">
      <c r="A763" s="14" t="str">
        <f aca="false">IF(OR(B763="",C763="",D763="",E763=""),"",UPPER(B763)&amp;TEXT(C763,"00")&amp;"-"&amp;D763&amp;"-"&amp;TEXT(E763,"00"))</f>
        <v/>
      </c>
      <c r="B763" s="12"/>
      <c r="C763" s="12"/>
      <c r="D763" s="12"/>
      <c r="E763" s="12"/>
      <c r="F763" s="16" t="str">
        <f aca="false">IF(B763="","",IFERROR(INDEX(Zones!$B$2:$B$15,MATCH(B763,Zones!$A$2:$A$15,0)),"⚠ zone inconnue"))</f>
        <v/>
      </c>
      <c r="G763" s="12"/>
      <c r="H763" s="12"/>
      <c r="I763" s="12"/>
      <c r="J763" s="12"/>
    </row>
    <row r="764" customFormat="false" ht="15" hidden="false" customHeight="false" outlineLevel="0" collapsed="false">
      <c r="A764" s="14" t="str">
        <f aca="false">IF(OR(B764="",C764="",D764="",E764=""),"",UPPER(B764)&amp;TEXT(C764,"00")&amp;"-"&amp;D764&amp;"-"&amp;TEXT(E764,"00"))</f>
        <v/>
      </c>
      <c r="B764" s="12"/>
      <c r="C764" s="12"/>
      <c r="D764" s="12"/>
      <c r="E764" s="12"/>
      <c r="F764" s="16" t="str">
        <f aca="false">IF(B764="","",IFERROR(INDEX(Zones!$B$2:$B$15,MATCH(B764,Zones!$A$2:$A$15,0)),"⚠ zone inconnue"))</f>
        <v/>
      </c>
      <c r="G764" s="12"/>
      <c r="H764" s="12"/>
      <c r="I764" s="12"/>
      <c r="J764" s="12"/>
    </row>
    <row r="765" customFormat="false" ht="15" hidden="false" customHeight="false" outlineLevel="0" collapsed="false">
      <c r="A765" s="14" t="str">
        <f aca="false">IF(OR(B765="",C765="",D765="",E765=""),"",UPPER(B765)&amp;TEXT(C765,"00")&amp;"-"&amp;D765&amp;"-"&amp;TEXT(E765,"00"))</f>
        <v/>
      </c>
      <c r="B765" s="12"/>
      <c r="C765" s="12"/>
      <c r="D765" s="12"/>
      <c r="E765" s="12"/>
      <c r="F765" s="16" t="str">
        <f aca="false">IF(B765="","",IFERROR(INDEX(Zones!$B$2:$B$15,MATCH(B765,Zones!$A$2:$A$15,0)),"⚠ zone inconnue"))</f>
        <v/>
      </c>
      <c r="G765" s="12"/>
      <c r="H765" s="12"/>
      <c r="I765" s="12"/>
      <c r="J765" s="12"/>
    </row>
    <row r="766" customFormat="false" ht="15" hidden="false" customHeight="false" outlineLevel="0" collapsed="false">
      <c r="A766" s="14" t="str">
        <f aca="false">IF(OR(B766="",C766="",D766="",E766=""),"",UPPER(B766)&amp;TEXT(C766,"00")&amp;"-"&amp;D766&amp;"-"&amp;TEXT(E766,"00"))</f>
        <v/>
      </c>
      <c r="B766" s="12"/>
      <c r="C766" s="12"/>
      <c r="D766" s="12"/>
      <c r="E766" s="12"/>
      <c r="F766" s="16" t="str">
        <f aca="false">IF(B766="","",IFERROR(INDEX(Zones!$B$2:$B$15,MATCH(B766,Zones!$A$2:$A$15,0)),"⚠ zone inconnue"))</f>
        <v/>
      </c>
      <c r="G766" s="12"/>
      <c r="H766" s="12"/>
      <c r="I766" s="12"/>
      <c r="J766" s="12"/>
    </row>
    <row r="767" customFormat="false" ht="15" hidden="false" customHeight="false" outlineLevel="0" collapsed="false">
      <c r="A767" s="14" t="str">
        <f aca="false">IF(OR(B767="",C767="",D767="",E767=""),"",UPPER(B767)&amp;TEXT(C767,"00")&amp;"-"&amp;D767&amp;"-"&amp;TEXT(E767,"00"))</f>
        <v/>
      </c>
      <c r="B767" s="12"/>
      <c r="C767" s="12"/>
      <c r="D767" s="12"/>
      <c r="E767" s="12"/>
      <c r="F767" s="16" t="str">
        <f aca="false">IF(B767="","",IFERROR(INDEX(Zones!$B$2:$B$15,MATCH(B767,Zones!$A$2:$A$15,0)),"⚠ zone inconnue"))</f>
        <v/>
      </c>
      <c r="G767" s="12"/>
      <c r="H767" s="12"/>
      <c r="I767" s="12"/>
      <c r="J767" s="12"/>
    </row>
    <row r="768" customFormat="false" ht="15" hidden="false" customHeight="false" outlineLevel="0" collapsed="false">
      <c r="A768" s="14" t="str">
        <f aca="false">IF(OR(B768="",C768="",D768="",E768=""),"",UPPER(B768)&amp;TEXT(C768,"00")&amp;"-"&amp;D768&amp;"-"&amp;TEXT(E768,"00"))</f>
        <v/>
      </c>
      <c r="B768" s="12"/>
      <c r="C768" s="12"/>
      <c r="D768" s="12"/>
      <c r="E768" s="12"/>
      <c r="F768" s="16" t="str">
        <f aca="false">IF(B768="","",IFERROR(INDEX(Zones!$B$2:$B$15,MATCH(B768,Zones!$A$2:$A$15,0)),"⚠ zone inconnue"))</f>
        <v/>
      </c>
      <c r="G768" s="12"/>
      <c r="H768" s="12"/>
      <c r="I768" s="12"/>
      <c r="J768" s="12"/>
    </row>
    <row r="769" customFormat="false" ht="15" hidden="false" customHeight="false" outlineLevel="0" collapsed="false">
      <c r="A769" s="14" t="str">
        <f aca="false">IF(OR(B769="",C769="",D769="",E769=""),"",UPPER(B769)&amp;TEXT(C769,"00")&amp;"-"&amp;D769&amp;"-"&amp;TEXT(E769,"00"))</f>
        <v/>
      </c>
      <c r="B769" s="12"/>
      <c r="C769" s="12"/>
      <c r="D769" s="12"/>
      <c r="E769" s="12"/>
      <c r="F769" s="16" t="str">
        <f aca="false">IF(B769="","",IFERROR(INDEX(Zones!$B$2:$B$15,MATCH(B769,Zones!$A$2:$A$15,0)),"⚠ zone inconnue"))</f>
        <v/>
      </c>
      <c r="G769" s="12"/>
      <c r="H769" s="12"/>
      <c r="I769" s="12"/>
      <c r="J769" s="12"/>
    </row>
    <row r="770" customFormat="false" ht="15" hidden="false" customHeight="false" outlineLevel="0" collapsed="false">
      <c r="A770" s="14" t="str">
        <f aca="false">IF(OR(B770="",C770="",D770="",E770=""),"",UPPER(B770)&amp;TEXT(C770,"00")&amp;"-"&amp;D770&amp;"-"&amp;TEXT(E770,"00"))</f>
        <v/>
      </c>
      <c r="B770" s="12"/>
      <c r="C770" s="12"/>
      <c r="D770" s="12"/>
      <c r="E770" s="12"/>
      <c r="F770" s="16" t="str">
        <f aca="false">IF(B770="","",IFERROR(INDEX(Zones!$B$2:$B$15,MATCH(B770,Zones!$A$2:$A$15,0)),"⚠ zone inconnue"))</f>
        <v/>
      </c>
      <c r="G770" s="12"/>
      <c r="H770" s="12"/>
      <c r="I770" s="12"/>
      <c r="J770" s="12"/>
    </row>
    <row r="771" customFormat="false" ht="15" hidden="false" customHeight="false" outlineLevel="0" collapsed="false">
      <c r="A771" s="14" t="str">
        <f aca="false">IF(OR(B771="",C771="",D771="",E771=""),"",UPPER(B771)&amp;TEXT(C771,"00")&amp;"-"&amp;D771&amp;"-"&amp;TEXT(E771,"00"))</f>
        <v/>
      </c>
      <c r="B771" s="12"/>
      <c r="C771" s="12"/>
      <c r="D771" s="12"/>
      <c r="E771" s="12"/>
      <c r="F771" s="16" t="str">
        <f aca="false">IF(B771="","",IFERROR(INDEX(Zones!$B$2:$B$15,MATCH(B771,Zones!$A$2:$A$15,0)),"⚠ zone inconnue"))</f>
        <v/>
      </c>
      <c r="G771" s="12"/>
      <c r="H771" s="12"/>
      <c r="I771" s="12"/>
      <c r="J771" s="12"/>
    </row>
    <row r="772" customFormat="false" ht="15" hidden="false" customHeight="false" outlineLevel="0" collapsed="false">
      <c r="A772" s="14" t="str">
        <f aca="false">IF(OR(B772="",C772="",D772="",E772=""),"",UPPER(B772)&amp;TEXT(C772,"00")&amp;"-"&amp;D772&amp;"-"&amp;TEXT(E772,"00"))</f>
        <v/>
      </c>
      <c r="B772" s="12"/>
      <c r="C772" s="12"/>
      <c r="D772" s="12"/>
      <c r="E772" s="12"/>
      <c r="F772" s="16" t="str">
        <f aca="false">IF(B772="","",IFERROR(INDEX(Zones!$B$2:$B$15,MATCH(B772,Zones!$A$2:$A$15,0)),"⚠ zone inconnue"))</f>
        <v/>
      </c>
      <c r="G772" s="12"/>
      <c r="H772" s="12"/>
      <c r="I772" s="12"/>
      <c r="J772" s="12"/>
    </row>
    <row r="773" customFormat="false" ht="15" hidden="false" customHeight="false" outlineLevel="0" collapsed="false">
      <c r="A773" s="14" t="str">
        <f aca="false">IF(OR(B773="",C773="",D773="",E773=""),"",UPPER(B773)&amp;TEXT(C773,"00")&amp;"-"&amp;D773&amp;"-"&amp;TEXT(E773,"00"))</f>
        <v/>
      </c>
      <c r="B773" s="12"/>
      <c r="C773" s="12"/>
      <c r="D773" s="12"/>
      <c r="E773" s="12"/>
      <c r="F773" s="16" t="str">
        <f aca="false">IF(B773="","",IFERROR(INDEX(Zones!$B$2:$B$15,MATCH(B773,Zones!$A$2:$A$15,0)),"⚠ zone inconnue"))</f>
        <v/>
      </c>
      <c r="G773" s="12"/>
      <c r="H773" s="12"/>
      <c r="I773" s="12"/>
      <c r="J773" s="12"/>
    </row>
    <row r="774" customFormat="false" ht="15" hidden="false" customHeight="false" outlineLevel="0" collapsed="false">
      <c r="A774" s="14" t="str">
        <f aca="false">IF(OR(B774="",C774="",D774="",E774=""),"",UPPER(B774)&amp;TEXT(C774,"00")&amp;"-"&amp;D774&amp;"-"&amp;TEXT(E774,"00"))</f>
        <v/>
      </c>
      <c r="B774" s="12"/>
      <c r="C774" s="12"/>
      <c r="D774" s="12"/>
      <c r="E774" s="12"/>
      <c r="F774" s="16" t="str">
        <f aca="false">IF(B774="","",IFERROR(INDEX(Zones!$B$2:$B$15,MATCH(B774,Zones!$A$2:$A$15,0)),"⚠ zone inconnue"))</f>
        <v/>
      </c>
      <c r="G774" s="12"/>
      <c r="H774" s="12"/>
      <c r="I774" s="12"/>
      <c r="J774" s="12"/>
    </row>
    <row r="775" customFormat="false" ht="15" hidden="false" customHeight="false" outlineLevel="0" collapsed="false">
      <c r="A775" s="14" t="str">
        <f aca="false">IF(OR(B775="",C775="",D775="",E775=""),"",UPPER(B775)&amp;TEXT(C775,"00")&amp;"-"&amp;D775&amp;"-"&amp;TEXT(E775,"00"))</f>
        <v/>
      </c>
      <c r="B775" s="12"/>
      <c r="C775" s="12"/>
      <c r="D775" s="12"/>
      <c r="E775" s="12"/>
      <c r="F775" s="16" t="str">
        <f aca="false">IF(B775="","",IFERROR(INDEX(Zones!$B$2:$B$15,MATCH(B775,Zones!$A$2:$A$15,0)),"⚠ zone inconnue"))</f>
        <v/>
      </c>
      <c r="G775" s="12"/>
      <c r="H775" s="12"/>
      <c r="I775" s="12"/>
      <c r="J775" s="12"/>
    </row>
    <row r="776" customFormat="false" ht="15" hidden="false" customHeight="false" outlineLevel="0" collapsed="false">
      <c r="A776" s="14" t="str">
        <f aca="false">IF(OR(B776="",C776="",D776="",E776=""),"",UPPER(B776)&amp;TEXT(C776,"00")&amp;"-"&amp;D776&amp;"-"&amp;TEXT(E776,"00"))</f>
        <v/>
      </c>
      <c r="B776" s="12"/>
      <c r="C776" s="12"/>
      <c r="D776" s="12"/>
      <c r="E776" s="12"/>
      <c r="F776" s="16" t="str">
        <f aca="false">IF(B776="","",IFERROR(INDEX(Zones!$B$2:$B$15,MATCH(B776,Zones!$A$2:$A$15,0)),"⚠ zone inconnue"))</f>
        <v/>
      </c>
      <c r="G776" s="12"/>
      <c r="H776" s="12"/>
      <c r="I776" s="12"/>
      <c r="J776" s="12"/>
    </row>
    <row r="777" customFormat="false" ht="15" hidden="false" customHeight="false" outlineLevel="0" collapsed="false">
      <c r="A777" s="14" t="str">
        <f aca="false">IF(OR(B777="",C777="",D777="",E777=""),"",UPPER(B777)&amp;TEXT(C777,"00")&amp;"-"&amp;D777&amp;"-"&amp;TEXT(E777,"00"))</f>
        <v/>
      </c>
      <c r="B777" s="12"/>
      <c r="C777" s="12"/>
      <c r="D777" s="12"/>
      <c r="E777" s="12"/>
      <c r="F777" s="16" t="str">
        <f aca="false">IF(B777="","",IFERROR(INDEX(Zones!$B$2:$B$15,MATCH(B777,Zones!$A$2:$A$15,0)),"⚠ zone inconnue"))</f>
        <v/>
      </c>
      <c r="G777" s="12"/>
      <c r="H777" s="12"/>
      <c r="I777" s="12"/>
      <c r="J777" s="12"/>
    </row>
    <row r="778" customFormat="false" ht="15" hidden="false" customHeight="false" outlineLevel="0" collapsed="false">
      <c r="A778" s="14" t="str">
        <f aca="false">IF(OR(B778="",C778="",D778="",E778=""),"",UPPER(B778)&amp;TEXT(C778,"00")&amp;"-"&amp;D778&amp;"-"&amp;TEXT(E778,"00"))</f>
        <v/>
      </c>
      <c r="B778" s="12"/>
      <c r="C778" s="12"/>
      <c r="D778" s="12"/>
      <c r="E778" s="12"/>
      <c r="F778" s="16" t="str">
        <f aca="false">IF(B778="","",IFERROR(INDEX(Zones!$B$2:$B$15,MATCH(B778,Zones!$A$2:$A$15,0)),"⚠ zone inconnue"))</f>
        <v/>
      </c>
      <c r="G778" s="12"/>
      <c r="H778" s="12"/>
      <c r="I778" s="12"/>
      <c r="J778" s="12"/>
    </row>
    <row r="779" customFormat="false" ht="15" hidden="false" customHeight="false" outlineLevel="0" collapsed="false">
      <c r="A779" s="14" t="str">
        <f aca="false">IF(OR(B779="",C779="",D779="",E779=""),"",UPPER(B779)&amp;TEXT(C779,"00")&amp;"-"&amp;D779&amp;"-"&amp;TEXT(E779,"00"))</f>
        <v/>
      </c>
      <c r="B779" s="12"/>
      <c r="C779" s="12"/>
      <c r="D779" s="12"/>
      <c r="E779" s="12"/>
      <c r="F779" s="16" t="str">
        <f aca="false">IF(B779="","",IFERROR(INDEX(Zones!$B$2:$B$15,MATCH(B779,Zones!$A$2:$A$15,0)),"⚠ zone inconnue"))</f>
        <v/>
      </c>
      <c r="G779" s="12"/>
      <c r="H779" s="12"/>
      <c r="I779" s="12"/>
      <c r="J779" s="12"/>
    </row>
    <row r="780" customFormat="false" ht="15" hidden="false" customHeight="false" outlineLevel="0" collapsed="false">
      <c r="A780" s="14" t="str">
        <f aca="false">IF(OR(B780="",C780="",D780="",E780=""),"",UPPER(B780)&amp;TEXT(C780,"00")&amp;"-"&amp;D780&amp;"-"&amp;TEXT(E780,"00"))</f>
        <v/>
      </c>
      <c r="B780" s="12"/>
      <c r="C780" s="12"/>
      <c r="D780" s="12"/>
      <c r="E780" s="12"/>
      <c r="F780" s="16" t="str">
        <f aca="false">IF(B780="","",IFERROR(INDEX(Zones!$B$2:$B$15,MATCH(B780,Zones!$A$2:$A$15,0)),"⚠ zone inconnue"))</f>
        <v/>
      </c>
      <c r="G780" s="12"/>
      <c r="H780" s="12"/>
      <c r="I780" s="12"/>
      <c r="J780" s="12"/>
    </row>
    <row r="781" customFormat="false" ht="15" hidden="false" customHeight="false" outlineLevel="0" collapsed="false">
      <c r="A781" s="14" t="str">
        <f aca="false">IF(OR(B781="",C781="",D781="",E781=""),"",UPPER(B781)&amp;TEXT(C781,"00")&amp;"-"&amp;D781&amp;"-"&amp;TEXT(E781,"00"))</f>
        <v/>
      </c>
      <c r="B781" s="12"/>
      <c r="C781" s="12"/>
      <c r="D781" s="12"/>
      <c r="E781" s="12"/>
      <c r="F781" s="16" t="str">
        <f aca="false">IF(B781="","",IFERROR(INDEX(Zones!$B$2:$B$15,MATCH(B781,Zones!$A$2:$A$15,0)),"⚠ zone inconnue"))</f>
        <v/>
      </c>
      <c r="G781" s="12"/>
      <c r="H781" s="12"/>
      <c r="I781" s="12"/>
      <c r="J781" s="12"/>
    </row>
    <row r="782" customFormat="false" ht="15" hidden="false" customHeight="false" outlineLevel="0" collapsed="false">
      <c r="A782" s="14" t="str">
        <f aca="false">IF(OR(B782="",C782="",D782="",E782=""),"",UPPER(B782)&amp;TEXT(C782,"00")&amp;"-"&amp;D782&amp;"-"&amp;TEXT(E782,"00"))</f>
        <v/>
      </c>
      <c r="B782" s="12"/>
      <c r="C782" s="12"/>
      <c r="D782" s="12"/>
      <c r="E782" s="12"/>
      <c r="F782" s="16" t="str">
        <f aca="false">IF(B782="","",IFERROR(INDEX(Zones!$B$2:$B$15,MATCH(B782,Zones!$A$2:$A$15,0)),"⚠ zone inconnue"))</f>
        <v/>
      </c>
      <c r="G782" s="12"/>
      <c r="H782" s="12"/>
      <c r="I782" s="12"/>
      <c r="J782" s="12"/>
    </row>
    <row r="783" customFormat="false" ht="15" hidden="false" customHeight="false" outlineLevel="0" collapsed="false">
      <c r="A783" s="14" t="str">
        <f aca="false">IF(OR(B783="",C783="",D783="",E783=""),"",UPPER(B783)&amp;TEXT(C783,"00")&amp;"-"&amp;D783&amp;"-"&amp;TEXT(E783,"00"))</f>
        <v/>
      </c>
      <c r="B783" s="12"/>
      <c r="C783" s="12"/>
      <c r="D783" s="12"/>
      <c r="E783" s="12"/>
      <c r="F783" s="16" t="str">
        <f aca="false">IF(B783="","",IFERROR(INDEX(Zones!$B$2:$B$15,MATCH(B783,Zones!$A$2:$A$15,0)),"⚠ zone inconnue"))</f>
        <v/>
      </c>
      <c r="G783" s="12"/>
      <c r="H783" s="12"/>
      <c r="I783" s="12"/>
      <c r="J783" s="12"/>
    </row>
    <row r="784" customFormat="false" ht="15" hidden="false" customHeight="false" outlineLevel="0" collapsed="false">
      <c r="A784" s="14" t="str">
        <f aca="false">IF(OR(B784="",C784="",D784="",E784=""),"",UPPER(B784)&amp;TEXT(C784,"00")&amp;"-"&amp;D784&amp;"-"&amp;TEXT(E784,"00"))</f>
        <v/>
      </c>
      <c r="B784" s="12"/>
      <c r="C784" s="12"/>
      <c r="D784" s="12"/>
      <c r="E784" s="12"/>
      <c r="F784" s="16" t="str">
        <f aca="false">IF(B784="","",IFERROR(INDEX(Zones!$B$2:$B$15,MATCH(B784,Zones!$A$2:$A$15,0)),"⚠ zone inconnue"))</f>
        <v/>
      </c>
      <c r="G784" s="12"/>
      <c r="H784" s="12"/>
      <c r="I784" s="12"/>
      <c r="J784" s="12"/>
    </row>
    <row r="785" customFormat="false" ht="15" hidden="false" customHeight="false" outlineLevel="0" collapsed="false">
      <c r="A785" s="14" t="str">
        <f aca="false">IF(OR(B785="",C785="",D785="",E785=""),"",UPPER(B785)&amp;TEXT(C785,"00")&amp;"-"&amp;D785&amp;"-"&amp;TEXT(E785,"00"))</f>
        <v/>
      </c>
      <c r="B785" s="12"/>
      <c r="C785" s="12"/>
      <c r="D785" s="12"/>
      <c r="E785" s="12"/>
      <c r="F785" s="16" t="str">
        <f aca="false">IF(B785="","",IFERROR(INDEX(Zones!$B$2:$B$15,MATCH(B785,Zones!$A$2:$A$15,0)),"⚠ zone inconnue"))</f>
        <v/>
      </c>
      <c r="G785" s="12"/>
      <c r="H785" s="12"/>
      <c r="I785" s="12"/>
      <c r="J785" s="12"/>
    </row>
    <row r="786" customFormat="false" ht="15" hidden="false" customHeight="false" outlineLevel="0" collapsed="false">
      <c r="A786" s="14" t="str">
        <f aca="false">IF(OR(B786="",C786="",D786="",E786=""),"",UPPER(B786)&amp;TEXT(C786,"00")&amp;"-"&amp;D786&amp;"-"&amp;TEXT(E786,"00"))</f>
        <v/>
      </c>
      <c r="B786" s="12"/>
      <c r="C786" s="12"/>
      <c r="D786" s="12"/>
      <c r="E786" s="12"/>
      <c r="F786" s="16" t="str">
        <f aca="false">IF(B786="","",IFERROR(INDEX(Zones!$B$2:$B$15,MATCH(B786,Zones!$A$2:$A$15,0)),"⚠ zone inconnue"))</f>
        <v/>
      </c>
      <c r="G786" s="12"/>
      <c r="H786" s="12"/>
      <c r="I786" s="12"/>
      <c r="J786" s="12"/>
    </row>
    <row r="787" customFormat="false" ht="15" hidden="false" customHeight="false" outlineLevel="0" collapsed="false">
      <c r="A787" s="14" t="str">
        <f aca="false">IF(OR(B787="",C787="",D787="",E787=""),"",UPPER(B787)&amp;TEXT(C787,"00")&amp;"-"&amp;D787&amp;"-"&amp;TEXT(E787,"00"))</f>
        <v/>
      </c>
      <c r="B787" s="12"/>
      <c r="C787" s="12"/>
      <c r="D787" s="12"/>
      <c r="E787" s="12"/>
      <c r="F787" s="16" t="str">
        <f aca="false">IF(B787="","",IFERROR(INDEX(Zones!$B$2:$B$15,MATCH(B787,Zones!$A$2:$A$15,0)),"⚠ zone inconnue"))</f>
        <v/>
      </c>
      <c r="G787" s="12"/>
      <c r="H787" s="12"/>
      <c r="I787" s="12"/>
      <c r="J787" s="12"/>
    </row>
    <row r="788" customFormat="false" ht="15" hidden="false" customHeight="false" outlineLevel="0" collapsed="false">
      <c r="A788" s="14" t="str">
        <f aca="false">IF(OR(B788="",C788="",D788="",E788=""),"",UPPER(B788)&amp;TEXT(C788,"00")&amp;"-"&amp;D788&amp;"-"&amp;TEXT(E788,"00"))</f>
        <v/>
      </c>
      <c r="B788" s="12"/>
      <c r="C788" s="12"/>
      <c r="D788" s="12"/>
      <c r="E788" s="12"/>
      <c r="F788" s="16" t="str">
        <f aca="false">IF(B788="","",IFERROR(INDEX(Zones!$B$2:$B$15,MATCH(B788,Zones!$A$2:$A$15,0)),"⚠ zone inconnue"))</f>
        <v/>
      </c>
      <c r="G788" s="12"/>
      <c r="H788" s="12"/>
      <c r="I788" s="12"/>
      <c r="J788" s="12"/>
    </row>
    <row r="789" customFormat="false" ht="15" hidden="false" customHeight="false" outlineLevel="0" collapsed="false">
      <c r="A789" s="14" t="str">
        <f aca="false">IF(OR(B789="",C789="",D789="",E789=""),"",UPPER(B789)&amp;TEXT(C789,"00")&amp;"-"&amp;D789&amp;"-"&amp;TEXT(E789,"00"))</f>
        <v/>
      </c>
      <c r="B789" s="12"/>
      <c r="C789" s="12"/>
      <c r="D789" s="12"/>
      <c r="E789" s="12"/>
      <c r="F789" s="16" t="str">
        <f aca="false">IF(B789="","",IFERROR(INDEX(Zones!$B$2:$B$15,MATCH(B789,Zones!$A$2:$A$15,0)),"⚠ zone inconnue"))</f>
        <v/>
      </c>
      <c r="G789" s="12"/>
      <c r="H789" s="12"/>
      <c r="I789" s="12"/>
      <c r="J789" s="12"/>
    </row>
    <row r="790" customFormat="false" ht="15" hidden="false" customHeight="false" outlineLevel="0" collapsed="false">
      <c r="A790" s="14" t="str">
        <f aca="false">IF(OR(B790="",C790="",D790="",E790=""),"",UPPER(B790)&amp;TEXT(C790,"00")&amp;"-"&amp;D790&amp;"-"&amp;TEXT(E790,"00"))</f>
        <v/>
      </c>
      <c r="B790" s="12"/>
      <c r="C790" s="12"/>
      <c r="D790" s="12"/>
      <c r="E790" s="12"/>
      <c r="F790" s="16" t="str">
        <f aca="false">IF(B790="","",IFERROR(INDEX(Zones!$B$2:$B$15,MATCH(B790,Zones!$A$2:$A$15,0)),"⚠ zone inconnue"))</f>
        <v/>
      </c>
      <c r="G790" s="12"/>
      <c r="H790" s="12"/>
      <c r="I790" s="12"/>
      <c r="J790" s="12"/>
    </row>
    <row r="791" customFormat="false" ht="15" hidden="false" customHeight="false" outlineLevel="0" collapsed="false">
      <c r="A791" s="14" t="str">
        <f aca="false">IF(OR(B791="",C791="",D791="",E791=""),"",UPPER(B791)&amp;TEXT(C791,"00")&amp;"-"&amp;D791&amp;"-"&amp;TEXT(E791,"00"))</f>
        <v/>
      </c>
      <c r="B791" s="12"/>
      <c r="C791" s="12"/>
      <c r="D791" s="12"/>
      <c r="E791" s="12"/>
      <c r="F791" s="16" t="str">
        <f aca="false">IF(B791="","",IFERROR(INDEX(Zones!$B$2:$B$15,MATCH(B791,Zones!$A$2:$A$15,0)),"⚠ zone inconnue"))</f>
        <v/>
      </c>
      <c r="G791" s="12"/>
      <c r="H791" s="12"/>
      <c r="I791" s="12"/>
      <c r="J791" s="12"/>
    </row>
    <row r="792" customFormat="false" ht="15" hidden="false" customHeight="false" outlineLevel="0" collapsed="false">
      <c r="A792" s="14" t="str">
        <f aca="false">IF(OR(B792="",C792="",D792="",E792=""),"",UPPER(B792)&amp;TEXT(C792,"00")&amp;"-"&amp;D792&amp;"-"&amp;TEXT(E792,"00"))</f>
        <v/>
      </c>
      <c r="B792" s="12"/>
      <c r="C792" s="12"/>
      <c r="D792" s="12"/>
      <c r="E792" s="12"/>
      <c r="F792" s="16" t="str">
        <f aca="false">IF(B792="","",IFERROR(INDEX(Zones!$B$2:$B$15,MATCH(B792,Zones!$A$2:$A$15,0)),"⚠ zone inconnue"))</f>
        <v/>
      </c>
      <c r="G792" s="12"/>
      <c r="H792" s="12"/>
      <c r="I792" s="12"/>
      <c r="J792" s="12"/>
    </row>
    <row r="793" customFormat="false" ht="15" hidden="false" customHeight="false" outlineLevel="0" collapsed="false">
      <c r="A793" s="14" t="str">
        <f aca="false">IF(OR(B793="",C793="",D793="",E793=""),"",UPPER(B793)&amp;TEXT(C793,"00")&amp;"-"&amp;D793&amp;"-"&amp;TEXT(E793,"00"))</f>
        <v/>
      </c>
      <c r="B793" s="12"/>
      <c r="C793" s="12"/>
      <c r="D793" s="12"/>
      <c r="E793" s="12"/>
      <c r="F793" s="16" t="str">
        <f aca="false">IF(B793="","",IFERROR(INDEX(Zones!$B$2:$B$15,MATCH(B793,Zones!$A$2:$A$15,0)),"⚠ zone inconnue"))</f>
        <v/>
      </c>
      <c r="G793" s="12"/>
      <c r="H793" s="12"/>
      <c r="I793" s="12"/>
      <c r="J793" s="12"/>
    </row>
    <row r="794" customFormat="false" ht="15" hidden="false" customHeight="false" outlineLevel="0" collapsed="false">
      <c r="A794" s="14" t="str">
        <f aca="false">IF(OR(B794="",C794="",D794="",E794=""),"",UPPER(B794)&amp;TEXT(C794,"00")&amp;"-"&amp;D794&amp;"-"&amp;TEXT(E794,"00"))</f>
        <v/>
      </c>
      <c r="B794" s="12"/>
      <c r="C794" s="12"/>
      <c r="D794" s="12"/>
      <c r="E794" s="12"/>
      <c r="F794" s="16" t="str">
        <f aca="false">IF(B794="","",IFERROR(INDEX(Zones!$B$2:$B$15,MATCH(B794,Zones!$A$2:$A$15,0)),"⚠ zone inconnue"))</f>
        <v/>
      </c>
      <c r="G794" s="12"/>
      <c r="H794" s="12"/>
      <c r="I794" s="12"/>
      <c r="J794" s="12"/>
    </row>
    <row r="795" customFormat="false" ht="15" hidden="false" customHeight="false" outlineLevel="0" collapsed="false">
      <c r="A795" s="14" t="str">
        <f aca="false">IF(OR(B795="",C795="",D795="",E795=""),"",UPPER(B795)&amp;TEXT(C795,"00")&amp;"-"&amp;D795&amp;"-"&amp;TEXT(E795,"00"))</f>
        <v/>
      </c>
      <c r="B795" s="12"/>
      <c r="C795" s="12"/>
      <c r="D795" s="12"/>
      <c r="E795" s="12"/>
      <c r="F795" s="16" t="str">
        <f aca="false">IF(B795="","",IFERROR(INDEX(Zones!$B$2:$B$15,MATCH(B795,Zones!$A$2:$A$15,0)),"⚠ zone inconnue"))</f>
        <v/>
      </c>
      <c r="G795" s="12"/>
      <c r="H795" s="12"/>
      <c r="I795" s="12"/>
      <c r="J795" s="12"/>
    </row>
    <row r="796" customFormat="false" ht="15" hidden="false" customHeight="false" outlineLevel="0" collapsed="false">
      <c r="A796" s="14" t="str">
        <f aca="false">IF(OR(B796="",C796="",D796="",E796=""),"",UPPER(B796)&amp;TEXT(C796,"00")&amp;"-"&amp;D796&amp;"-"&amp;TEXT(E796,"00"))</f>
        <v/>
      </c>
      <c r="B796" s="12"/>
      <c r="C796" s="12"/>
      <c r="D796" s="12"/>
      <c r="E796" s="12"/>
      <c r="F796" s="16" t="str">
        <f aca="false">IF(B796="","",IFERROR(INDEX(Zones!$B$2:$B$15,MATCH(B796,Zones!$A$2:$A$15,0)),"⚠ zone inconnue"))</f>
        <v/>
      </c>
      <c r="G796" s="12"/>
      <c r="H796" s="12"/>
      <c r="I796" s="12"/>
      <c r="J796" s="12"/>
    </row>
    <row r="797" customFormat="false" ht="15" hidden="false" customHeight="false" outlineLevel="0" collapsed="false">
      <c r="A797" s="14" t="str">
        <f aca="false">IF(OR(B797="",C797="",D797="",E797=""),"",UPPER(B797)&amp;TEXT(C797,"00")&amp;"-"&amp;D797&amp;"-"&amp;TEXT(E797,"00"))</f>
        <v/>
      </c>
      <c r="B797" s="12"/>
      <c r="C797" s="12"/>
      <c r="D797" s="12"/>
      <c r="E797" s="12"/>
      <c r="F797" s="16" t="str">
        <f aca="false">IF(B797="","",IFERROR(INDEX(Zones!$B$2:$B$15,MATCH(B797,Zones!$A$2:$A$15,0)),"⚠ zone inconnue"))</f>
        <v/>
      </c>
      <c r="G797" s="12"/>
      <c r="H797" s="12"/>
      <c r="I797" s="12"/>
      <c r="J797" s="12"/>
    </row>
    <row r="798" customFormat="false" ht="15" hidden="false" customHeight="false" outlineLevel="0" collapsed="false">
      <c r="A798" s="14" t="str">
        <f aca="false">IF(OR(B798="",C798="",D798="",E798=""),"",UPPER(B798)&amp;TEXT(C798,"00")&amp;"-"&amp;D798&amp;"-"&amp;TEXT(E798,"00"))</f>
        <v/>
      </c>
      <c r="B798" s="12"/>
      <c r="C798" s="12"/>
      <c r="D798" s="12"/>
      <c r="E798" s="12"/>
      <c r="F798" s="16" t="str">
        <f aca="false">IF(B798="","",IFERROR(INDEX(Zones!$B$2:$B$15,MATCH(B798,Zones!$A$2:$A$15,0)),"⚠ zone inconnue"))</f>
        <v/>
      </c>
      <c r="G798" s="12"/>
      <c r="H798" s="12"/>
      <c r="I798" s="12"/>
      <c r="J798" s="12"/>
    </row>
    <row r="799" customFormat="false" ht="15" hidden="false" customHeight="false" outlineLevel="0" collapsed="false">
      <c r="A799" s="14" t="str">
        <f aca="false">IF(OR(B799="",C799="",D799="",E799=""),"",UPPER(B799)&amp;TEXT(C799,"00")&amp;"-"&amp;D799&amp;"-"&amp;TEXT(E799,"00"))</f>
        <v/>
      </c>
      <c r="B799" s="12"/>
      <c r="C799" s="12"/>
      <c r="D799" s="12"/>
      <c r="E799" s="12"/>
      <c r="F799" s="16" t="str">
        <f aca="false">IF(B799="","",IFERROR(INDEX(Zones!$B$2:$B$15,MATCH(B799,Zones!$A$2:$A$15,0)),"⚠ zone inconnue"))</f>
        <v/>
      </c>
      <c r="G799" s="12"/>
      <c r="H799" s="12"/>
      <c r="I799" s="12"/>
      <c r="J799" s="12"/>
    </row>
    <row r="800" customFormat="false" ht="15" hidden="false" customHeight="false" outlineLevel="0" collapsed="false">
      <c r="A800" s="14" t="str">
        <f aca="false">IF(OR(B800="",C800="",D800="",E800=""),"",UPPER(B800)&amp;TEXT(C800,"00")&amp;"-"&amp;D800&amp;"-"&amp;TEXT(E800,"00"))</f>
        <v/>
      </c>
      <c r="B800" s="12"/>
      <c r="C800" s="12"/>
      <c r="D800" s="12"/>
      <c r="E800" s="12"/>
      <c r="F800" s="16" t="str">
        <f aca="false">IF(B800="","",IFERROR(INDEX(Zones!$B$2:$B$15,MATCH(B800,Zones!$A$2:$A$15,0)),"⚠ zone inconnue"))</f>
        <v/>
      </c>
      <c r="G800" s="12"/>
      <c r="H800" s="12"/>
      <c r="I800" s="12"/>
      <c r="J800" s="12"/>
    </row>
    <row r="801" customFormat="false" ht="15" hidden="false" customHeight="false" outlineLevel="0" collapsed="false">
      <c r="A801" s="14" t="str">
        <f aca="false">IF(OR(B801="",C801="",D801="",E801=""),"",UPPER(B801)&amp;TEXT(C801,"00")&amp;"-"&amp;D801&amp;"-"&amp;TEXT(E801,"00"))</f>
        <v/>
      </c>
      <c r="B801" s="12"/>
      <c r="C801" s="12"/>
      <c r="D801" s="12"/>
      <c r="E801" s="12"/>
      <c r="F801" s="16" t="str">
        <f aca="false">IF(B801="","",IFERROR(INDEX(Zones!$B$2:$B$15,MATCH(B801,Zones!$A$2:$A$15,0)),"⚠ zone inconnue"))</f>
        <v/>
      </c>
      <c r="G801" s="12"/>
      <c r="H801" s="12"/>
      <c r="I801" s="12"/>
      <c r="J801" s="12"/>
    </row>
    <row r="802" customFormat="false" ht="15" hidden="false" customHeight="false" outlineLevel="0" collapsed="false">
      <c r="A802" s="14" t="str">
        <f aca="false">IF(OR(B802="",C802="",D802="",E802=""),"",UPPER(B802)&amp;TEXT(C802,"00")&amp;"-"&amp;D802&amp;"-"&amp;TEXT(E802,"00"))</f>
        <v/>
      </c>
      <c r="B802" s="12"/>
      <c r="C802" s="12"/>
      <c r="D802" s="12"/>
      <c r="E802" s="12"/>
      <c r="F802" s="16" t="str">
        <f aca="false">IF(B802="","",IFERROR(INDEX(Zones!$B$2:$B$15,MATCH(B802,Zones!$A$2:$A$15,0)),"⚠ zone inconnue"))</f>
        <v/>
      </c>
      <c r="G802" s="12"/>
      <c r="H802" s="12"/>
      <c r="I802" s="12"/>
      <c r="J802" s="12"/>
    </row>
    <row r="803" customFormat="false" ht="15" hidden="false" customHeight="false" outlineLevel="0" collapsed="false">
      <c r="A803" s="14" t="str">
        <f aca="false">IF(OR(B803="",C803="",D803="",E803=""),"",UPPER(B803)&amp;TEXT(C803,"00")&amp;"-"&amp;D803&amp;"-"&amp;TEXT(E803,"00"))</f>
        <v/>
      </c>
      <c r="B803" s="12"/>
      <c r="C803" s="12"/>
      <c r="D803" s="12"/>
      <c r="E803" s="12"/>
      <c r="F803" s="16" t="str">
        <f aca="false">IF(B803="","",IFERROR(INDEX(Zones!$B$2:$B$15,MATCH(B803,Zones!$A$2:$A$15,0)),"⚠ zone inconnue"))</f>
        <v/>
      </c>
      <c r="G803" s="12"/>
      <c r="H803" s="12"/>
      <c r="I803" s="12"/>
      <c r="J803" s="12"/>
    </row>
    <row r="804" customFormat="false" ht="15" hidden="false" customHeight="false" outlineLevel="0" collapsed="false">
      <c r="A804" s="14" t="str">
        <f aca="false">IF(OR(B804="",C804="",D804="",E804=""),"",UPPER(B804)&amp;TEXT(C804,"00")&amp;"-"&amp;D804&amp;"-"&amp;TEXT(E804,"00"))</f>
        <v/>
      </c>
      <c r="B804" s="12"/>
      <c r="C804" s="12"/>
      <c r="D804" s="12"/>
      <c r="E804" s="12"/>
      <c r="F804" s="16" t="str">
        <f aca="false">IF(B804="","",IFERROR(INDEX(Zones!$B$2:$B$15,MATCH(B804,Zones!$A$2:$A$15,0)),"⚠ zone inconnue"))</f>
        <v/>
      </c>
      <c r="G804" s="12"/>
      <c r="H804" s="12"/>
      <c r="I804" s="12"/>
      <c r="J804" s="12"/>
    </row>
    <row r="805" customFormat="false" ht="15" hidden="false" customHeight="false" outlineLevel="0" collapsed="false">
      <c r="A805" s="14" t="str">
        <f aca="false">IF(OR(B805="",C805="",D805="",E805=""),"",UPPER(B805)&amp;TEXT(C805,"00")&amp;"-"&amp;D805&amp;"-"&amp;TEXT(E805,"00"))</f>
        <v/>
      </c>
      <c r="B805" s="12"/>
      <c r="C805" s="12"/>
      <c r="D805" s="12"/>
      <c r="E805" s="12"/>
      <c r="F805" s="16" t="str">
        <f aca="false">IF(B805="","",IFERROR(INDEX(Zones!$B$2:$B$15,MATCH(B805,Zones!$A$2:$A$15,0)),"⚠ zone inconnue"))</f>
        <v/>
      </c>
      <c r="G805" s="12"/>
      <c r="H805" s="12"/>
      <c r="I805" s="12"/>
      <c r="J805" s="12"/>
    </row>
    <row r="806" customFormat="false" ht="15" hidden="false" customHeight="false" outlineLevel="0" collapsed="false">
      <c r="A806" s="14" t="str">
        <f aca="false">IF(OR(B806="",C806="",D806="",E806=""),"",UPPER(B806)&amp;TEXT(C806,"00")&amp;"-"&amp;D806&amp;"-"&amp;TEXT(E806,"00"))</f>
        <v/>
      </c>
      <c r="B806" s="12"/>
      <c r="C806" s="12"/>
      <c r="D806" s="12"/>
      <c r="E806" s="12"/>
      <c r="F806" s="16" t="str">
        <f aca="false">IF(B806="","",IFERROR(INDEX(Zones!$B$2:$B$15,MATCH(B806,Zones!$A$2:$A$15,0)),"⚠ zone inconnue"))</f>
        <v/>
      </c>
      <c r="G806" s="12"/>
      <c r="H806" s="12"/>
      <c r="I806" s="12"/>
      <c r="J806" s="12"/>
    </row>
    <row r="807" customFormat="false" ht="15" hidden="false" customHeight="false" outlineLevel="0" collapsed="false">
      <c r="A807" s="14" t="str">
        <f aca="false">IF(OR(B807="",C807="",D807="",E807=""),"",UPPER(B807)&amp;TEXT(C807,"00")&amp;"-"&amp;D807&amp;"-"&amp;TEXT(E807,"00"))</f>
        <v/>
      </c>
      <c r="B807" s="12"/>
      <c r="C807" s="12"/>
      <c r="D807" s="12"/>
      <c r="E807" s="12"/>
      <c r="F807" s="16" t="str">
        <f aca="false">IF(B807="","",IFERROR(INDEX(Zones!$B$2:$B$15,MATCH(B807,Zones!$A$2:$A$15,0)),"⚠ zone inconnue"))</f>
        <v/>
      </c>
      <c r="G807" s="12"/>
      <c r="H807" s="12"/>
      <c r="I807" s="12"/>
      <c r="J807" s="12"/>
    </row>
    <row r="808" customFormat="false" ht="15" hidden="false" customHeight="false" outlineLevel="0" collapsed="false">
      <c r="A808" s="14" t="str">
        <f aca="false">IF(OR(B808="",C808="",D808="",E808=""),"",UPPER(B808)&amp;TEXT(C808,"00")&amp;"-"&amp;D808&amp;"-"&amp;TEXT(E808,"00"))</f>
        <v/>
      </c>
      <c r="B808" s="12"/>
      <c r="C808" s="12"/>
      <c r="D808" s="12"/>
      <c r="E808" s="12"/>
      <c r="F808" s="16" t="str">
        <f aca="false">IF(B808="","",IFERROR(INDEX(Zones!$B$2:$B$15,MATCH(B808,Zones!$A$2:$A$15,0)),"⚠ zone inconnue"))</f>
        <v/>
      </c>
      <c r="G808" s="12"/>
      <c r="H808" s="12"/>
      <c r="I808" s="12"/>
      <c r="J808" s="12"/>
    </row>
    <row r="809" customFormat="false" ht="15" hidden="false" customHeight="false" outlineLevel="0" collapsed="false">
      <c r="A809" s="14" t="str">
        <f aca="false">IF(OR(B809="",C809="",D809="",E809=""),"",UPPER(B809)&amp;TEXT(C809,"00")&amp;"-"&amp;D809&amp;"-"&amp;TEXT(E809,"00"))</f>
        <v/>
      </c>
      <c r="B809" s="12"/>
      <c r="C809" s="12"/>
      <c r="D809" s="12"/>
      <c r="E809" s="12"/>
      <c r="F809" s="16" t="str">
        <f aca="false">IF(B809="","",IFERROR(INDEX(Zones!$B$2:$B$15,MATCH(B809,Zones!$A$2:$A$15,0)),"⚠ zone inconnue"))</f>
        <v/>
      </c>
      <c r="G809" s="12"/>
      <c r="H809" s="12"/>
      <c r="I809" s="12"/>
      <c r="J809" s="12"/>
    </row>
    <row r="810" customFormat="false" ht="15" hidden="false" customHeight="false" outlineLevel="0" collapsed="false">
      <c r="A810" s="14" t="str">
        <f aca="false">IF(OR(B810="",C810="",D810="",E810=""),"",UPPER(B810)&amp;TEXT(C810,"00")&amp;"-"&amp;D810&amp;"-"&amp;TEXT(E810,"00"))</f>
        <v/>
      </c>
      <c r="B810" s="12"/>
      <c r="C810" s="12"/>
      <c r="D810" s="12"/>
      <c r="E810" s="12"/>
      <c r="F810" s="16" t="str">
        <f aca="false">IF(B810="","",IFERROR(INDEX(Zones!$B$2:$B$15,MATCH(B810,Zones!$A$2:$A$15,0)),"⚠ zone inconnue"))</f>
        <v/>
      </c>
      <c r="G810" s="12"/>
      <c r="H810" s="12"/>
      <c r="I810" s="12"/>
      <c r="J810" s="12"/>
    </row>
    <row r="811" customFormat="false" ht="15" hidden="false" customHeight="false" outlineLevel="0" collapsed="false">
      <c r="A811" s="14" t="str">
        <f aca="false">IF(OR(B811="",C811="",D811="",E811=""),"",UPPER(B811)&amp;TEXT(C811,"00")&amp;"-"&amp;D811&amp;"-"&amp;TEXT(E811,"00"))</f>
        <v/>
      </c>
      <c r="B811" s="12"/>
      <c r="C811" s="12"/>
      <c r="D811" s="12"/>
      <c r="E811" s="12"/>
      <c r="F811" s="16" t="str">
        <f aca="false">IF(B811="","",IFERROR(INDEX(Zones!$B$2:$B$15,MATCH(B811,Zones!$A$2:$A$15,0)),"⚠ zone inconnue"))</f>
        <v/>
      </c>
      <c r="G811" s="12"/>
      <c r="H811" s="12"/>
      <c r="I811" s="12"/>
      <c r="J811" s="12"/>
    </row>
    <row r="812" customFormat="false" ht="15" hidden="false" customHeight="false" outlineLevel="0" collapsed="false">
      <c r="A812" s="14" t="str">
        <f aca="false">IF(OR(B812="",C812="",D812="",E812=""),"",UPPER(B812)&amp;TEXT(C812,"00")&amp;"-"&amp;D812&amp;"-"&amp;TEXT(E812,"00"))</f>
        <v/>
      </c>
      <c r="B812" s="12"/>
      <c r="C812" s="12"/>
      <c r="D812" s="12"/>
      <c r="E812" s="12"/>
      <c r="F812" s="16" t="str">
        <f aca="false">IF(B812="","",IFERROR(INDEX(Zones!$B$2:$B$15,MATCH(B812,Zones!$A$2:$A$15,0)),"⚠ zone inconnue"))</f>
        <v/>
      </c>
      <c r="G812" s="12"/>
      <c r="H812" s="12"/>
      <c r="I812" s="12"/>
      <c r="J812" s="12"/>
    </row>
    <row r="813" customFormat="false" ht="15" hidden="false" customHeight="false" outlineLevel="0" collapsed="false">
      <c r="A813" s="14" t="str">
        <f aca="false">IF(OR(B813="",C813="",D813="",E813=""),"",UPPER(B813)&amp;TEXT(C813,"00")&amp;"-"&amp;D813&amp;"-"&amp;TEXT(E813,"00"))</f>
        <v/>
      </c>
      <c r="B813" s="12"/>
      <c r="C813" s="12"/>
      <c r="D813" s="12"/>
      <c r="E813" s="12"/>
      <c r="F813" s="16" t="str">
        <f aca="false">IF(B813="","",IFERROR(INDEX(Zones!$B$2:$B$15,MATCH(B813,Zones!$A$2:$A$15,0)),"⚠ zone inconnue"))</f>
        <v/>
      </c>
      <c r="G813" s="12"/>
      <c r="H813" s="12"/>
      <c r="I813" s="12"/>
      <c r="J813" s="12"/>
    </row>
    <row r="814" customFormat="false" ht="15" hidden="false" customHeight="false" outlineLevel="0" collapsed="false">
      <c r="A814" s="14" t="str">
        <f aca="false">IF(OR(B814="",C814="",D814="",E814=""),"",UPPER(B814)&amp;TEXT(C814,"00")&amp;"-"&amp;D814&amp;"-"&amp;TEXT(E814,"00"))</f>
        <v/>
      </c>
      <c r="B814" s="12"/>
      <c r="C814" s="12"/>
      <c r="D814" s="12"/>
      <c r="E814" s="12"/>
      <c r="F814" s="16" t="str">
        <f aca="false">IF(B814="","",IFERROR(INDEX(Zones!$B$2:$B$15,MATCH(B814,Zones!$A$2:$A$15,0)),"⚠ zone inconnue"))</f>
        <v/>
      </c>
      <c r="G814" s="12"/>
      <c r="H814" s="12"/>
      <c r="I814" s="12"/>
      <c r="J814" s="12"/>
    </row>
    <row r="815" customFormat="false" ht="15" hidden="false" customHeight="false" outlineLevel="0" collapsed="false">
      <c r="A815" s="14" t="str">
        <f aca="false">IF(OR(B815="",C815="",D815="",E815=""),"",UPPER(B815)&amp;TEXT(C815,"00")&amp;"-"&amp;D815&amp;"-"&amp;TEXT(E815,"00"))</f>
        <v/>
      </c>
      <c r="B815" s="12"/>
      <c r="C815" s="12"/>
      <c r="D815" s="12"/>
      <c r="E815" s="12"/>
      <c r="F815" s="16" t="str">
        <f aca="false">IF(B815="","",IFERROR(INDEX(Zones!$B$2:$B$15,MATCH(B815,Zones!$A$2:$A$15,0)),"⚠ zone inconnue"))</f>
        <v/>
      </c>
      <c r="G815" s="12"/>
      <c r="H815" s="12"/>
      <c r="I815" s="12"/>
      <c r="J815" s="12"/>
    </row>
    <row r="816" customFormat="false" ht="15" hidden="false" customHeight="false" outlineLevel="0" collapsed="false">
      <c r="A816" s="14" t="str">
        <f aca="false">IF(OR(B816="",C816="",D816="",E816=""),"",UPPER(B816)&amp;TEXT(C816,"00")&amp;"-"&amp;D816&amp;"-"&amp;TEXT(E816,"00"))</f>
        <v/>
      </c>
      <c r="B816" s="12"/>
      <c r="C816" s="12"/>
      <c r="D816" s="12"/>
      <c r="E816" s="12"/>
      <c r="F816" s="16" t="str">
        <f aca="false">IF(B816="","",IFERROR(INDEX(Zones!$B$2:$B$15,MATCH(B816,Zones!$A$2:$A$15,0)),"⚠ zone inconnue"))</f>
        <v/>
      </c>
      <c r="G816" s="12"/>
      <c r="H816" s="12"/>
      <c r="I816" s="12"/>
      <c r="J816" s="12"/>
    </row>
    <row r="817" customFormat="false" ht="15" hidden="false" customHeight="false" outlineLevel="0" collapsed="false">
      <c r="A817" s="14" t="str">
        <f aca="false">IF(OR(B817="",C817="",D817="",E817=""),"",UPPER(B817)&amp;TEXT(C817,"00")&amp;"-"&amp;D817&amp;"-"&amp;TEXT(E817,"00"))</f>
        <v/>
      </c>
      <c r="B817" s="12"/>
      <c r="C817" s="12"/>
      <c r="D817" s="12"/>
      <c r="E817" s="12"/>
      <c r="F817" s="16" t="str">
        <f aca="false">IF(B817="","",IFERROR(INDEX(Zones!$B$2:$B$15,MATCH(B817,Zones!$A$2:$A$15,0)),"⚠ zone inconnue"))</f>
        <v/>
      </c>
      <c r="G817" s="12"/>
      <c r="H817" s="12"/>
      <c r="I817" s="12"/>
      <c r="J817" s="12"/>
    </row>
    <row r="818" customFormat="false" ht="15" hidden="false" customHeight="false" outlineLevel="0" collapsed="false">
      <c r="A818" s="14" t="str">
        <f aca="false">IF(OR(B818="",C818="",D818="",E818=""),"",UPPER(B818)&amp;TEXT(C818,"00")&amp;"-"&amp;D818&amp;"-"&amp;TEXT(E818,"00"))</f>
        <v/>
      </c>
      <c r="B818" s="12"/>
      <c r="C818" s="12"/>
      <c r="D818" s="12"/>
      <c r="E818" s="12"/>
      <c r="F818" s="16" t="str">
        <f aca="false">IF(B818="","",IFERROR(INDEX(Zones!$B$2:$B$15,MATCH(B818,Zones!$A$2:$A$15,0)),"⚠ zone inconnue"))</f>
        <v/>
      </c>
      <c r="G818" s="12"/>
      <c r="H818" s="12"/>
      <c r="I818" s="12"/>
      <c r="J818" s="12"/>
    </row>
    <row r="819" customFormat="false" ht="15" hidden="false" customHeight="false" outlineLevel="0" collapsed="false">
      <c r="A819" s="14" t="str">
        <f aca="false">IF(OR(B819="",C819="",D819="",E819=""),"",UPPER(B819)&amp;TEXT(C819,"00")&amp;"-"&amp;D819&amp;"-"&amp;TEXT(E819,"00"))</f>
        <v/>
      </c>
      <c r="B819" s="12"/>
      <c r="C819" s="12"/>
      <c r="D819" s="12"/>
      <c r="E819" s="12"/>
      <c r="F819" s="16" t="str">
        <f aca="false">IF(B819="","",IFERROR(INDEX(Zones!$B$2:$B$15,MATCH(B819,Zones!$A$2:$A$15,0)),"⚠ zone inconnue"))</f>
        <v/>
      </c>
      <c r="G819" s="12"/>
      <c r="H819" s="12"/>
      <c r="I819" s="12"/>
      <c r="J819" s="12"/>
    </row>
    <row r="820" customFormat="false" ht="15" hidden="false" customHeight="false" outlineLevel="0" collapsed="false">
      <c r="A820" s="14" t="str">
        <f aca="false">IF(OR(B820="",C820="",D820="",E820=""),"",UPPER(B820)&amp;TEXT(C820,"00")&amp;"-"&amp;D820&amp;"-"&amp;TEXT(E820,"00"))</f>
        <v/>
      </c>
      <c r="B820" s="12"/>
      <c r="C820" s="12"/>
      <c r="D820" s="12"/>
      <c r="E820" s="12"/>
      <c r="F820" s="16" t="str">
        <f aca="false">IF(B820="","",IFERROR(INDEX(Zones!$B$2:$B$15,MATCH(B820,Zones!$A$2:$A$15,0)),"⚠ zone inconnue"))</f>
        <v/>
      </c>
      <c r="G820" s="12"/>
      <c r="H820" s="12"/>
      <c r="I820" s="12"/>
      <c r="J820" s="12"/>
    </row>
    <row r="821" customFormat="false" ht="15" hidden="false" customHeight="false" outlineLevel="0" collapsed="false">
      <c r="A821" s="14" t="str">
        <f aca="false">IF(OR(B821="",C821="",D821="",E821=""),"",UPPER(B821)&amp;TEXT(C821,"00")&amp;"-"&amp;D821&amp;"-"&amp;TEXT(E821,"00"))</f>
        <v/>
      </c>
      <c r="B821" s="12"/>
      <c r="C821" s="12"/>
      <c r="D821" s="12"/>
      <c r="E821" s="12"/>
      <c r="F821" s="16" t="str">
        <f aca="false">IF(B821="","",IFERROR(INDEX(Zones!$B$2:$B$15,MATCH(B821,Zones!$A$2:$A$15,0)),"⚠ zone inconnue"))</f>
        <v/>
      </c>
      <c r="G821" s="12"/>
      <c r="H821" s="12"/>
      <c r="I821" s="12"/>
      <c r="J821" s="12"/>
    </row>
    <row r="822" customFormat="false" ht="15" hidden="false" customHeight="false" outlineLevel="0" collapsed="false">
      <c r="A822" s="14" t="str">
        <f aca="false">IF(OR(B822="",C822="",D822="",E822=""),"",UPPER(B822)&amp;TEXT(C822,"00")&amp;"-"&amp;D822&amp;"-"&amp;TEXT(E822,"00"))</f>
        <v/>
      </c>
      <c r="B822" s="12"/>
      <c r="C822" s="12"/>
      <c r="D822" s="12"/>
      <c r="E822" s="12"/>
      <c r="F822" s="16" t="str">
        <f aca="false">IF(B822="","",IFERROR(INDEX(Zones!$B$2:$B$15,MATCH(B822,Zones!$A$2:$A$15,0)),"⚠ zone inconnue"))</f>
        <v/>
      </c>
      <c r="G822" s="12"/>
      <c r="H822" s="12"/>
      <c r="I822" s="12"/>
      <c r="J822" s="12"/>
    </row>
    <row r="823" customFormat="false" ht="15" hidden="false" customHeight="false" outlineLevel="0" collapsed="false">
      <c r="A823" s="14" t="str">
        <f aca="false">IF(OR(B823="",C823="",D823="",E823=""),"",UPPER(B823)&amp;TEXT(C823,"00")&amp;"-"&amp;D823&amp;"-"&amp;TEXT(E823,"00"))</f>
        <v/>
      </c>
      <c r="B823" s="12"/>
      <c r="C823" s="12"/>
      <c r="D823" s="12"/>
      <c r="E823" s="12"/>
      <c r="F823" s="16" t="str">
        <f aca="false">IF(B823="","",IFERROR(INDEX(Zones!$B$2:$B$15,MATCH(B823,Zones!$A$2:$A$15,0)),"⚠ zone inconnue"))</f>
        <v/>
      </c>
      <c r="G823" s="12"/>
      <c r="H823" s="12"/>
      <c r="I823" s="12"/>
      <c r="J823" s="12"/>
    </row>
    <row r="824" customFormat="false" ht="15" hidden="false" customHeight="false" outlineLevel="0" collapsed="false">
      <c r="A824" s="14" t="str">
        <f aca="false">IF(OR(B824="",C824="",D824="",E824=""),"",UPPER(B824)&amp;TEXT(C824,"00")&amp;"-"&amp;D824&amp;"-"&amp;TEXT(E824,"00"))</f>
        <v/>
      </c>
      <c r="B824" s="12"/>
      <c r="C824" s="12"/>
      <c r="D824" s="12"/>
      <c r="E824" s="12"/>
      <c r="F824" s="16" t="str">
        <f aca="false">IF(B824="","",IFERROR(INDEX(Zones!$B$2:$B$15,MATCH(B824,Zones!$A$2:$A$15,0)),"⚠ zone inconnue"))</f>
        <v/>
      </c>
      <c r="G824" s="12"/>
      <c r="H824" s="12"/>
      <c r="I824" s="12"/>
      <c r="J824" s="12"/>
    </row>
    <row r="825" customFormat="false" ht="15" hidden="false" customHeight="false" outlineLevel="0" collapsed="false">
      <c r="A825" s="14" t="str">
        <f aca="false">IF(OR(B825="",C825="",D825="",E825=""),"",UPPER(B825)&amp;TEXT(C825,"00")&amp;"-"&amp;D825&amp;"-"&amp;TEXT(E825,"00"))</f>
        <v/>
      </c>
      <c r="B825" s="12"/>
      <c r="C825" s="12"/>
      <c r="D825" s="12"/>
      <c r="E825" s="12"/>
      <c r="F825" s="16" t="str">
        <f aca="false">IF(B825="","",IFERROR(INDEX(Zones!$B$2:$B$15,MATCH(B825,Zones!$A$2:$A$15,0)),"⚠ zone inconnue"))</f>
        <v/>
      </c>
      <c r="G825" s="12"/>
      <c r="H825" s="12"/>
      <c r="I825" s="12"/>
      <c r="J825" s="12"/>
    </row>
    <row r="826" customFormat="false" ht="15" hidden="false" customHeight="false" outlineLevel="0" collapsed="false">
      <c r="A826" s="14" t="str">
        <f aca="false">IF(OR(B826="",C826="",D826="",E826=""),"",UPPER(B826)&amp;TEXT(C826,"00")&amp;"-"&amp;D826&amp;"-"&amp;TEXT(E826,"00"))</f>
        <v/>
      </c>
      <c r="B826" s="12"/>
      <c r="C826" s="12"/>
      <c r="D826" s="12"/>
      <c r="E826" s="12"/>
      <c r="F826" s="16" t="str">
        <f aca="false">IF(B826="","",IFERROR(INDEX(Zones!$B$2:$B$15,MATCH(B826,Zones!$A$2:$A$15,0)),"⚠ zone inconnue"))</f>
        <v/>
      </c>
      <c r="G826" s="12"/>
      <c r="H826" s="12"/>
      <c r="I826" s="12"/>
      <c r="J826" s="12"/>
    </row>
    <row r="827" customFormat="false" ht="15" hidden="false" customHeight="false" outlineLevel="0" collapsed="false">
      <c r="A827" s="14" t="str">
        <f aca="false">IF(OR(B827="",C827="",D827="",E827=""),"",UPPER(B827)&amp;TEXT(C827,"00")&amp;"-"&amp;D827&amp;"-"&amp;TEXT(E827,"00"))</f>
        <v/>
      </c>
      <c r="B827" s="12"/>
      <c r="C827" s="12"/>
      <c r="D827" s="12"/>
      <c r="E827" s="12"/>
      <c r="F827" s="16" t="str">
        <f aca="false">IF(B827="","",IFERROR(INDEX(Zones!$B$2:$B$15,MATCH(B827,Zones!$A$2:$A$15,0)),"⚠ zone inconnue"))</f>
        <v/>
      </c>
      <c r="G827" s="12"/>
      <c r="H827" s="12"/>
      <c r="I827" s="12"/>
      <c r="J827" s="12"/>
    </row>
    <row r="828" customFormat="false" ht="15" hidden="false" customHeight="false" outlineLevel="0" collapsed="false">
      <c r="A828" s="14" t="str">
        <f aca="false">IF(OR(B828="",C828="",D828="",E828=""),"",UPPER(B828)&amp;TEXT(C828,"00")&amp;"-"&amp;D828&amp;"-"&amp;TEXT(E828,"00"))</f>
        <v/>
      </c>
      <c r="B828" s="12"/>
      <c r="C828" s="12"/>
      <c r="D828" s="12"/>
      <c r="E828" s="12"/>
      <c r="F828" s="16" t="str">
        <f aca="false">IF(B828="","",IFERROR(INDEX(Zones!$B$2:$B$15,MATCH(B828,Zones!$A$2:$A$15,0)),"⚠ zone inconnue"))</f>
        <v/>
      </c>
      <c r="G828" s="12"/>
      <c r="H828" s="12"/>
      <c r="I828" s="12"/>
      <c r="J828" s="12"/>
    </row>
    <row r="829" customFormat="false" ht="15" hidden="false" customHeight="false" outlineLevel="0" collapsed="false">
      <c r="A829" s="14" t="str">
        <f aca="false">IF(OR(B829="",C829="",D829="",E829=""),"",UPPER(B829)&amp;TEXT(C829,"00")&amp;"-"&amp;D829&amp;"-"&amp;TEXT(E829,"00"))</f>
        <v/>
      </c>
      <c r="B829" s="12"/>
      <c r="C829" s="12"/>
      <c r="D829" s="12"/>
      <c r="E829" s="12"/>
      <c r="F829" s="16" t="str">
        <f aca="false">IF(B829="","",IFERROR(INDEX(Zones!$B$2:$B$15,MATCH(B829,Zones!$A$2:$A$15,0)),"⚠ zone inconnue"))</f>
        <v/>
      </c>
      <c r="G829" s="12"/>
      <c r="H829" s="12"/>
      <c r="I829" s="12"/>
      <c r="J829" s="12"/>
    </row>
    <row r="830" customFormat="false" ht="15" hidden="false" customHeight="false" outlineLevel="0" collapsed="false">
      <c r="A830" s="14" t="str">
        <f aca="false">IF(OR(B830="",C830="",D830="",E830=""),"",UPPER(B830)&amp;TEXT(C830,"00")&amp;"-"&amp;D830&amp;"-"&amp;TEXT(E830,"00"))</f>
        <v/>
      </c>
      <c r="B830" s="12"/>
      <c r="C830" s="12"/>
      <c r="D830" s="12"/>
      <c r="E830" s="12"/>
      <c r="F830" s="16" t="str">
        <f aca="false">IF(B830="","",IFERROR(INDEX(Zones!$B$2:$B$15,MATCH(B830,Zones!$A$2:$A$15,0)),"⚠ zone inconnue"))</f>
        <v/>
      </c>
      <c r="G830" s="12"/>
      <c r="H830" s="12"/>
      <c r="I830" s="12"/>
      <c r="J830" s="12"/>
    </row>
    <row r="831" customFormat="false" ht="15" hidden="false" customHeight="false" outlineLevel="0" collapsed="false">
      <c r="A831" s="14" t="str">
        <f aca="false">IF(OR(B831="",C831="",D831="",E831=""),"",UPPER(B831)&amp;TEXT(C831,"00")&amp;"-"&amp;D831&amp;"-"&amp;TEXT(E831,"00"))</f>
        <v/>
      </c>
      <c r="B831" s="12"/>
      <c r="C831" s="12"/>
      <c r="D831" s="12"/>
      <c r="E831" s="12"/>
      <c r="F831" s="16" t="str">
        <f aca="false">IF(B831="","",IFERROR(INDEX(Zones!$B$2:$B$15,MATCH(B831,Zones!$A$2:$A$15,0)),"⚠ zone inconnue"))</f>
        <v/>
      </c>
      <c r="G831" s="12"/>
      <c r="H831" s="12"/>
      <c r="I831" s="12"/>
      <c r="J831" s="12"/>
    </row>
    <row r="832" customFormat="false" ht="15" hidden="false" customHeight="false" outlineLevel="0" collapsed="false">
      <c r="A832" s="14" t="str">
        <f aca="false">IF(OR(B832="",C832="",D832="",E832=""),"",UPPER(B832)&amp;TEXT(C832,"00")&amp;"-"&amp;D832&amp;"-"&amp;TEXT(E832,"00"))</f>
        <v/>
      </c>
      <c r="B832" s="12"/>
      <c r="C832" s="12"/>
      <c r="D832" s="12"/>
      <c r="E832" s="12"/>
      <c r="F832" s="16" t="str">
        <f aca="false">IF(B832="","",IFERROR(INDEX(Zones!$B$2:$B$15,MATCH(B832,Zones!$A$2:$A$15,0)),"⚠ zone inconnue"))</f>
        <v/>
      </c>
      <c r="G832" s="12"/>
      <c r="H832" s="12"/>
      <c r="I832" s="12"/>
      <c r="J832" s="12"/>
    </row>
    <row r="833" customFormat="false" ht="15" hidden="false" customHeight="false" outlineLevel="0" collapsed="false">
      <c r="A833" s="14" t="str">
        <f aca="false">IF(OR(B833="",C833="",D833="",E833=""),"",UPPER(B833)&amp;TEXT(C833,"00")&amp;"-"&amp;D833&amp;"-"&amp;TEXT(E833,"00"))</f>
        <v/>
      </c>
      <c r="B833" s="12"/>
      <c r="C833" s="12"/>
      <c r="D833" s="12"/>
      <c r="E833" s="12"/>
      <c r="F833" s="16" t="str">
        <f aca="false">IF(B833="","",IFERROR(INDEX(Zones!$B$2:$B$15,MATCH(B833,Zones!$A$2:$A$15,0)),"⚠ zone inconnue"))</f>
        <v/>
      </c>
      <c r="G833" s="12"/>
      <c r="H833" s="12"/>
      <c r="I833" s="12"/>
      <c r="J833" s="12"/>
    </row>
    <row r="834" customFormat="false" ht="15" hidden="false" customHeight="false" outlineLevel="0" collapsed="false">
      <c r="A834" s="14" t="str">
        <f aca="false">IF(OR(B834="",C834="",D834="",E834=""),"",UPPER(B834)&amp;TEXT(C834,"00")&amp;"-"&amp;D834&amp;"-"&amp;TEXT(E834,"00"))</f>
        <v/>
      </c>
      <c r="B834" s="12"/>
      <c r="C834" s="12"/>
      <c r="D834" s="12"/>
      <c r="E834" s="12"/>
      <c r="F834" s="16" t="str">
        <f aca="false">IF(B834="","",IFERROR(INDEX(Zones!$B$2:$B$15,MATCH(B834,Zones!$A$2:$A$15,0)),"⚠ zone inconnue"))</f>
        <v/>
      </c>
      <c r="G834" s="12"/>
      <c r="H834" s="12"/>
      <c r="I834" s="12"/>
      <c r="J834" s="12"/>
    </row>
    <row r="835" customFormat="false" ht="15" hidden="false" customHeight="false" outlineLevel="0" collapsed="false">
      <c r="A835" s="14" t="str">
        <f aca="false">IF(OR(B835="",C835="",D835="",E835=""),"",UPPER(B835)&amp;TEXT(C835,"00")&amp;"-"&amp;D835&amp;"-"&amp;TEXT(E835,"00"))</f>
        <v/>
      </c>
      <c r="B835" s="12"/>
      <c r="C835" s="12"/>
      <c r="D835" s="12"/>
      <c r="E835" s="12"/>
      <c r="F835" s="16" t="str">
        <f aca="false">IF(B835="","",IFERROR(INDEX(Zones!$B$2:$B$15,MATCH(B835,Zones!$A$2:$A$15,0)),"⚠ zone inconnue"))</f>
        <v/>
      </c>
      <c r="G835" s="12"/>
      <c r="H835" s="12"/>
      <c r="I835" s="12"/>
      <c r="J835" s="12"/>
    </row>
    <row r="836" customFormat="false" ht="15" hidden="false" customHeight="false" outlineLevel="0" collapsed="false">
      <c r="A836" s="14" t="str">
        <f aca="false">IF(OR(B836="",C836="",D836="",E836=""),"",UPPER(B836)&amp;TEXT(C836,"00")&amp;"-"&amp;D836&amp;"-"&amp;TEXT(E836,"00"))</f>
        <v/>
      </c>
      <c r="B836" s="12"/>
      <c r="C836" s="12"/>
      <c r="D836" s="12"/>
      <c r="E836" s="12"/>
      <c r="F836" s="16" t="str">
        <f aca="false">IF(B836="","",IFERROR(INDEX(Zones!$B$2:$B$15,MATCH(B836,Zones!$A$2:$A$15,0)),"⚠ zone inconnue"))</f>
        <v/>
      </c>
      <c r="G836" s="12"/>
      <c r="H836" s="12"/>
      <c r="I836" s="12"/>
      <c r="J836" s="12"/>
    </row>
    <row r="837" customFormat="false" ht="15" hidden="false" customHeight="false" outlineLevel="0" collapsed="false">
      <c r="A837" s="14" t="str">
        <f aca="false">IF(OR(B837="",C837="",D837="",E837=""),"",UPPER(B837)&amp;TEXT(C837,"00")&amp;"-"&amp;D837&amp;"-"&amp;TEXT(E837,"00"))</f>
        <v/>
      </c>
      <c r="B837" s="12"/>
      <c r="C837" s="12"/>
      <c r="D837" s="12"/>
      <c r="E837" s="12"/>
      <c r="F837" s="16" t="str">
        <f aca="false">IF(B837="","",IFERROR(INDEX(Zones!$B$2:$B$15,MATCH(B837,Zones!$A$2:$A$15,0)),"⚠ zone inconnue"))</f>
        <v/>
      </c>
      <c r="G837" s="12"/>
      <c r="H837" s="12"/>
      <c r="I837" s="12"/>
      <c r="J837" s="12"/>
    </row>
    <row r="838" customFormat="false" ht="15" hidden="false" customHeight="false" outlineLevel="0" collapsed="false">
      <c r="A838" s="14" t="str">
        <f aca="false">IF(OR(B838="",C838="",D838="",E838=""),"",UPPER(B838)&amp;TEXT(C838,"00")&amp;"-"&amp;D838&amp;"-"&amp;TEXT(E838,"00"))</f>
        <v/>
      </c>
      <c r="B838" s="12"/>
      <c r="C838" s="12"/>
      <c r="D838" s="12"/>
      <c r="E838" s="12"/>
      <c r="F838" s="16" t="str">
        <f aca="false">IF(B838="","",IFERROR(INDEX(Zones!$B$2:$B$15,MATCH(B838,Zones!$A$2:$A$15,0)),"⚠ zone inconnue"))</f>
        <v/>
      </c>
      <c r="G838" s="12"/>
      <c r="H838" s="12"/>
      <c r="I838" s="12"/>
      <c r="J838" s="12"/>
    </row>
    <row r="839" customFormat="false" ht="15" hidden="false" customHeight="false" outlineLevel="0" collapsed="false">
      <c r="A839" s="14" t="str">
        <f aca="false">IF(OR(B839="",C839="",D839="",E839=""),"",UPPER(B839)&amp;TEXT(C839,"00")&amp;"-"&amp;D839&amp;"-"&amp;TEXT(E839,"00"))</f>
        <v/>
      </c>
      <c r="B839" s="12"/>
      <c r="C839" s="12"/>
      <c r="D839" s="12"/>
      <c r="E839" s="12"/>
      <c r="F839" s="16" t="str">
        <f aca="false">IF(B839="","",IFERROR(INDEX(Zones!$B$2:$B$15,MATCH(B839,Zones!$A$2:$A$15,0)),"⚠ zone inconnue"))</f>
        <v/>
      </c>
      <c r="G839" s="12"/>
      <c r="H839" s="12"/>
      <c r="I839" s="12"/>
      <c r="J839" s="12"/>
    </row>
    <row r="840" customFormat="false" ht="15" hidden="false" customHeight="false" outlineLevel="0" collapsed="false">
      <c r="A840" s="14" t="str">
        <f aca="false">IF(OR(B840="",C840="",D840="",E840=""),"",UPPER(B840)&amp;TEXT(C840,"00")&amp;"-"&amp;D840&amp;"-"&amp;TEXT(E840,"00"))</f>
        <v/>
      </c>
      <c r="B840" s="12"/>
      <c r="C840" s="12"/>
      <c r="D840" s="12"/>
      <c r="E840" s="12"/>
      <c r="F840" s="16" t="str">
        <f aca="false">IF(B840="","",IFERROR(INDEX(Zones!$B$2:$B$15,MATCH(B840,Zones!$A$2:$A$15,0)),"⚠ zone inconnue"))</f>
        <v/>
      </c>
      <c r="G840" s="12"/>
      <c r="H840" s="12"/>
      <c r="I840" s="12"/>
      <c r="J840" s="12"/>
    </row>
    <row r="841" customFormat="false" ht="15" hidden="false" customHeight="false" outlineLevel="0" collapsed="false">
      <c r="A841" s="14" t="str">
        <f aca="false">IF(OR(B841="",C841="",D841="",E841=""),"",UPPER(B841)&amp;TEXT(C841,"00")&amp;"-"&amp;D841&amp;"-"&amp;TEXT(E841,"00"))</f>
        <v/>
      </c>
      <c r="B841" s="12"/>
      <c r="C841" s="12"/>
      <c r="D841" s="12"/>
      <c r="E841" s="12"/>
      <c r="F841" s="16" t="str">
        <f aca="false">IF(B841="","",IFERROR(INDEX(Zones!$B$2:$B$15,MATCH(B841,Zones!$A$2:$A$15,0)),"⚠ zone inconnue"))</f>
        <v/>
      </c>
      <c r="G841" s="12"/>
      <c r="H841" s="12"/>
      <c r="I841" s="12"/>
      <c r="J841" s="12"/>
    </row>
    <row r="842" customFormat="false" ht="15" hidden="false" customHeight="false" outlineLevel="0" collapsed="false">
      <c r="A842" s="14" t="str">
        <f aca="false">IF(OR(B842="",C842="",D842="",E842=""),"",UPPER(B842)&amp;TEXT(C842,"00")&amp;"-"&amp;D842&amp;"-"&amp;TEXT(E842,"00"))</f>
        <v/>
      </c>
      <c r="B842" s="12"/>
      <c r="C842" s="12"/>
      <c r="D842" s="12"/>
      <c r="E842" s="12"/>
      <c r="F842" s="16" t="str">
        <f aca="false">IF(B842="","",IFERROR(INDEX(Zones!$B$2:$B$15,MATCH(B842,Zones!$A$2:$A$15,0)),"⚠ zone inconnue"))</f>
        <v/>
      </c>
      <c r="G842" s="12"/>
      <c r="H842" s="12"/>
      <c r="I842" s="12"/>
      <c r="J842" s="12"/>
    </row>
    <row r="843" customFormat="false" ht="15" hidden="false" customHeight="false" outlineLevel="0" collapsed="false">
      <c r="A843" s="14" t="str">
        <f aca="false">IF(OR(B843="",C843="",D843="",E843=""),"",UPPER(B843)&amp;TEXT(C843,"00")&amp;"-"&amp;D843&amp;"-"&amp;TEXT(E843,"00"))</f>
        <v/>
      </c>
      <c r="B843" s="12"/>
      <c r="C843" s="12"/>
      <c r="D843" s="12"/>
      <c r="E843" s="12"/>
      <c r="F843" s="16" t="str">
        <f aca="false">IF(B843="","",IFERROR(INDEX(Zones!$B$2:$B$15,MATCH(B843,Zones!$A$2:$A$15,0)),"⚠ zone inconnue"))</f>
        <v/>
      </c>
      <c r="G843" s="12"/>
      <c r="H843" s="12"/>
      <c r="I843" s="12"/>
      <c r="J843" s="12"/>
    </row>
    <row r="844" customFormat="false" ht="15" hidden="false" customHeight="false" outlineLevel="0" collapsed="false">
      <c r="A844" s="14" t="str">
        <f aca="false">IF(OR(B844="",C844="",D844="",E844=""),"",UPPER(B844)&amp;TEXT(C844,"00")&amp;"-"&amp;D844&amp;"-"&amp;TEXT(E844,"00"))</f>
        <v/>
      </c>
      <c r="B844" s="12"/>
      <c r="C844" s="12"/>
      <c r="D844" s="12"/>
      <c r="E844" s="12"/>
      <c r="F844" s="16" t="str">
        <f aca="false">IF(B844="","",IFERROR(INDEX(Zones!$B$2:$B$15,MATCH(B844,Zones!$A$2:$A$15,0)),"⚠ zone inconnue"))</f>
        <v/>
      </c>
      <c r="G844" s="12"/>
      <c r="H844" s="12"/>
      <c r="I844" s="12"/>
      <c r="J844" s="12"/>
    </row>
    <row r="845" customFormat="false" ht="15" hidden="false" customHeight="false" outlineLevel="0" collapsed="false">
      <c r="A845" s="14" t="str">
        <f aca="false">IF(OR(B845="",C845="",D845="",E845=""),"",UPPER(B845)&amp;TEXT(C845,"00")&amp;"-"&amp;D845&amp;"-"&amp;TEXT(E845,"00"))</f>
        <v/>
      </c>
      <c r="B845" s="12"/>
      <c r="C845" s="12"/>
      <c r="D845" s="12"/>
      <c r="E845" s="12"/>
      <c r="F845" s="16" t="str">
        <f aca="false">IF(B845="","",IFERROR(INDEX(Zones!$B$2:$B$15,MATCH(B845,Zones!$A$2:$A$15,0)),"⚠ zone inconnue"))</f>
        <v/>
      </c>
      <c r="G845" s="12"/>
      <c r="H845" s="12"/>
      <c r="I845" s="12"/>
      <c r="J845" s="12"/>
    </row>
    <row r="846" customFormat="false" ht="15" hidden="false" customHeight="false" outlineLevel="0" collapsed="false">
      <c r="A846" s="14" t="str">
        <f aca="false">IF(OR(B846="",C846="",D846="",E846=""),"",UPPER(B846)&amp;TEXT(C846,"00")&amp;"-"&amp;D846&amp;"-"&amp;TEXT(E846,"00"))</f>
        <v/>
      </c>
      <c r="B846" s="12"/>
      <c r="C846" s="12"/>
      <c r="D846" s="12"/>
      <c r="E846" s="12"/>
      <c r="F846" s="16" t="str">
        <f aca="false">IF(B846="","",IFERROR(INDEX(Zones!$B$2:$B$15,MATCH(B846,Zones!$A$2:$A$15,0)),"⚠ zone inconnue"))</f>
        <v/>
      </c>
      <c r="G846" s="12"/>
      <c r="H846" s="12"/>
      <c r="I846" s="12"/>
      <c r="J846" s="12"/>
    </row>
    <row r="847" customFormat="false" ht="15" hidden="false" customHeight="false" outlineLevel="0" collapsed="false">
      <c r="A847" s="14" t="str">
        <f aca="false">IF(OR(B847="",C847="",D847="",E847=""),"",UPPER(B847)&amp;TEXT(C847,"00")&amp;"-"&amp;D847&amp;"-"&amp;TEXT(E847,"00"))</f>
        <v/>
      </c>
      <c r="B847" s="12"/>
      <c r="C847" s="12"/>
      <c r="D847" s="12"/>
      <c r="E847" s="12"/>
      <c r="F847" s="16" t="str">
        <f aca="false">IF(B847="","",IFERROR(INDEX(Zones!$B$2:$B$15,MATCH(B847,Zones!$A$2:$A$15,0)),"⚠ zone inconnue"))</f>
        <v/>
      </c>
      <c r="G847" s="12"/>
      <c r="H847" s="12"/>
      <c r="I847" s="12"/>
      <c r="J847" s="12"/>
    </row>
    <row r="848" customFormat="false" ht="15" hidden="false" customHeight="false" outlineLevel="0" collapsed="false">
      <c r="A848" s="14" t="str">
        <f aca="false">IF(OR(B848="",C848="",D848="",E848=""),"",UPPER(B848)&amp;TEXT(C848,"00")&amp;"-"&amp;D848&amp;"-"&amp;TEXT(E848,"00"))</f>
        <v/>
      </c>
      <c r="B848" s="12"/>
      <c r="C848" s="12"/>
      <c r="D848" s="12"/>
      <c r="E848" s="12"/>
      <c r="F848" s="16" t="str">
        <f aca="false">IF(B848="","",IFERROR(INDEX(Zones!$B$2:$B$15,MATCH(B848,Zones!$A$2:$A$15,0)),"⚠ zone inconnue"))</f>
        <v/>
      </c>
      <c r="G848" s="12"/>
      <c r="H848" s="12"/>
      <c r="I848" s="12"/>
      <c r="J848" s="12"/>
    </row>
    <row r="849" customFormat="false" ht="15" hidden="false" customHeight="false" outlineLevel="0" collapsed="false">
      <c r="A849" s="14" t="str">
        <f aca="false">IF(OR(B849="",C849="",D849="",E849=""),"",UPPER(B849)&amp;TEXT(C849,"00")&amp;"-"&amp;D849&amp;"-"&amp;TEXT(E849,"00"))</f>
        <v/>
      </c>
      <c r="B849" s="12"/>
      <c r="C849" s="12"/>
      <c r="D849" s="12"/>
      <c r="E849" s="12"/>
      <c r="F849" s="16" t="str">
        <f aca="false">IF(B849="","",IFERROR(INDEX(Zones!$B$2:$B$15,MATCH(B849,Zones!$A$2:$A$15,0)),"⚠ zone inconnue"))</f>
        <v/>
      </c>
      <c r="G849" s="12"/>
      <c r="H849" s="12"/>
      <c r="I849" s="12"/>
      <c r="J849" s="12"/>
    </row>
    <row r="850" customFormat="false" ht="15" hidden="false" customHeight="false" outlineLevel="0" collapsed="false">
      <c r="A850" s="14" t="str">
        <f aca="false">IF(OR(B850="",C850="",D850="",E850=""),"",UPPER(B850)&amp;TEXT(C850,"00")&amp;"-"&amp;D850&amp;"-"&amp;TEXT(E850,"00"))</f>
        <v/>
      </c>
      <c r="B850" s="12"/>
      <c r="C850" s="12"/>
      <c r="D850" s="12"/>
      <c r="E850" s="12"/>
      <c r="F850" s="16" t="str">
        <f aca="false">IF(B850="","",IFERROR(INDEX(Zones!$B$2:$B$15,MATCH(B850,Zones!$A$2:$A$15,0)),"⚠ zone inconnue"))</f>
        <v/>
      </c>
      <c r="G850" s="12"/>
      <c r="H850" s="12"/>
      <c r="I850" s="12"/>
      <c r="J850" s="12"/>
    </row>
    <row r="851" customFormat="false" ht="15" hidden="false" customHeight="false" outlineLevel="0" collapsed="false">
      <c r="A851" s="14" t="str">
        <f aca="false">IF(OR(B851="",C851="",D851="",E851=""),"",UPPER(B851)&amp;TEXT(C851,"00")&amp;"-"&amp;D851&amp;"-"&amp;TEXT(E851,"00"))</f>
        <v/>
      </c>
      <c r="B851" s="12"/>
      <c r="C851" s="12"/>
      <c r="D851" s="12"/>
      <c r="E851" s="12"/>
      <c r="F851" s="16" t="str">
        <f aca="false">IF(B851="","",IFERROR(INDEX(Zones!$B$2:$B$15,MATCH(B851,Zones!$A$2:$A$15,0)),"⚠ zone inconnue"))</f>
        <v/>
      </c>
      <c r="G851" s="12"/>
      <c r="H851" s="12"/>
      <c r="I851" s="12"/>
      <c r="J851" s="12"/>
    </row>
    <row r="852" customFormat="false" ht="15" hidden="false" customHeight="false" outlineLevel="0" collapsed="false">
      <c r="A852" s="14" t="str">
        <f aca="false">IF(OR(B852="",C852="",D852="",E852=""),"",UPPER(B852)&amp;TEXT(C852,"00")&amp;"-"&amp;D852&amp;"-"&amp;TEXT(E852,"00"))</f>
        <v/>
      </c>
      <c r="B852" s="12"/>
      <c r="C852" s="12"/>
      <c r="D852" s="12"/>
      <c r="E852" s="12"/>
      <c r="F852" s="16" t="str">
        <f aca="false">IF(B852="","",IFERROR(INDEX(Zones!$B$2:$B$15,MATCH(B852,Zones!$A$2:$A$15,0)),"⚠ zone inconnue"))</f>
        <v/>
      </c>
      <c r="G852" s="12"/>
      <c r="H852" s="12"/>
      <c r="I852" s="12"/>
      <c r="J852" s="12"/>
    </row>
    <row r="853" customFormat="false" ht="15" hidden="false" customHeight="false" outlineLevel="0" collapsed="false">
      <c r="A853" s="14" t="str">
        <f aca="false">IF(OR(B853="",C853="",D853="",E853=""),"",UPPER(B853)&amp;TEXT(C853,"00")&amp;"-"&amp;D853&amp;"-"&amp;TEXT(E853,"00"))</f>
        <v/>
      </c>
      <c r="B853" s="12"/>
      <c r="C853" s="12"/>
      <c r="D853" s="12"/>
      <c r="E853" s="12"/>
      <c r="F853" s="16" t="str">
        <f aca="false">IF(B853="","",IFERROR(INDEX(Zones!$B$2:$B$15,MATCH(B853,Zones!$A$2:$A$15,0)),"⚠ zone inconnue"))</f>
        <v/>
      </c>
      <c r="G853" s="12"/>
      <c r="H853" s="12"/>
      <c r="I853" s="12"/>
      <c r="J853" s="12"/>
    </row>
    <row r="854" customFormat="false" ht="15" hidden="false" customHeight="false" outlineLevel="0" collapsed="false">
      <c r="A854" s="14" t="str">
        <f aca="false">IF(OR(B854="",C854="",D854="",E854=""),"",UPPER(B854)&amp;TEXT(C854,"00")&amp;"-"&amp;D854&amp;"-"&amp;TEXT(E854,"00"))</f>
        <v/>
      </c>
      <c r="B854" s="12"/>
      <c r="C854" s="12"/>
      <c r="D854" s="12"/>
      <c r="E854" s="12"/>
      <c r="F854" s="16" t="str">
        <f aca="false">IF(B854="","",IFERROR(INDEX(Zones!$B$2:$B$15,MATCH(B854,Zones!$A$2:$A$15,0)),"⚠ zone inconnue"))</f>
        <v/>
      </c>
      <c r="G854" s="12"/>
      <c r="H854" s="12"/>
      <c r="I854" s="12"/>
      <c r="J854" s="12"/>
    </row>
    <row r="855" customFormat="false" ht="15" hidden="false" customHeight="false" outlineLevel="0" collapsed="false">
      <c r="A855" s="14" t="str">
        <f aca="false">IF(OR(B855="",C855="",D855="",E855=""),"",UPPER(B855)&amp;TEXT(C855,"00")&amp;"-"&amp;D855&amp;"-"&amp;TEXT(E855,"00"))</f>
        <v/>
      </c>
      <c r="B855" s="12"/>
      <c r="C855" s="12"/>
      <c r="D855" s="12"/>
      <c r="E855" s="12"/>
      <c r="F855" s="16" t="str">
        <f aca="false">IF(B855="","",IFERROR(INDEX(Zones!$B$2:$B$15,MATCH(B855,Zones!$A$2:$A$15,0)),"⚠ zone inconnue"))</f>
        <v/>
      </c>
      <c r="G855" s="12"/>
      <c r="H855" s="12"/>
      <c r="I855" s="12"/>
      <c r="J855" s="12"/>
    </row>
    <row r="856" customFormat="false" ht="15" hidden="false" customHeight="false" outlineLevel="0" collapsed="false">
      <c r="A856" s="14" t="str">
        <f aca="false">IF(OR(B856="",C856="",D856="",E856=""),"",UPPER(B856)&amp;TEXT(C856,"00")&amp;"-"&amp;D856&amp;"-"&amp;TEXT(E856,"00"))</f>
        <v/>
      </c>
      <c r="B856" s="12"/>
      <c r="C856" s="12"/>
      <c r="D856" s="12"/>
      <c r="E856" s="12"/>
      <c r="F856" s="16" t="str">
        <f aca="false">IF(B856="","",IFERROR(INDEX(Zones!$B$2:$B$15,MATCH(B856,Zones!$A$2:$A$15,0)),"⚠ zone inconnue"))</f>
        <v/>
      </c>
      <c r="G856" s="12"/>
      <c r="H856" s="12"/>
      <c r="I856" s="12"/>
      <c r="J856" s="12"/>
    </row>
    <row r="857" customFormat="false" ht="15" hidden="false" customHeight="false" outlineLevel="0" collapsed="false">
      <c r="A857" s="14" t="str">
        <f aca="false">IF(OR(B857="",C857="",D857="",E857=""),"",UPPER(B857)&amp;TEXT(C857,"00")&amp;"-"&amp;D857&amp;"-"&amp;TEXT(E857,"00"))</f>
        <v/>
      </c>
      <c r="B857" s="12"/>
      <c r="C857" s="12"/>
      <c r="D857" s="12"/>
      <c r="E857" s="12"/>
      <c r="F857" s="16" t="str">
        <f aca="false">IF(B857="","",IFERROR(INDEX(Zones!$B$2:$B$15,MATCH(B857,Zones!$A$2:$A$15,0)),"⚠ zone inconnue"))</f>
        <v/>
      </c>
      <c r="G857" s="12"/>
      <c r="H857" s="12"/>
      <c r="I857" s="12"/>
      <c r="J857" s="12"/>
    </row>
    <row r="858" customFormat="false" ht="15" hidden="false" customHeight="false" outlineLevel="0" collapsed="false">
      <c r="A858" s="14" t="str">
        <f aca="false">IF(OR(B858="",C858="",D858="",E858=""),"",UPPER(B858)&amp;TEXT(C858,"00")&amp;"-"&amp;D858&amp;"-"&amp;TEXT(E858,"00"))</f>
        <v/>
      </c>
      <c r="B858" s="12"/>
      <c r="C858" s="12"/>
      <c r="D858" s="12"/>
      <c r="E858" s="12"/>
      <c r="F858" s="16" t="str">
        <f aca="false">IF(B858="","",IFERROR(INDEX(Zones!$B$2:$B$15,MATCH(B858,Zones!$A$2:$A$15,0)),"⚠ zone inconnue"))</f>
        <v/>
      </c>
      <c r="G858" s="12"/>
      <c r="H858" s="12"/>
      <c r="I858" s="12"/>
      <c r="J858" s="12"/>
    </row>
    <row r="859" customFormat="false" ht="15" hidden="false" customHeight="false" outlineLevel="0" collapsed="false">
      <c r="A859" s="14" t="str">
        <f aca="false">IF(OR(B859="",C859="",D859="",E859=""),"",UPPER(B859)&amp;TEXT(C859,"00")&amp;"-"&amp;D859&amp;"-"&amp;TEXT(E859,"00"))</f>
        <v/>
      </c>
      <c r="B859" s="12"/>
      <c r="C859" s="12"/>
      <c r="D859" s="12"/>
      <c r="E859" s="12"/>
      <c r="F859" s="16" t="str">
        <f aca="false">IF(B859="","",IFERROR(INDEX(Zones!$B$2:$B$15,MATCH(B859,Zones!$A$2:$A$15,0)),"⚠ zone inconnue"))</f>
        <v/>
      </c>
      <c r="G859" s="12"/>
      <c r="H859" s="12"/>
      <c r="I859" s="12"/>
      <c r="J859" s="12"/>
    </row>
    <row r="860" customFormat="false" ht="15" hidden="false" customHeight="false" outlineLevel="0" collapsed="false">
      <c r="A860" s="14" t="str">
        <f aca="false">IF(OR(B860="",C860="",D860="",E860=""),"",UPPER(B860)&amp;TEXT(C860,"00")&amp;"-"&amp;D860&amp;"-"&amp;TEXT(E860,"00"))</f>
        <v/>
      </c>
      <c r="B860" s="12"/>
      <c r="C860" s="12"/>
      <c r="D860" s="12"/>
      <c r="E860" s="12"/>
      <c r="F860" s="16" t="str">
        <f aca="false">IF(B860="","",IFERROR(INDEX(Zones!$B$2:$B$15,MATCH(B860,Zones!$A$2:$A$15,0)),"⚠ zone inconnue"))</f>
        <v/>
      </c>
      <c r="G860" s="12"/>
      <c r="H860" s="12"/>
      <c r="I860" s="12"/>
      <c r="J860" s="12"/>
    </row>
    <row r="861" customFormat="false" ht="15" hidden="false" customHeight="false" outlineLevel="0" collapsed="false">
      <c r="A861" s="14" t="str">
        <f aca="false">IF(OR(B861="",C861="",D861="",E861=""),"",UPPER(B861)&amp;TEXT(C861,"00")&amp;"-"&amp;D861&amp;"-"&amp;TEXT(E861,"00"))</f>
        <v/>
      </c>
      <c r="B861" s="12"/>
      <c r="C861" s="12"/>
      <c r="D861" s="12"/>
      <c r="E861" s="12"/>
      <c r="F861" s="16" t="str">
        <f aca="false">IF(B861="","",IFERROR(INDEX(Zones!$B$2:$B$15,MATCH(B861,Zones!$A$2:$A$15,0)),"⚠ zone inconnue"))</f>
        <v/>
      </c>
      <c r="G861" s="12"/>
      <c r="H861" s="12"/>
      <c r="I861" s="12"/>
      <c r="J861" s="12"/>
    </row>
    <row r="862" customFormat="false" ht="15" hidden="false" customHeight="false" outlineLevel="0" collapsed="false">
      <c r="A862" s="14" t="str">
        <f aca="false">IF(OR(B862="",C862="",D862="",E862=""),"",UPPER(B862)&amp;TEXT(C862,"00")&amp;"-"&amp;D862&amp;"-"&amp;TEXT(E862,"00"))</f>
        <v/>
      </c>
      <c r="B862" s="12"/>
      <c r="C862" s="12"/>
      <c r="D862" s="12"/>
      <c r="E862" s="12"/>
      <c r="F862" s="16" t="str">
        <f aca="false">IF(B862="","",IFERROR(INDEX(Zones!$B$2:$B$15,MATCH(B862,Zones!$A$2:$A$15,0)),"⚠ zone inconnue"))</f>
        <v/>
      </c>
      <c r="G862" s="12"/>
      <c r="H862" s="12"/>
      <c r="I862" s="12"/>
      <c r="J862" s="12"/>
    </row>
    <row r="863" customFormat="false" ht="15" hidden="false" customHeight="false" outlineLevel="0" collapsed="false">
      <c r="A863" s="14" t="str">
        <f aca="false">IF(OR(B863="",C863="",D863="",E863=""),"",UPPER(B863)&amp;TEXT(C863,"00")&amp;"-"&amp;D863&amp;"-"&amp;TEXT(E863,"00"))</f>
        <v/>
      </c>
      <c r="B863" s="12"/>
      <c r="C863" s="12"/>
      <c r="D863" s="12"/>
      <c r="E863" s="12"/>
      <c r="F863" s="16" t="str">
        <f aca="false">IF(B863="","",IFERROR(INDEX(Zones!$B$2:$B$15,MATCH(B863,Zones!$A$2:$A$15,0)),"⚠ zone inconnue"))</f>
        <v/>
      </c>
      <c r="G863" s="12"/>
      <c r="H863" s="12"/>
      <c r="I863" s="12"/>
      <c r="J863" s="12"/>
    </row>
    <row r="864" customFormat="false" ht="15" hidden="false" customHeight="false" outlineLevel="0" collapsed="false">
      <c r="A864" s="14" t="str">
        <f aca="false">IF(OR(B864="",C864="",D864="",E864=""),"",UPPER(B864)&amp;TEXT(C864,"00")&amp;"-"&amp;D864&amp;"-"&amp;TEXT(E864,"00"))</f>
        <v/>
      </c>
      <c r="B864" s="12"/>
      <c r="C864" s="12"/>
      <c r="D864" s="12"/>
      <c r="E864" s="12"/>
      <c r="F864" s="16" t="str">
        <f aca="false">IF(B864="","",IFERROR(INDEX(Zones!$B$2:$B$15,MATCH(B864,Zones!$A$2:$A$15,0)),"⚠ zone inconnue"))</f>
        <v/>
      </c>
      <c r="G864" s="12"/>
      <c r="H864" s="12"/>
      <c r="I864" s="12"/>
      <c r="J864" s="12"/>
    </row>
    <row r="865" customFormat="false" ht="15" hidden="false" customHeight="false" outlineLevel="0" collapsed="false">
      <c r="A865" s="14" t="str">
        <f aca="false">IF(OR(B865="",C865="",D865="",E865=""),"",UPPER(B865)&amp;TEXT(C865,"00")&amp;"-"&amp;D865&amp;"-"&amp;TEXT(E865,"00"))</f>
        <v/>
      </c>
      <c r="B865" s="12"/>
      <c r="C865" s="12"/>
      <c r="D865" s="12"/>
      <c r="E865" s="12"/>
      <c r="F865" s="16" t="str">
        <f aca="false">IF(B865="","",IFERROR(INDEX(Zones!$B$2:$B$15,MATCH(B865,Zones!$A$2:$A$15,0)),"⚠ zone inconnue"))</f>
        <v/>
      </c>
      <c r="G865" s="12"/>
      <c r="H865" s="12"/>
      <c r="I865" s="12"/>
      <c r="J865" s="12"/>
    </row>
    <row r="866" customFormat="false" ht="15" hidden="false" customHeight="false" outlineLevel="0" collapsed="false">
      <c r="A866" s="14" t="str">
        <f aca="false">IF(OR(B866="",C866="",D866="",E866=""),"",UPPER(B866)&amp;TEXT(C866,"00")&amp;"-"&amp;D866&amp;"-"&amp;TEXT(E866,"00"))</f>
        <v/>
      </c>
      <c r="B866" s="12"/>
      <c r="C866" s="12"/>
      <c r="D866" s="12"/>
      <c r="E866" s="12"/>
      <c r="F866" s="16" t="str">
        <f aca="false">IF(B866="","",IFERROR(INDEX(Zones!$B$2:$B$15,MATCH(B866,Zones!$A$2:$A$15,0)),"⚠ zone inconnue"))</f>
        <v/>
      </c>
      <c r="G866" s="12"/>
      <c r="H866" s="12"/>
      <c r="I866" s="12"/>
      <c r="J866" s="12"/>
    </row>
    <row r="867" customFormat="false" ht="15" hidden="false" customHeight="false" outlineLevel="0" collapsed="false">
      <c r="A867" s="14" t="str">
        <f aca="false">IF(OR(B867="",C867="",D867="",E867=""),"",UPPER(B867)&amp;TEXT(C867,"00")&amp;"-"&amp;D867&amp;"-"&amp;TEXT(E867,"00"))</f>
        <v/>
      </c>
      <c r="B867" s="12"/>
      <c r="C867" s="12"/>
      <c r="D867" s="12"/>
      <c r="E867" s="12"/>
      <c r="F867" s="16" t="str">
        <f aca="false">IF(B867="","",IFERROR(INDEX(Zones!$B$2:$B$15,MATCH(B867,Zones!$A$2:$A$15,0)),"⚠ zone inconnue"))</f>
        <v/>
      </c>
      <c r="G867" s="12"/>
      <c r="H867" s="12"/>
      <c r="I867" s="12"/>
      <c r="J867" s="12"/>
    </row>
    <row r="868" customFormat="false" ht="15" hidden="false" customHeight="false" outlineLevel="0" collapsed="false">
      <c r="A868" s="14" t="str">
        <f aca="false">IF(OR(B868="",C868="",D868="",E868=""),"",UPPER(B868)&amp;TEXT(C868,"00")&amp;"-"&amp;D868&amp;"-"&amp;TEXT(E868,"00"))</f>
        <v/>
      </c>
      <c r="B868" s="12"/>
      <c r="C868" s="12"/>
      <c r="D868" s="12"/>
      <c r="E868" s="12"/>
      <c r="F868" s="16" t="str">
        <f aca="false">IF(B868="","",IFERROR(INDEX(Zones!$B$2:$B$15,MATCH(B868,Zones!$A$2:$A$15,0)),"⚠ zone inconnue"))</f>
        <v/>
      </c>
      <c r="G868" s="12"/>
      <c r="H868" s="12"/>
      <c r="I868" s="12"/>
      <c r="J868" s="12"/>
    </row>
    <row r="869" customFormat="false" ht="15" hidden="false" customHeight="false" outlineLevel="0" collapsed="false">
      <c r="A869" s="14" t="str">
        <f aca="false">IF(OR(B869="",C869="",D869="",E869=""),"",UPPER(B869)&amp;TEXT(C869,"00")&amp;"-"&amp;D869&amp;"-"&amp;TEXT(E869,"00"))</f>
        <v/>
      </c>
      <c r="B869" s="12"/>
      <c r="C869" s="12"/>
      <c r="D869" s="12"/>
      <c r="E869" s="12"/>
      <c r="F869" s="16" t="str">
        <f aca="false">IF(B869="","",IFERROR(INDEX(Zones!$B$2:$B$15,MATCH(B869,Zones!$A$2:$A$15,0)),"⚠ zone inconnue"))</f>
        <v/>
      </c>
      <c r="G869" s="12"/>
      <c r="H869" s="12"/>
      <c r="I869" s="12"/>
      <c r="J869" s="12"/>
    </row>
    <row r="870" customFormat="false" ht="15" hidden="false" customHeight="false" outlineLevel="0" collapsed="false">
      <c r="A870" s="14" t="str">
        <f aca="false">IF(OR(B870="",C870="",D870="",E870=""),"",UPPER(B870)&amp;TEXT(C870,"00")&amp;"-"&amp;D870&amp;"-"&amp;TEXT(E870,"00"))</f>
        <v/>
      </c>
      <c r="B870" s="12"/>
      <c r="C870" s="12"/>
      <c r="D870" s="12"/>
      <c r="E870" s="12"/>
      <c r="F870" s="16" t="str">
        <f aca="false">IF(B870="","",IFERROR(INDEX(Zones!$B$2:$B$15,MATCH(B870,Zones!$A$2:$A$15,0)),"⚠ zone inconnue"))</f>
        <v/>
      </c>
      <c r="G870" s="12"/>
      <c r="H870" s="12"/>
      <c r="I870" s="12"/>
      <c r="J870" s="12"/>
    </row>
    <row r="871" customFormat="false" ht="15" hidden="false" customHeight="false" outlineLevel="0" collapsed="false">
      <c r="A871" s="14" t="str">
        <f aca="false">IF(OR(B871="",C871="",D871="",E871=""),"",UPPER(B871)&amp;TEXT(C871,"00")&amp;"-"&amp;D871&amp;"-"&amp;TEXT(E871,"00"))</f>
        <v/>
      </c>
      <c r="B871" s="12"/>
      <c r="C871" s="12"/>
      <c r="D871" s="12"/>
      <c r="E871" s="12"/>
      <c r="F871" s="16" t="str">
        <f aca="false">IF(B871="","",IFERROR(INDEX(Zones!$B$2:$B$15,MATCH(B871,Zones!$A$2:$A$15,0)),"⚠ zone inconnue"))</f>
        <v/>
      </c>
      <c r="G871" s="12"/>
      <c r="H871" s="12"/>
      <c r="I871" s="12"/>
      <c r="J871" s="12"/>
    </row>
    <row r="872" customFormat="false" ht="15" hidden="false" customHeight="false" outlineLevel="0" collapsed="false">
      <c r="A872" s="14" t="str">
        <f aca="false">IF(OR(B872="",C872="",D872="",E872=""),"",UPPER(B872)&amp;TEXT(C872,"00")&amp;"-"&amp;D872&amp;"-"&amp;TEXT(E872,"00"))</f>
        <v/>
      </c>
      <c r="B872" s="12"/>
      <c r="C872" s="12"/>
      <c r="D872" s="12"/>
      <c r="E872" s="12"/>
      <c r="F872" s="16" t="str">
        <f aca="false">IF(B872="","",IFERROR(INDEX(Zones!$B$2:$B$15,MATCH(B872,Zones!$A$2:$A$15,0)),"⚠ zone inconnue"))</f>
        <v/>
      </c>
      <c r="G872" s="12"/>
      <c r="H872" s="12"/>
      <c r="I872" s="12"/>
      <c r="J872" s="12"/>
    </row>
    <row r="873" customFormat="false" ht="15" hidden="false" customHeight="false" outlineLevel="0" collapsed="false">
      <c r="A873" s="14" t="str">
        <f aca="false">IF(OR(B873="",C873="",D873="",E873=""),"",UPPER(B873)&amp;TEXT(C873,"00")&amp;"-"&amp;D873&amp;"-"&amp;TEXT(E873,"00"))</f>
        <v/>
      </c>
      <c r="B873" s="12"/>
      <c r="C873" s="12"/>
      <c r="D873" s="12"/>
      <c r="E873" s="12"/>
      <c r="F873" s="16" t="str">
        <f aca="false">IF(B873="","",IFERROR(INDEX(Zones!$B$2:$B$15,MATCH(B873,Zones!$A$2:$A$15,0)),"⚠ zone inconnue"))</f>
        <v/>
      </c>
      <c r="G873" s="12"/>
      <c r="H873" s="12"/>
      <c r="I873" s="12"/>
      <c r="J873" s="12"/>
    </row>
    <row r="874" customFormat="false" ht="15" hidden="false" customHeight="false" outlineLevel="0" collapsed="false">
      <c r="A874" s="14" t="str">
        <f aca="false">IF(OR(B874="",C874="",D874="",E874=""),"",UPPER(B874)&amp;TEXT(C874,"00")&amp;"-"&amp;D874&amp;"-"&amp;TEXT(E874,"00"))</f>
        <v/>
      </c>
      <c r="B874" s="12"/>
      <c r="C874" s="12"/>
      <c r="D874" s="12"/>
      <c r="E874" s="12"/>
      <c r="F874" s="16" t="str">
        <f aca="false">IF(B874="","",IFERROR(INDEX(Zones!$B$2:$B$15,MATCH(B874,Zones!$A$2:$A$15,0)),"⚠ zone inconnue"))</f>
        <v/>
      </c>
      <c r="G874" s="12"/>
      <c r="H874" s="12"/>
      <c r="I874" s="12"/>
      <c r="J874" s="12"/>
    </row>
    <row r="875" customFormat="false" ht="15" hidden="false" customHeight="false" outlineLevel="0" collapsed="false">
      <c r="A875" s="14" t="str">
        <f aca="false">IF(OR(B875="",C875="",D875="",E875=""),"",UPPER(B875)&amp;TEXT(C875,"00")&amp;"-"&amp;D875&amp;"-"&amp;TEXT(E875,"00"))</f>
        <v/>
      </c>
      <c r="B875" s="12"/>
      <c r="C875" s="12"/>
      <c r="D875" s="12"/>
      <c r="E875" s="12"/>
      <c r="F875" s="16" t="str">
        <f aca="false">IF(B875="","",IFERROR(INDEX(Zones!$B$2:$B$15,MATCH(B875,Zones!$A$2:$A$15,0)),"⚠ zone inconnue"))</f>
        <v/>
      </c>
      <c r="G875" s="12"/>
      <c r="H875" s="12"/>
      <c r="I875" s="12"/>
      <c r="J875" s="12"/>
    </row>
    <row r="876" customFormat="false" ht="15" hidden="false" customHeight="false" outlineLevel="0" collapsed="false">
      <c r="A876" s="14" t="str">
        <f aca="false">IF(OR(B876="",C876="",D876="",E876=""),"",UPPER(B876)&amp;TEXT(C876,"00")&amp;"-"&amp;D876&amp;"-"&amp;TEXT(E876,"00"))</f>
        <v/>
      </c>
      <c r="B876" s="12"/>
      <c r="C876" s="12"/>
      <c r="D876" s="12"/>
      <c r="E876" s="12"/>
      <c r="F876" s="16" t="str">
        <f aca="false">IF(B876="","",IFERROR(INDEX(Zones!$B$2:$B$15,MATCH(B876,Zones!$A$2:$A$15,0)),"⚠ zone inconnue"))</f>
        <v/>
      </c>
      <c r="G876" s="12"/>
      <c r="H876" s="12"/>
      <c r="I876" s="12"/>
      <c r="J876" s="12"/>
    </row>
    <row r="877" customFormat="false" ht="15" hidden="false" customHeight="false" outlineLevel="0" collapsed="false">
      <c r="A877" s="14" t="str">
        <f aca="false">IF(OR(B877="",C877="",D877="",E877=""),"",UPPER(B877)&amp;TEXT(C877,"00")&amp;"-"&amp;D877&amp;"-"&amp;TEXT(E877,"00"))</f>
        <v/>
      </c>
      <c r="B877" s="12"/>
      <c r="C877" s="12"/>
      <c r="D877" s="12"/>
      <c r="E877" s="12"/>
      <c r="F877" s="16" t="str">
        <f aca="false">IF(B877="","",IFERROR(INDEX(Zones!$B$2:$B$15,MATCH(B877,Zones!$A$2:$A$15,0)),"⚠ zone inconnue"))</f>
        <v/>
      </c>
      <c r="G877" s="12"/>
      <c r="H877" s="12"/>
      <c r="I877" s="12"/>
      <c r="J877" s="12"/>
    </row>
    <row r="878" customFormat="false" ht="15" hidden="false" customHeight="false" outlineLevel="0" collapsed="false">
      <c r="A878" s="14" t="str">
        <f aca="false">IF(OR(B878="",C878="",D878="",E878=""),"",UPPER(B878)&amp;TEXT(C878,"00")&amp;"-"&amp;D878&amp;"-"&amp;TEXT(E878,"00"))</f>
        <v/>
      </c>
      <c r="B878" s="12"/>
      <c r="C878" s="12"/>
      <c r="D878" s="12"/>
      <c r="E878" s="12"/>
      <c r="F878" s="16" t="str">
        <f aca="false">IF(B878="","",IFERROR(INDEX(Zones!$B$2:$B$15,MATCH(B878,Zones!$A$2:$A$15,0)),"⚠ zone inconnue"))</f>
        <v/>
      </c>
      <c r="G878" s="12"/>
      <c r="H878" s="12"/>
      <c r="I878" s="12"/>
      <c r="J878" s="12"/>
    </row>
    <row r="879" customFormat="false" ht="15" hidden="false" customHeight="false" outlineLevel="0" collapsed="false">
      <c r="A879" s="14" t="str">
        <f aca="false">IF(OR(B879="",C879="",D879="",E879=""),"",UPPER(B879)&amp;TEXT(C879,"00")&amp;"-"&amp;D879&amp;"-"&amp;TEXT(E879,"00"))</f>
        <v/>
      </c>
      <c r="B879" s="12"/>
      <c r="C879" s="12"/>
      <c r="D879" s="12"/>
      <c r="E879" s="12"/>
      <c r="F879" s="16" t="str">
        <f aca="false">IF(B879="","",IFERROR(INDEX(Zones!$B$2:$B$15,MATCH(B879,Zones!$A$2:$A$15,0)),"⚠ zone inconnue"))</f>
        <v/>
      </c>
      <c r="G879" s="12"/>
      <c r="H879" s="12"/>
      <c r="I879" s="12"/>
      <c r="J879" s="12"/>
    </row>
    <row r="880" customFormat="false" ht="15" hidden="false" customHeight="false" outlineLevel="0" collapsed="false">
      <c r="A880" s="14" t="str">
        <f aca="false">IF(OR(B880="",C880="",D880="",E880=""),"",UPPER(B880)&amp;TEXT(C880,"00")&amp;"-"&amp;D880&amp;"-"&amp;TEXT(E880,"00"))</f>
        <v/>
      </c>
      <c r="B880" s="12"/>
      <c r="C880" s="12"/>
      <c r="D880" s="12"/>
      <c r="E880" s="12"/>
      <c r="F880" s="16" t="str">
        <f aca="false">IF(B880="","",IFERROR(INDEX(Zones!$B$2:$B$15,MATCH(B880,Zones!$A$2:$A$15,0)),"⚠ zone inconnue"))</f>
        <v/>
      </c>
      <c r="G880" s="12"/>
      <c r="H880" s="12"/>
      <c r="I880" s="12"/>
      <c r="J880" s="12"/>
    </row>
    <row r="881" customFormat="false" ht="15" hidden="false" customHeight="false" outlineLevel="0" collapsed="false">
      <c r="A881" s="14" t="str">
        <f aca="false">IF(OR(B881="",C881="",D881="",E881=""),"",UPPER(B881)&amp;TEXT(C881,"00")&amp;"-"&amp;D881&amp;"-"&amp;TEXT(E881,"00"))</f>
        <v/>
      </c>
      <c r="B881" s="12"/>
      <c r="C881" s="12"/>
      <c r="D881" s="12"/>
      <c r="E881" s="12"/>
      <c r="F881" s="16" t="str">
        <f aca="false">IF(B881="","",IFERROR(INDEX(Zones!$B$2:$B$15,MATCH(B881,Zones!$A$2:$A$15,0)),"⚠ zone inconnue"))</f>
        <v/>
      </c>
      <c r="G881" s="12"/>
      <c r="H881" s="12"/>
      <c r="I881" s="12"/>
      <c r="J881" s="12"/>
    </row>
    <row r="882" customFormat="false" ht="15" hidden="false" customHeight="false" outlineLevel="0" collapsed="false">
      <c r="A882" s="14" t="str">
        <f aca="false">IF(OR(B882="",C882="",D882="",E882=""),"",UPPER(B882)&amp;TEXT(C882,"00")&amp;"-"&amp;D882&amp;"-"&amp;TEXT(E882,"00"))</f>
        <v/>
      </c>
      <c r="B882" s="12"/>
      <c r="C882" s="12"/>
      <c r="D882" s="12"/>
      <c r="E882" s="12"/>
      <c r="F882" s="16" t="str">
        <f aca="false">IF(B882="","",IFERROR(INDEX(Zones!$B$2:$B$15,MATCH(B882,Zones!$A$2:$A$15,0)),"⚠ zone inconnue"))</f>
        <v/>
      </c>
      <c r="G882" s="12"/>
      <c r="H882" s="12"/>
      <c r="I882" s="12"/>
      <c r="J882" s="12"/>
    </row>
    <row r="883" customFormat="false" ht="15" hidden="false" customHeight="false" outlineLevel="0" collapsed="false">
      <c r="A883" s="14" t="str">
        <f aca="false">IF(OR(B883="",C883="",D883="",E883=""),"",UPPER(B883)&amp;TEXT(C883,"00")&amp;"-"&amp;D883&amp;"-"&amp;TEXT(E883,"00"))</f>
        <v/>
      </c>
      <c r="B883" s="12"/>
      <c r="C883" s="12"/>
      <c r="D883" s="12"/>
      <c r="E883" s="12"/>
      <c r="F883" s="16" t="str">
        <f aca="false">IF(B883="","",IFERROR(INDEX(Zones!$B$2:$B$15,MATCH(B883,Zones!$A$2:$A$15,0)),"⚠ zone inconnue"))</f>
        <v/>
      </c>
      <c r="G883" s="12"/>
      <c r="H883" s="12"/>
      <c r="I883" s="12"/>
      <c r="J883" s="12"/>
    </row>
    <row r="884" customFormat="false" ht="15" hidden="false" customHeight="false" outlineLevel="0" collapsed="false">
      <c r="A884" s="14" t="str">
        <f aca="false">IF(OR(B884="",C884="",D884="",E884=""),"",UPPER(B884)&amp;TEXT(C884,"00")&amp;"-"&amp;D884&amp;"-"&amp;TEXT(E884,"00"))</f>
        <v/>
      </c>
      <c r="B884" s="12"/>
      <c r="C884" s="12"/>
      <c r="D884" s="12"/>
      <c r="E884" s="12"/>
      <c r="F884" s="16" t="str">
        <f aca="false">IF(B884="","",IFERROR(INDEX(Zones!$B$2:$B$15,MATCH(B884,Zones!$A$2:$A$15,0)),"⚠ zone inconnue"))</f>
        <v/>
      </c>
      <c r="G884" s="12"/>
      <c r="H884" s="12"/>
      <c r="I884" s="12"/>
      <c r="J884" s="12"/>
    </row>
    <row r="885" customFormat="false" ht="15" hidden="false" customHeight="false" outlineLevel="0" collapsed="false">
      <c r="A885" s="14" t="str">
        <f aca="false">IF(OR(B885="",C885="",D885="",E885=""),"",UPPER(B885)&amp;TEXT(C885,"00")&amp;"-"&amp;D885&amp;"-"&amp;TEXT(E885,"00"))</f>
        <v/>
      </c>
      <c r="B885" s="12"/>
      <c r="C885" s="12"/>
      <c r="D885" s="12"/>
      <c r="E885" s="12"/>
      <c r="F885" s="16" t="str">
        <f aca="false">IF(B885="","",IFERROR(INDEX(Zones!$B$2:$B$15,MATCH(B885,Zones!$A$2:$A$15,0)),"⚠ zone inconnue"))</f>
        <v/>
      </c>
      <c r="G885" s="12"/>
      <c r="H885" s="12"/>
      <c r="I885" s="12"/>
      <c r="J885" s="12"/>
    </row>
    <row r="886" customFormat="false" ht="15" hidden="false" customHeight="false" outlineLevel="0" collapsed="false">
      <c r="A886" s="14" t="str">
        <f aca="false">IF(OR(B886="",C886="",D886="",E886=""),"",UPPER(B886)&amp;TEXT(C886,"00")&amp;"-"&amp;D886&amp;"-"&amp;TEXT(E886,"00"))</f>
        <v/>
      </c>
      <c r="B886" s="12"/>
      <c r="C886" s="12"/>
      <c r="D886" s="12"/>
      <c r="E886" s="12"/>
      <c r="F886" s="16" t="str">
        <f aca="false">IF(B886="","",IFERROR(INDEX(Zones!$B$2:$B$15,MATCH(B886,Zones!$A$2:$A$15,0)),"⚠ zone inconnue"))</f>
        <v/>
      </c>
      <c r="G886" s="12"/>
      <c r="H886" s="12"/>
      <c r="I886" s="12"/>
      <c r="J886" s="12"/>
    </row>
    <row r="887" customFormat="false" ht="15" hidden="false" customHeight="false" outlineLevel="0" collapsed="false">
      <c r="A887" s="14" t="str">
        <f aca="false">IF(OR(B887="",C887="",D887="",E887=""),"",UPPER(B887)&amp;TEXT(C887,"00")&amp;"-"&amp;D887&amp;"-"&amp;TEXT(E887,"00"))</f>
        <v/>
      </c>
      <c r="B887" s="12"/>
      <c r="C887" s="12"/>
      <c r="D887" s="12"/>
      <c r="E887" s="12"/>
      <c r="F887" s="16" t="str">
        <f aca="false">IF(B887="","",IFERROR(INDEX(Zones!$B$2:$B$15,MATCH(B887,Zones!$A$2:$A$15,0)),"⚠ zone inconnue"))</f>
        <v/>
      </c>
      <c r="G887" s="12"/>
      <c r="H887" s="12"/>
      <c r="I887" s="12"/>
      <c r="J887" s="12"/>
    </row>
    <row r="888" customFormat="false" ht="15" hidden="false" customHeight="false" outlineLevel="0" collapsed="false">
      <c r="A888" s="14" t="str">
        <f aca="false">IF(OR(B888="",C888="",D888="",E888=""),"",UPPER(B888)&amp;TEXT(C888,"00")&amp;"-"&amp;D888&amp;"-"&amp;TEXT(E888,"00"))</f>
        <v/>
      </c>
      <c r="B888" s="12"/>
      <c r="C888" s="12"/>
      <c r="D888" s="12"/>
      <c r="E888" s="12"/>
      <c r="F888" s="16" t="str">
        <f aca="false">IF(B888="","",IFERROR(INDEX(Zones!$B$2:$B$15,MATCH(B888,Zones!$A$2:$A$15,0)),"⚠ zone inconnue"))</f>
        <v/>
      </c>
      <c r="G888" s="12"/>
      <c r="H888" s="12"/>
      <c r="I888" s="12"/>
      <c r="J888" s="12"/>
    </row>
    <row r="889" customFormat="false" ht="15" hidden="false" customHeight="false" outlineLevel="0" collapsed="false">
      <c r="A889" s="14" t="str">
        <f aca="false">IF(OR(B889="",C889="",D889="",E889=""),"",UPPER(B889)&amp;TEXT(C889,"00")&amp;"-"&amp;D889&amp;"-"&amp;TEXT(E889,"00"))</f>
        <v/>
      </c>
      <c r="B889" s="12"/>
      <c r="C889" s="12"/>
      <c r="D889" s="12"/>
      <c r="E889" s="12"/>
      <c r="F889" s="16" t="str">
        <f aca="false">IF(B889="","",IFERROR(INDEX(Zones!$B$2:$B$15,MATCH(B889,Zones!$A$2:$A$15,0)),"⚠ zone inconnue"))</f>
        <v/>
      </c>
      <c r="G889" s="12"/>
      <c r="H889" s="12"/>
      <c r="I889" s="12"/>
      <c r="J889" s="12"/>
    </row>
    <row r="890" customFormat="false" ht="15" hidden="false" customHeight="false" outlineLevel="0" collapsed="false">
      <c r="A890" s="14" t="str">
        <f aca="false">IF(OR(B890="",C890="",D890="",E890=""),"",UPPER(B890)&amp;TEXT(C890,"00")&amp;"-"&amp;D890&amp;"-"&amp;TEXT(E890,"00"))</f>
        <v/>
      </c>
      <c r="B890" s="12"/>
      <c r="C890" s="12"/>
      <c r="D890" s="12"/>
      <c r="E890" s="12"/>
      <c r="F890" s="16" t="str">
        <f aca="false">IF(B890="","",IFERROR(INDEX(Zones!$B$2:$B$15,MATCH(B890,Zones!$A$2:$A$15,0)),"⚠ zone inconnue"))</f>
        <v/>
      </c>
      <c r="G890" s="12"/>
      <c r="H890" s="12"/>
      <c r="I890" s="12"/>
      <c r="J890" s="12"/>
    </row>
    <row r="891" customFormat="false" ht="15" hidden="false" customHeight="false" outlineLevel="0" collapsed="false">
      <c r="A891" s="14" t="str">
        <f aca="false">IF(OR(B891="",C891="",D891="",E891=""),"",UPPER(B891)&amp;TEXT(C891,"00")&amp;"-"&amp;D891&amp;"-"&amp;TEXT(E891,"00"))</f>
        <v/>
      </c>
      <c r="B891" s="12"/>
      <c r="C891" s="12"/>
      <c r="D891" s="12"/>
      <c r="E891" s="12"/>
      <c r="F891" s="16" t="str">
        <f aca="false">IF(B891="","",IFERROR(INDEX(Zones!$B$2:$B$15,MATCH(B891,Zones!$A$2:$A$15,0)),"⚠ zone inconnue"))</f>
        <v/>
      </c>
      <c r="G891" s="12"/>
      <c r="H891" s="12"/>
      <c r="I891" s="12"/>
      <c r="J891" s="12"/>
    </row>
    <row r="892" customFormat="false" ht="15" hidden="false" customHeight="false" outlineLevel="0" collapsed="false">
      <c r="A892" s="14" t="str">
        <f aca="false">IF(OR(B892="",C892="",D892="",E892=""),"",UPPER(B892)&amp;TEXT(C892,"00")&amp;"-"&amp;D892&amp;"-"&amp;TEXT(E892,"00"))</f>
        <v/>
      </c>
      <c r="B892" s="12"/>
      <c r="C892" s="12"/>
      <c r="D892" s="12"/>
      <c r="E892" s="12"/>
      <c r="F892" s="16" t="str">
        <f aca="false">IF(B892="","",IFERROR(INDEX(Zones!$B$2:$B$15,MATCH(B892,Zones!$A$2:$A$15,0)),"⚠ zone inconnue"))</f>
        <v/>
      </c>
      <c r="G892" s="12"/>
      <c r="H892" s="12"/>
      <c r="I892" s="12"/>
      <c r="J892" s="12"/>
    </row>
    <row r="893" customFormat="false" ht="15" hidden="false" customHeight="false" outlineLevel="0" collapsed="false">
      <c r="A893" s="14" t="str">
        <f aca="false">IF(OR(B893="",C893="",D893="",E893=""),"",UPPER(B893)&amp;TEXT(C893,"00")&amp;"-"&amp;D893&amp;"-"&amp;TEXT(E893,"00"))</f>
        <v/>
      </c>
      <c r="B893" s="12"/>
      <c r="C893" s="12"/>
      <c r="D893" s="12"/>
      <c r="E893" s="12"/>
      <c r="F893" s="16" t="str">
        <f aca="false">IF(B893="","",IFERROR(INDEX(Zones!$B$2:$B$15,MATCH(B893,Zones!$A$2:$A$15,0)),"⚠ zone inconnue"))</f>
        <v/>
      </c>
      <c r="G893" s="12"/>
      <c r="H893" s="12"/>
      <c r="I893" s="12"/>
      <c r="J893" s="12"/>
    </row>
    <row r="894" customFormat="false" ht="15" hidden="false" customHeight="false" outlineLevel="0" collapsed="false">
      <c r="A894" s="14" t="str">
        <f aca="false">IF(OR(B894="",C894="",D894="",E894=""),"",UPPER(B894)&amp;TEXT(C894,"00")&amp;"-"&amp;D894&amp;"-"&amp;TEXT(E894,"00"))</f>
        <v/>
      </c>
      <c r="B894" s="12"/>
      <c r="C894" s="12"/>
      <c r="D894" s="12"/>
      <c r="E894" s="12"/>
      <c r="F894" s="16" t="str">
        <f aca="false">IF(B894="","",IFERROR(INDEX(Zones!$B$2:$B$15,MATCH(B894,Zones!$A$2:$A$15,0)),"⚠ zone inconnue"))</f>
        <v/>
      </c>
      <c r="G894" s="12"/>
      <c r="H894" s="12"/>
      <c r="I894" s="12"/>
      <c r="J894" s="12"/>
    </row>
    <row r="895" customFormat="false" ht="15" hidden="false" customHeight="false" outlineLevel="0" collapsed="false">
      <c r="A895" s="14" t="str">
        <f aca="false">IF(OR(B895="",C895="",D895="",E895=""),"",UPPER(B895)&amp;TEXT(C895,"00")&amp;"-"&amp;D895&amp;"-"&amp;TEXT(E895,"00"))</f>
        <v/>
      </c>
      <c r="B895" s="12"/>
      <c r="C895" s="12"/>
      <c r="D895" s="12"/>
      <c r="E895" s="12"/>
      <c r="F895" s="16" t="str">
        <f aca="false">IF(B895="","",IFERROR(INDEX(Zones!$B$2:$B$15,MATCH(B895,Zones!$A$2:$A$15,0)),"⚠ zone inconnue"))</f>
        <v/>
      </c>
      <c r="G895" s="12"/>
      <c r="H895" s="12"/>
      <c r="I895" s="12"/>
      <c r="J895" s="12"/>
    </row>
    <row r="896" customFormat="false" ht="15" hidden="false" customHeight="false" outlineLevel="0" collapsed="false">
      <c r="A896" s="14" t="str">
        <f aca="false">IF(OR(B896="",C896="",D896="",E896=""),"",UPPER(B896)&amp;TEXT(C896,"00")&amp;"-"&amp;D896&amp;"-"&amp;TEXT(E896,"00"))</f>
        <v/>
      </c>
      <c r="B896" s="12"/>
      <c r="C896" s="12"/>
      <c r="D896" s="12"/>
      <c r="E896" s="12"/>
      <c r="F896" s="16" t="str">
        <f aca="false">IF(B896="","",IFERROR(INDEX(Zones!$B$2:$B$15,MATCH(B896,Zones!$A$2:$A$15,0)),"⚠ zone inconnue"))</f>
        <v/>
      </c>
      <c r="G896" s="12"/>
      <c r="H896" s="12"/>
      <c r="I896" s="12"/>
      <c r="J896" s="12"/>
    </row>
    <row r="897" customFormat="false" ht="15" hidden="false" customHeight="false" outlineLevel="0" collapsed="false">
      <c r="A897" s="14" t="str">
        <f aca="false">IF(OR(B897="",C897="",D897="",E897=""),"",UPPER(B897)&amp;TEXT(C897,"00")&amp;"-"&amp;D897&amp;"-"&amp;TEXT(E897,"00"))</f>
        <v/>
      </c>
      <c r="B897" s="12"/>
      <c r="C897" s="12"/>
      <c r="D897" s="12"/>
      <c r="E897" s="12"/>
      <c r="F897" s="16" t="str">
        <f aca="false">IF(B897="","",IFERROR(INDEX(Zones!$B$2:$B$15,MATCH(B897,Zones!$A$2:$A$15,0)),"⚠ zone inconnue"))</f>
        <v/>
      </c>
      <c r="G897" s="12"/>
      <c r="H897" s="12"/>
      <c r="I897" s="12"/>
      <c r="J897" s="12"/>
    </row>
    <row r="898" customFormat="false" ht="15" hidden="false" customHeight="false" outlineLevel="0" collapsed="false">
      <c r="A898" s="14" t="str">
        <f aca="false">IF(OR(B898="",C898="",D898="",E898=""),"",UPPER(B898)&amp;TEXT(C898,"00")&amp;"-"&amp;D898&amp;"-"&amp;TEXT(E898,"00"))</f>
        <v/>
      </c>
      <c r="B898" s="12"/>
      <c r="C898" s="12"/>
      <c r="D898" s="12"/>
      <c r="E898" s="12"/>
      <c r="F898" s="16" t="str">
        <f aca="false">IF(B898="","",IFERROR(INDEX(Zones!$B$2:$B$15,MATCH(B898,Zones!$A$2:$A$15,0)),"⚠ zone inconnue"))</f>
        <v/>
      </c>
      <c r="G898" s="12"/>
      <c r="H898" s="12"/>
      <c r="I898" s="12"/>
      <c r="J898" s="12"/>
    </row>
    <row r="899" customFormat="false" ht="15" hidden="false" customHeight="false" outlineLevel="0" collapsed="false">
      <c r="A899" s="14" t="str">
        <f aca="false">IF(OR(B899="",C899="",D899="",E899=""),"",UPPER(B899)&amp;TEXT(C899,"00")&amp;"-"&amp;D899&amp;"-"&amp;TEXT(E899,"00"))</f>
        <v/>
      </c>
      <c r="B899" s="12"/>
      <c r="C899" s="12"/>
      <c r="D899" s="12"/>
      <c r="E899" s="12"/>
      <c r="F899" s="16" t="str">
        <f aca="false">IF(B899="","",IFERROR(INDEX(Zones!$B$2:$B$15,MATCH(B899,Zones!$A$2:$A$15,0)),"⚠ zone inconnue"))</f>
        <v/>
      </c>
      <c r="G899" s="12"/>
      <c r="H899" s="12"/>
      <c r="I899" s="12"/>
      <c r="J899" s="12"/>
    </row>
    <row r="900" customFormat="false" ht="15" hidden="false" customHeight="false" outlineLevel="0" collapsed="false">
      <c r="A900" s="14" t="str">
        <f aca="false">IF(OR(B900="",C900="",D900="",E900=""),"",UPPER(B900)&amp;TEXT(C900,"00")&amp;"-"&amp;D900&amp;"-"&amp;TEXT(E900,"00"))</f>
        <v/>
      </c>
      <c r="B900" s="12"/>
      <c r="C900" s="12"/>
      <c r="D900" s="12"/>
      <c r="E900" s="12"/>
      <c r="F900" s="16" t="str">
        <f aca="false">IF(B900="","",IFERROR(INDEX(Zones!$B$2:$B$15,MATCH(B900,Zones!$A$2:$A$15,0)),"⚠ zone inconnue"))</f>
        <v/>
      </c>
      <c r="G900" s="12"/>
      <c r="H900" s="12"/>
      <c r="I900" s="12"/>
      <c r="J900" s="12"/>
    </row>
    <row r="901" customFormat="false" ht="15" hidden="false" customHeight="false" outlineLevel="0" collapsed="false">
      <c r="A901" s="14" t="str">
        <f aca="false">IF(OR(B901="",C901="",D901="",E901=""),"",UPPER(B901)&amp;TEXT(C901,"00")&amp;"-"&amp;D901&amp;"-"&amp;TEXT(E901,"00"))</f>
        <v/>
      </c>
      <c r="B901" s="12"/>
      <c r="C901" s="12"/>
      <c r="D901" s="12"/>
      <c r="E901" s="12"/>
      <c r="F901" s="16" t="str">
        <f aca="false">IF(B901="","",IFERROR(INDEX(Zones!$B$2:$B$15,MATCH(B901,Zones!$A$2:$A$15,0)),"⚠ zone inconnue"))</f>
        <v/>
      </c>
      <c r="G901" s="12"/>
      <c r="H901" s="12"/>
      <c r="I901" s="12"/>
      <c r="J901" s="12"/>
    </row>
    <row r="902" customFormat="false" ht="15" hidden="false" customHeight="false" outlineLevel="0" collapsed="false">
      <c r="A902" s="14" t="str">
        <f aca="false">IF(OR(B902="",C902="",D902="",E902=""),"",UPPER(B902)&amp;TEXT(C902,"00")&amp;"-"&amp;D902&amp;"-"&amp;TEXT(E902,"00"))</f>
        <v/>
      </c>
      <c r="B902" s="12"/>
      <c r="C902" s="12"/>
      <c r="D902" s="12"/>
      <c r="E902" s="12"/>
      <c r="F902" s="16" t="str">
        <f aca="false">IF(B902="","",IFERROR(INDEX(Zones!$B$2:$B$15,MATCH(B902,Zones!$A$2:$A$15,0)),"⚠ zone inconnue"))</f>
        <v/>
      </c>
      <c r="G902" s="12"/>
      <c r="H902" s="12"/>
      <c r="I902" s="12"/>
      <c r="J902" s="12"/>
    </row>
    <row r="903" customFormat="false" ht="15" hidden="false" customHeight="false" outlineLevel="0" collapsed="false">
      <c r="A903" s="14" t="str">
        <f aca="false">IF(OR(B903="",C903="",D903="",E903=""),"",UPPER(B903)&amp;TEXT(C903,"00")&amp;"-"&amp;D903&amp;"-"&amp;TEXT(E903,"00"))</f>
        <v/>
      </c>
      <c r="B903" s="12"/>
      <c r="C903" s="12"/>
      <c r="D903" s="12"/>
      <c r="E903" s="12"/>
      <c r="F903" s="16" t="str">
        <f aca="false">IF(B903="","",IFERROR(INDEX(Zones!$B$2:$B$15,MATCH(B903,Zones!$A$2:$A$15,0)),"⚠ zone inconnue"))</f>
        <v/>
      </c>
      <c r="G903" s="12"/>
      <c r="H903" s="12"/>
      <c r="I903" s="12"/>
      <c r="J903" s="12"/>
    </row>
    <row r="904" customFormat="false" ht="15" hidden="false" customHeight="false" outlineLevel="0" collapsed="false">
      <c r="A904" s="14" t="str">
        <f aca="false">IF(OR(B904="",C904="",D904="",E904=""),"",UPPER(B904)&amp;TEXT(C904,"00")&amp;"-"&amp;D904&amp;"-"&amp;TEXT(E904,"00"))</f>
        <v/>
      </c>
      <c r="B904" s="12"/>
      <c r="C904" s="12"/>
      <c r="D904" s="12"/>
      <c r="E904" s="12"/>
      <c r="F904" s="16" t="str">
        <f aca="false">IF(B904="","",IFERROR(INDEX(Zones!$B$2:$B$15,MATCH(B904,Zones!$A$2:$A$15,0)),"⚠ zone inconnue"))</f>
        <v/>
      </c>
      <c r="G904" s="12"/>
      <c r="H904" s="12"/>
      <c r="I904" s="12"/>
      <c r="J904" s="12"/>
    </row>
    <row r="905" customFormat="false" ht="15" hidden="false" customHeight="false" outlineLevel="0" collapsed="false">
      <c r="A905" s="14" t="str">
        <f aca="false">IF(OR(B905="",C905="",D905="",E905=""),"",UPPER(B905)&amp;TEXT(C905,"00")&amp;"-"&amp;D905&amp;"-"&amp;TEXT(E905,"00"))</f>
        <v/>
      </c>
      <c r="B905" s="12"/>
      <c r="C905" s="12"/>
      <c r="D905" s="12"/>
      <c r="E905" s="12"/>
      <c r="F905" s="16" t="str">
        <f aca="false">IF(B905="","",IFERROR(INDEX(Zones!$B$2:$B$15,MATCH(B905,Zones!$A$2:$A$15,0)),"⚠ zone inconnue"))</f>
        <v/>
      </c>
      <c r="G905" s="12"/>
      <c r="H905" s="12"/>
      <c r="I905" s="12"/>
      <c r="J905" s="12"/>
    </row>
    <row r="906" customFormat="false" ht="15" hidden="false" customHeight="false" outlineLevel="0" collapsed="false">
      <c r="A906" s="14" t="str">
        <f aca="false">IF(OR(B906="",C906="",D906="",E906=""),"",UPPER(B906)&amp;TEXT(C906,"00")&amp;"-"&amp;D906&amp;"-"&amp;TEXT(E906,"00"))</f>
        <v/>
      </c>
      <c r="B906" s="12"/>
      <c r="C906" s="12"/>
      <c r="D906" s="12"/>
      <c r="E906" s="12"/>
      <c r="F906" s="16" t="str">
        <f aca="false">IF(B906="","",IFERROR(INDEX(Zones!$B$2:$B$15,MATCH(B906,Zones!$A$2:$A$15,0)),"⚠ zone inconnue"))</f>
        <v/>
      </c>
      <c r="G906" s="12"/>
      <c r="H906" s="12"/>
      <c r="I906" s="12"/>
      <c r="J906" s="12"/>
    </row>
    <row r="907" customFormat="false" ht="15" hidden="false" customHeight="false" outlineLevel="0" collapsed="false">
      <c r="A907" s="14" t="str">
        <f aca="false">IF(OR(B907="",C907="",D907="",E907=""),"",UPPER(B907)&amp;TEXT(C907,"00")&amp;"-"&amp;D907&amp;"-"&amp;TEXT(E907,"00"))</f>
        <v/>
      </c>
      <c r="B907" s="12"/>
      <c r="C907" s="12"/>
      <c r="D907" s="12"/>
      <c r="E907" s="12"/>
      <c r="F907" s="16" t="str">
        <f aca="false">IF(B907="","",IFERROR(INDEX(Zones!$B$2:$B$15,MATCH(B907,Zones!$A$2:$A$15,0)),"⚠ zone inconnue"))</f>
        <v/>
      </c>
      <c r="G907" s="12"/>
      <c r="H907" s="12"/>
      <c r="I907" s="12"/>
      <c r="J907" s="12"/>
    </row>
    <row r="908" customFormat="false" ht="15" hidden="false" customHeight="false" outlineLevel="0" collapsed="false">
      <c r="A908" s="14" t="str">
        <f aca="false">IF(OR(B908="",C908="",D908="",E908=""),"",UPPER(B908)&amp;TEXT(C908,"00")&amp;"-"&amp;D908&amp;"-"&amp;TEXT(E908,"00"))</f>
        <v/>
      </c>
      <c r="B908" s="12"/>
      <c r="C908" s="12"/>
      <c r="D908" s="12"/>
      <c r="E908" s="12"/>
      <c r="F908" s="16" t="str">
        <f aca="false">IF(B908="","",IFERROR(INDEX(Zones!$B$2:$B$15,MATCH(B908,Zones!$A$2:$A$15,0)),"⚠ zone inconnue"))</f>
        <v/>
      </c>
      <c r="G908" s="12"/>
      <c r="H908" s="12"/>
      <c r="I908" s="12"/>
      <c r="J908" s="12"/>
    </row>
    <row r="909" customFormat="false" ht="15" hidden="false" customHeight="false" outlineLevel="0" collapsed="false">
      <c r="A909" s="14" t="str">
        <f aca="false">IF(OR(B909="",C909="",D909="",E909=""),"",UPPER(B909)&amp;TEXT(C909,"00")&amp;"-"&amp;D909&amp;"-"&amp;TEXT(E909,"00"))</f>
        <v/>
      </c>
      <c r="B909" s="12"/>
      <c r="C909" s="12"/>
      <c r="D909" s="12"/>
      <c r="E909" s="12"/>
      <c r="F909" s="16" t="str">
        <f aca="false">IF(B909="","",IFERROR(INDEX(Zones!$B$2:$B$15,MATCH(B909,Zones!$A$2:$A$15,0)),"⚠ zone inconnue"))</f>
        <v/>
      </c>
      <c r="G909" s="12"/>
      <c r="H909" s="12"/>
      <c r="I909" s="12"/>
      <c r="J909" s="12"/>
    </row>
    <row r="910" customFormat="false" ht="15" hidden="false" customHeight="false" outlineLevel="0" collapsed="false">
      <c r="A910" s="14" t="str">
        <f aca="false">IF(OR(B910="",C910="",D910="",E910=""),"",UPPER(B910)&amp;TEXT(C910,"00")&amp;"-"&amp;D910&amp;"-"&amp;TEXT(E910,"00"))</f>
        <v/>
      </c>
      <c r="B910" s="12"/>
      <c r="C910" s="12"/>
      <c r="D910" s="12"/>
      <c r="E910" s="12"/>
      <c r="F910" s="16" t="str">
        <f aca="false">IF(B910="","",IFERROR(INDEX(Zones!$B$2:$B$15,MATCH(B910,Zones!$A$2:$A$15,0)),"⚠ zone inconnue"))</f>
        <v/>
      </c>
      <c r="G910" s="12"/>
      <c r="H910" s="12"/>
      <c r="I910" s="12"/>
      <c r="J910" s="12"/>
    </row>
    <row r="911" customFormat="false" ht="15" hidden="false" customHeight="false" outlineLevel="0" collapsed="false">
      <c r="A911" s="14" t="str">
        <f aca="false">IF(OR(B911="",C911="",D911="",E911=""),"",UPPER(B911)&amp;TEXT(C911,"00")&amp;"-"&amp;D911&amp;"-"&amp;TEXT(E911,"00"))</f>
        <v/>
      </c>
      <c r="B911" s="12"/>
      <c r="C911" s="12"/>
      <c r="D911" s="12"/>
      <c r="E911" s="12"/>
      <c r="F911" s="16" t="str">
        <f aca="false">IF(B911="","",IFERROR(INDEX(Zones!$B$2:$B$15,MATCH(B911,Zones!$A$2:$A$15,0)),"⚠ zone inconnue"))</f>
        <v/>
      </c>
      <c r="G911" s="12"/>
      <c r="H911" s="12"/>
      <c r="I911" s="12"/>
      <c r="J911" s="12"/>
    </row>
    <row r="912" customFormat="false" ht="15" hidden="false" customHeight="false" outlineLevel="0" collapsed="false">
      <c r="A912" s="14" t="str">
        <f aca="false">IF(OR(B912="",C912="",D912="",E912=""),"",UPPER(B912)&amp;TEXT(C912,"00")&amp;"-"&amp;D912&amp;"-"&amp;TEXT(E912,"00"))</f>
        <v/>
      </c>
      <c r="B912" s="12"/>
      <c r="C912" s="12"/>
      <c r="D912" s="12"/>
      <c r="E912" s="12"/>
      <c r="F912" s="16" t="str">
        <f aca="false">IF(B912="","",IFERROR(INDEX(Zones!$B$2:$B$15,MATCH(B912,Zones!$A$2:$A$15,0)),"⚠ zone inconnue"))</f>
        <v/>
      </c>
      <c r="G912" s="12"/>
      <c r="H912" s="12"/>
      <c r="I912" s="12"/>
      <c r="J912" s="12"/>
    </row>
    <row r="913" customFormat="false" ht="15" hidden="false" customHeight="false" outlineLevel="0" collapsed="false">
      <c r="A913" s="14" t="str">
        <f aca="false">IF(OR(B913="",C913="",D913="",E913=""),"",UPPER(B913)&amp;TEXT(C913,"00")&amp;"-"&amp;D913&amp;"-"&amp;TEXT(E913,"00"))</f>
        <v/>
      </c>
      <c r="B913" s="12"/>
      <c r="C913" s="12"/>
      <c r="D913" s="12"/>
      <c r="E913" s="12"/>
      <c r="F913" s="16" t="str">
        <f aca="false">IF(B913="","",IFERROR(INDEX(Zones!$B$2:$B$15,MATCH(B913,Zones!$A$2:$A$15,0)),"⚠ zone inconnue"))</f>
        <v/>
      </c>
      <c r="G913" s="12"/>
      <c r="H913" s="12"/>
      <c r="I913" s="12"/>
      <c r="J913" s="12"/>
    </row>
    <row r="914" customFormat="false" ht="15" hidden="false" customHeight="false" outlineLevel="0" collapsed="false">
      <c r="A914" s="14" t="str">
        <f aca="false">IF(OR(B914="",C914="",D914="",E914=""),"",UPPER(B914)&amp;TEXT(C914,"00")&amp;"-"&amp;D914&amp;"-"&amp;TEXT(E914,"00"))</f>
        <v/>
      </c>
      <c r="B914" s="12"/>
      <c r="C914" s="12"/>
      <c r="D914" s="12"/>
      <c r="E914" s="12"/>
      <c r="F914" s="16" t="str">
        <f aca="false">IF(B914="","",IFERROR(INDEX(Zones!$B$2:$B$15,MATCH(B914,Zones!$A$2:$A$15,0)),"⚠ zone inconnue"))</f>
        <v/>
      </c>
      <c r="G914" s="12"/>
      <c r="H914" s="12"/>
      <c r="I914" s="12"/>
      <c r="J914" s="12"/>
    </row>
    <row r="915" customFormat="false" ht="15" hidden="false" customHeight="false" outlineLevel="0" collapsed="false">
      <c r="A915" s="14" t="str">
        <f aca="false">IF(OR(B915="",C915="",D915="",E915=""),"",UPPER(B915)&amp;TEXT(C915,"00")&amp;"-"&amp;D915&amp;"-"&amp;TEXT(E915,"00"))</f>
        <v/>
      </c>
      <c r="B915" s="12"/>
      <c r="C915" s="12"/>
      <c r="D915" s="12"/>
      <c r="E915" s="12"/>
      <c r="F915" s="16" t="str">
        <f aca="false">IF(B915="","",IFERROR(INDEX(Zones!$B$2:$B$15,MATCH(B915,Zones!$A$2:$A$15,0)),"⚠ zone inconnue"))</f>
        <v/>
      </c>
      <c r="G915" s="12"/>
      <c r="H915" s="12"/>
      <c r="I915" s="12"/>
      <c r="J915" s="12"/>
    </row>
    <row r="916" customFormat="false" ht="15" hidden="false" customHeight="false" outlineLevel="0" collapsed="false">
      <c r="A916" s="14" t="str">
        <f aca="false">IF(OR(B916="",C916="",D916="",E916=""),"",UPPER(B916)&amp;TEXT(C916,"00")&amp;"-"&amp;D916&amp;"-"&amp;TEXT(E916,"00"))</f>
        <v/>
      </c>
      <c r="B916" s="12"/>
      <c r="C916" s="12"/>
      <c r="D916" s="12"/>
      <c r="E916" s="12"/>
      <c r="F916" s="16" t="str">
        <f aca="false">IF(B916="","",IFERROR(INDEX(Zones!$B$2:$B$15,MATCH(B916,Zones!$A$2:$A$15,0)),"⚠ zone inconnue"))</f>
        <v/>
      </c>
      <c r="G916" s="12"/>
      <c r="H916" s="12"/>
      <c r="I916" s="12"/>
      <c r="J916" s="12"/>
    </row>
    <row r="917" customFormat="false" ht="15" hidden="false" customHeight="false" outlineLevel="0" collapsed="false">
      <c r="A917" s="14" t="str">
        <f aca="false">IF(OR(B917="",C917="",D917="",E917=""),"",UPPER(B917)&amp;TEXT(C917,"00")&amp;"-"&amp;D917&amp;"-"&amp;TEXT(E917,"00"))</f>
        <v/>
      </c>
      <c r="B917" s="12"/>
      <c r="C917" s="12"/>
      <c r="D917" s="12"/>
      <c r="E917" s="12"/>
      <c r="F917" s="16" t="str">
        <f aca="false">IF(B917="","",IFERROR(INDEX(Zones!$B$2:$B$15,MATCH(B917,Zones!$A$2:$A$15,0)),"⚠ zone inconnue"))</f>
        <v/>
      </c>
      <c r="G917" s="12"/>
      <c r="H917" s="12"/>
      <c r="I917" s="12"/>
      <c r="J917" s="12"/>
    </row>
    <row r="918" customFormat="false" ht="15" hidden="false" customHeight="false" outlineLevel="0" collapsed="false">
      <c r="A918" s="14" t="str">
        <f aca="false">IF(OR(B918="",C918="",D918="",E918=""),"",UPPER(B918)&amp;TEXT(C918,"00")&amp;"-"&amp;D918&amp;"-"&amp;TEXT(E918,"00"))</f>
        <v/>
      </c>
      <c r="B918" s="12"/>
      <c r="C918" s="12"/>
      <c r="D918" s="12"/>
      <c r="E918" s="12"/>
      <c r="F918" s="16" t="str">
        <f aca="false">IF(B918="","",IFERROR(INDEX(Zones!$B$2:$B$15,MATCH(B918,Zones!$A$2:$A$15,0)),"⚠ zone inconnue"))</f>
        <v/>
      </c>
      <c r="G918" s="12"/>
      <c r="H918" s="12"/>
      <c r="I918" s="12"/>
      <c r="J918" s="12"/>
    </row>
    <row r="919" customFormat="false" ht="15" hidden="false" customHeight="false" outlineLevel="0" collapsed="false">
      <c r="A919" s="14" t="str">
        <f aca="false">IF(OR(B919="",C919="",D919="",E919=""),"",UPPER(B919)&amp;TEXT(C919,"00")&amp;"-"&amp;D919&amp;"-"&amp;TEXT(E919,"00"))</f>
        <v/>
      </c>
      <c r="B919" s="12"/>
      <c r="C919" s="12"/>
      <c r="D919" s="12"/>
      <c r="E919" s="12"/>
      <c r="F919" s="16" t="str">
        <f aca="false">IF(B919="","",IFERROR(INDEX(Zones!$B$2:$B$15,MATCH(B919,Zones!$A$2:$A$15,0)),"⚠ zone inconnue"))</f>
        <v/>
      </c>
      <c r="G919" s="12"/>
      <c r="H919" s="12"/>
      <c r="I919" s="12"/>
      <c r="J919" s="12"/>
    </row>
    <row r="920" customFormat="false" ht="15" hidden="false" customHeight="false" outlineLevel="0" collapsed="false">
      <c r="A920" s="14" t="str">
        <f aca="false">IF(OR(B920="",C920="",D920="",E920=""),"",UPPER(B920)&amp;TEXT(C920,"00")&amp;"-"&amp;D920&amp;"-"&amp;TEXT(E920,"00"))</f>
        <v/>
      </c>
      <c r="B920" s="12"/>
      <c r="C920" s="12"/>
      <c r="D920" s="12"/>
      <c r="E920" s="12"/>
      <c r="F920" s="16" t="str">
        <f aca="false">IF(B920="","",IFERROR(INDEX(Zones!$B$2:$B$15,MATCH(B920,Zones!$A$2:$A$15,0)),"⚠ zone inconnue"))</f>
        <v/>
      </c>
      <c r="G920" s="12"/>
      <c r="H920" s="12"/>
      <c r="I920" s="12"/>
      <c r="J920" s="12"/>
    </row>
    <row r="921" customFormat="false" ht="15" hidden="false" customHeight="false" outlineLevel="0" collapsed="false">
      <c r="A921" s="14" t="str">
        <f aca="false">IF(OR(B921="",C921="",D921="",E921=""),"",UPPER(B921)&amp;TEXT(C921,"00")&amp;"-"&amp;D921&amp;"-"&amp;TEXT(E921,"00"))</f>
        <v/>
      </c>
      <c r="B921" s="12"/>
      <c r="C921" s="12"/>
      <c r="D921" s="12"/>
      <c r="E921" s="12"/>
      <c r="F921" s="16" t="str">
        <f aca="false">IF(B921="","",IFERROR(INDEX(Zones!$B$2:$B$15,MATCH(B921,Zones!$A$2:$A$15,0)),"⚠ zone inconnue"))</f>
        <v/>
      </c>
      <c r="G921" s="12"/>
      <c r="H921" s="12"/>
      <c r="I921" s="12"/>
      <c r="J921" s="12"/>
    </row>
    <row r="922" customFormat="false" ht="15" hidden="false" customHeight="false" outlineLevel="0" collapsed="false">
      <c r="A922" s="14" t="str">
        <f aca="false">IF(OR(B922="",C922="",D922="",E922=""),"",UPPER(B922)&amp;TEXT(C922,"00")&amp;"-"&amp;D922&amp;"-"&amp;TEXT(E922,"00"))</f>
        <v/>
      </c>
      <c r="B922" s="12"/>
      <c r="C922" s="12"/>
      <c r="D922" s="12"/>
      <c r="E922" s="12"/>
      <c r="F922" s="16" t="str">
        <f aca="false">IF(B922="","",IFERROR(INDEX(Zones!$B$2:$B$15,MATCH(B922,Zones!$A$2:$A$15,0)),"⚠ zone inconnue"))</f>
        <v/>
      </c>
      <c r="G922" s="12"/>
      <c r="H922" s="12"/>
      <c r="I922" s="12"/>
      <c r="J922" s="12"/>
    </row>
    <row r="923" customFormat="false" ht="15" hidden="false" customHeight="false" outlineLevel="0" collapsed="false">
      <c r="A923" s="14" t="str">
        <f aca="false">IF(OR(B923="",C923="",D923="",E923=""),"",UPPER(B923)&amp;TEXT(C923,"00")&amp;"-"&amp;D923&amp;"-"&amp;TEXT(E923,"00"))</f>
        <v/>
      </c>
      <c r="B923" s="12"/>
      <c r="C923" s="12"/>
      <c r="D923" s="12"/>
      <c r="E923" s="12"/>
      <c r="F923" s="16" t="str">
        <f aca="false">IF(B923="","",IFERROR(INDEX(Zones!$B$2:$B$15,MATCH(B923,Zones!$A$2:$A$15,0)),"⚠ zone inconnue"))</f>
        <v/>
      </c>
      <c r="G923" s="12"/>
      <c r="H923" s="12"/>
      <c r="I923" s="12"/>
      <c r="J923" s="12"/>
    </row>
    <row r="924" customFormat="false" ht="15" hidden="false" customHeight="false" outlineLevel="0" collapsed="false">
      <c r="A924" s="14" t="str">
        <f aca="false">IF(OR(B924="",C924="",D924="",E924=""),"",UPPER(B924)&amp;TEXT(C924,"00")&amp;"-"&amp;D924&amp;"-"&amp;TEXT(E924,"00"))</f>
        <v/>
      </c>
      <c r="B924" s="12"/>
      <c r="C924" s="12"/>
      <c r="D924" s="12"/>
      <c r="E924" s="12"/>
      <c r="F924" s="16" t="str">
        <f aca="false">IF(B924="","",IFERROR(INDEX(Zones!$B$2:$B$15,MATCH(B924,Zones!$A$2:$A$15,0)),"⚠ zone inconnue"))</f>
        <v/>
      </c>
      <c r="G924" s="12"/>
      <c r="H924" s="12"/>
      <c r="I924" s="12"/>
      <c r="J924" s="12"/>
    </row>
    <row r="925" customFormat="false" ht="15" hidden="false" customHeight="false" outlineLevel="0" collapsed="false">
      <c r="A925" s="14" t="str">
        <f aca="false">IF(OR(B925="",C925="",D925="",E925=""),"",UPPER(B925)&amp;TEXT(C925,"00")&amp;"-"&amp;D925&amp;"-"&amp;TEXT(E925,"00"))</f>
        <v/>
      </c>
      <c r="B925" s="12"/>
      <c r="C925" s="12"/>
      <c r="D925" s="12"/>
      <c r="E925" s="12"/>
      <c r="F925" s="16" t="str">
        <f aca="false">IF(B925="","",IFERROR(INDEX(Zones!$B$2:$B$15,MATCH(B925,Zones!$A$2:$A$15,0)),"⚠ zone inconnue"))</f>
        <v/>
      </c>
      <c r="G925" s="12"/>
      <c r="H925" s="12"/>
      <c r="I925" s="12"/>
      <c r="J925" s="12"/>
    </row>
    <row r="926" customFormat="false" ht="15" hidden="false" customHeight="false" outlineLevel="0" collapsed="false">
      <c r="A926" s="14" t="str">
        <f aca="false">IF(OR(B926="",C926="",D926="",E926=""),"",UPPER(B926)&amp;TEXT(C926,"00")&amp;"-"&amp;D926&amp;"-"&amp;TEXT(E926,"00"))</f>
        <v/>
      </c>
      <c r="B926" s="12"/>
      <c r="C926" s="12"/>
      <c r="D926" s="12"/>
      <c r="E926" s="12"/>
      <c r="F926" s="16" t="str">
        <f aca="false">IF(B926="","",IFERROR(INDEX(Zones!$B$2:$B$15,MATCH(B926,Zones!$A$2:$A$15,0)),"⚠ zone inconnue"))</f>
        <v/>
      </c>
      <c r="G926" s="12"/>
      <c r="H926" s="12"/>
      <c r="I926" s="12"/>
      <c r="J926" s="12"/>
    </row>
    <row r="927" customFormat="false" ht="15" hidden="false" customHeight="false" outlineLevel="0" collapsed="false">
      <c r="A927" s="14" t="str">
        <f aca="false">IF(OR(B927="",C927="",D927="",E927=""),"",UPPER(B927)&amp;TEXT(C927,"00")&amp;"-"&amp;D927&amp;"-"&amp;TEXT(E927,"00"))</f>
        <v/>
      </c>
      <c r="B927" s="12"/>
      <c r="C927" s="12"/>
      <c r="D927" s="12"/>
      <c r="E927" s="12"/>
      <c r="F927" s="16" t="str">
        <f aca="false">IF(B927="","",IFERROR(INDEX(Zones!$B$2:$B$15,MATCH(B927,Zones!$A$2:$A$15,0)),"⚠ zone inconnue"))</f>
        <v/>
      </c>
      <c r="G927" s="12"/>
      <c r="H927" s="12"/>
      <c r="I927" s="12"/>
      <c r="J927" s="12"/>
    </row>
    <row r="928" customFormat="false" ht="15" hidden="false" customHeight="false" outlineLevel="0" collapsed="false">
      <c r="A928" s="14" t="str">
        <f aca="false">IF(OR(B928="",C928="",D928="",E928=""),"",UPPER(B928)&amp;TEXT(C928,"00")&amp;"-"&amp;D928&amp;"-"&amp;TEXT(E928,"00"))</f>
        <v/>
      </c>
      <c r="B928" s="12"/>
      <c r="C928" s="12"/>
      <c r="D928" s="12"/>
      <c r="E928" s="12"/>
      <c r="F928" s="16" t="str">
        <f aca="false">IF(B928="","",IFERROR(INDEX(Zones!$B$2:$B$15,MATCH(B928,Zones!$A$2:$A$15,0)),"⚠ zone inconnue"))</f>
        <v/>
      </c>
      <c r="G928" s="12"/>
      <c r="H928" s="12"/>
      <c r="I928" s="12"/>
      <c r="J928" s="12"/>
    </row>
    <row r="929" customFormat="false" ht="15" hidden="false" customHeight="false" outlineLevel="0" collapsed="false">
      <c r="A929" s="14" t="str">
        <f aca="false">IF(OR(B929="",C929="",D929="",E929=""),"",UPPER(B929)&amp;TEXT(C929,"00")&amp;"-"&amp;D929&amp;"-"&amp;TEXT(E929,"00"))</f>
        <v/>
      </c>
      <c r="B929" s="12"/>
      <c r="C929" s="12"/>
      <c r="D929" s="12"/>
      <c r="E929" s="12"/>
      <c r="F929" s="16" t="str">
        <f aca="false">IF(B929="","",IFERROR(INDEX(Zones!$B$2:$B$15,MATCH(B929,Zones!$A$2:$A$15,0)),"⚠ zone inconnue"))</f>
        <v/>
      </c>
      <c r="G929" s="12"/>
      <c r="H929" s="12"/>
      <c r="I929" s="12"/>
      <c r="J929" s="12"/>
    </row>
    <row r="930" customFormat="false" ht="15" hidden="false" customHeight="false" outlineLevel="0" collapsed="false">
      <c r="A930" s="14" t="str">
        <f aca="false">IF(OR(B930="",C930="",D930="",E930=""),"",UPPER(B930)&amp;TEXT(C930,"00")&amp;"-"&amp;D930&amp;"-"&amp;TEXT(E930,"00"))</f>
        <v/>
      </c>
      <c r="B930" s="12"/>
      <c r="C930" s="12"/>
      <c r="D930" s="12"/>
      <c r="E930" s="12"/>
      <c r="F930" s="16" t="str">
        <f aca="false">IF(B930="","",IFERROR(INDEX(Zones!$B$2:$B$15,MATCH(B930,Zones!$A$2:$A$15,0)),"⚠ zone inconnue"))</f>
        <v/>
      </c>
      <c r="G930" s="12"/>
      <c r="H930" s="12"/>
      <c r="I930" s="12"/>
      <c r="J930" s="12"/>
    </row>
    <row r="931" customFormat="false" ht="15" hidden="false" customHeight="false" outlineLevel="0" collapsed="false">
      <c r="A931" s="14" t="str">
        <f aca="false">IF(OR(B931="",C931="",D931="",E931=""),"",UPPER(B931)&amp;TEXT(C931,"00")&amp;"-"&amp;D931&amp;"-"&amp;TEXT(E931,"00"))</f>
        <v/>
      </c>
      <c r="B931" s="12"/>
      <c r="C931" s="12"/>
      <c r="D931" s="12"/>
      <c r="E931" s="12"/>
      <c r="F931" s="16" t="str">
        <f aca="false">IF(B931="","",IFERROR(INDEX(Zones!$B$2:$B$15,MATCH(B931,Zones!$A$2:$A$15,0)),"⚠ zone inconnue"))</f>
        <v/>
      </c>
      <c r="G931" s="12"/>
      <c r="H931" s="12"/>
      <c r="I931" s="12"/>
      <c r="J931" s="12"/>
    </row>
    <row r="932" customFormat="false" ht="15" hidden="false" customHeight="false" outlineLevel="0" collapsed="false">
      <c r="A932" s="14" t="str">
        <f aca="false">IF(OR(B932="",C932="",D932="",E932=""),"",UPPER(B932)&amp;TEXT(C932,"00")&amp;"-"&amp;D932&amp;"-"&amp;TEXT(E932,"00"))</f>
        <v/>
      </c>
      <c r="B932" s="12"/>
      <c r="C932" s="12"/>
      <c r="D932" s="12"/>
      <c r="E932" s="12"/>
      <c r="F932" s="16" t="str">
        <f aca="false">IF(B932="","",IFERROR(INDEX(Zones!$B$2:$B$15,MATCH(B932,Zones!$A$2:$A$15,0)),"⚠ zone inconnue"))</f>
        <v/>
      </c>
      <c r="G932" s="12"/>
      <c r="H932" s="12"/>
      <c r="I932" s="12"/>
      <c r="J932" s="12"/>
    </row>
    <row r="933" customFormat="false" ht="15" hidden="false" customHeight="false" outlineLevel="0" collapsed="false">
      <c r="A933" s="14" t="str">
        <f aca="false">IF(OR(B933="",C933="",D933="",E933=""),"",UPPER(B933)&amp;TEXT(C933,"00")&amp;"-"&amp;D933&amp;"-"&amp;TEXT(E933,"00"))</f>
        <v/>
      </c>
      <c r="B933" s="12"/>
      <c r="C933" s="12"/>
      <c r="D933" s="12"/>
      <c r="E933" s="12"/>
      <c r="F933" s="16" t="str">
        <f aca="false">IF(B933="","",IFERROR(INDEX(Zones!$B$2:$B$15,MATCH(B933,Zones!$A$2:$A$15,0)),"⚠ zone inconnue"))</f>
        <v/>
      </c>
      <c r="G933" s="12"/>
      <c r="H933" s="12"/>
      <c r="I933" s="12"/>
      <c r="J933" s="12"/>
    </row>
    <row r="934" customFormat="false" ht="15" hidden="false" customHeight="false" outlineLevel="0" collapsed="false">
      <c r="A934" s="14" t="str">
        <f aca="false">IF(OR(B934="",C934="",D934="",E934=""),"",UPPER(B934)&amp;TEXT(C934,"00")&amp;"-"&amp;D934&amp;"-"&amp;TEXT(E934,"00"))</f>
        <v/>
      </c>
      <c r="B934" s="12"/>
      <c r="C934" s="12"/>
      <c r="D934" s="12"/>
      <c r="E934" s="12"/>
      <c r="F934" s="16" t="str">
        <f aca="false">IF(B934="","",IFERROR(INDEX(Zones!$B$2:$B$15,MATCH(B934,Zones!$A$2:$A$15,0)),"⚠ zone inconnue"))</f>
        <v/>
      </c>
      <c r="G934" s="12"/>
      <c r="H934" s="12"/>
      <c r="I934" s="12"/>
      <c r="J934" s="12"/>
    </row>
    <row r="935" customFormat="false" ht="15" hidden="false" customHeight="false" outlineLevel="0" collapsed="false">
      <c r="A935" s="14" t="str">
        <f aca="false">IF(OR(B935="",C935="",D935="",E935=""),"",UPPER(B935)&amp;TEXT(C935,"00")&amp;"-"&amp;D935&amp;"-"&amp;TEXT(E935,"00"))</f>
        <v/>
      </c>
      <c r="B935" s="12"/>
      <c r="C935" s="12"/>
      <c r="D935" s="12"/>
      <c r="E935" s="12"/>
      <c r="F935" s="16" t="str">
        <f aca="false">IF(B935="","",IFERROR(INDEX(Zones!$B$2:$B$15,MATCH(B935,Zones!$A$2:$A$15,0)),"⚠ zone inconnue"))</f>
        <v/>
      </c>
      <c r="G935" s="12"/>
      <c r="H935" s="12"/>
      <c r="I935" s="12"/>
      <c r="J935" s="12"/>
    </row>
    <row r="936" customFormat="false" ht="15" hidden="false" customHeight="false" outlineLevel="0" collapsed="false">
      <c r="A936" s="14" t="str">
        <f aca="false">IF(OR(B936="",C936="",D936="",E936=""),"",UPPER(B936)&amp;TEXT(C936,"00")&amp;"-"&amp;D936&amp;"-"&amp;TEXT(E936,"00"))</f>
        <v/>
      </c>
      <c r="B936" s="12"/>
      <c r="C936" s="12"/>
      <c r="D936" s="12"/>
      <c r="E936" s="12"/>
      <c r="F936" s="16" t="str">
        <f aca="false">IF(B936="","",IFERROR(INDEX(Zones!$B$2:$B$15,MATCH(B936,Zones!$A$2:$A$15,0)),"⚠ zone inconnue"))</f>
        <v/>
      </c>
      <c r="G936" s="12"/>
      <c r="H936" s="12"/>
      <c r="I936" s="12"/>
      <c r="J936" s="12"/>
    </row>
    <row r="937" customFormat="false" ht="15" hidden="false" customHeight="false" outlineLevel="0" collapsed="false">
      <c r="A937" s="14" t="str">
        <f aca="false">IF(OR(B937="",C937="",D937="",E937=""),"",UPPER(B937)&amp;TEXT(C937,"00")&amp;"-"&amp;D937&amp;"-"&amp;TEXT(E937,"00"))</f>
        <v/>
      </c>
      <c r="B937" s="12"/>
      <c r="C937" s="12"/>
      <c r="D937" s="12"/>
      <c r="E937" s="12"/>
      <c r="F937" s="16" t="str">
        <f aca="false">IF(B937="","",IFERROR(INDEX(Zones!$B$2:$B$15,MATCH(B937,Zones!$A$2:$A$15,0)),"⚠ zone inconnue"))</f>
        <v/>
      </c>
      <c r="G937" s="12"/>
      <c r="H937" s="12"/>
      <c r="I937" s="12"/>
      <c r="J937" s="12"/>
    </row>
    <row r="938" customFormat="false" ht="15" hidden="false" customHeight="false" outlineLevel="0" collapsed="false">
      <c r="A938" s="14" t="str">
        <f aca="false">IF(OR(B938="",C938="",D938="",E938=""),"",UPPER(B938)&amp;TEXT(C938,"00")&amp;"-"&amp;D938&amp;"-"&amp;TEXT(E938,"00"))</f>
        <v/>
      </c>
      <c r="B938" s="12"/>
      <c r="C938" s="12"/>
      <c r="D938" s="12"/>
      <c r="E938" s="12"/>
      <c r="F938" s="16" t="str">
        <f aca="false">IF(B938="","",IFERROR(INDEX(Zones!$B$2:$B$15,MATCH(B938,Zones!$A$2:$A$15,0)),"⚠ zone inconnue"))</f>
        <v/>
      </c>
      <c r="G938" s="12"/>
      <c r="H938" s="12"/>
      <c r="I938" s="12"/>
      <c r="J938" s="12"/>
    </row>
    <row r="939" customFormat="false" ht="15" hidden="false" customHeight="false" outlineLevel="0" collapsed="false">
      <c r="A939" s="14" t="str">
        <f aca="false">IF(OR(B939="",C939="",D939="",E939=""),"",UPPER(B939)&amp;TEXT(C939,"00")&amp;"-"&amp;D939&amp;"-"&amp;TEXT(E939,"00"))</f>
        <v/>
      </c>
      <c r="B939" s="12"/>
      <c r="C939" s="12"/>
      <c r="D939" s="12"/>
      <c r="E939" s="12"/>
      <c r="F939" s="16" t="str">
        <f aca="false">IF(B939="","",IFERROR(INDEX(Zones!$B$2:$B$15,MATCH(B939,Zones!$A$2:$A$15,0)),"⚠ zone inconnue"))</f>
        <v/>
      </c>
      <c r="G939" s="12"/>
      <c r="H939" s="12"/>
      <c r="I939" s="12"/>
      <c r="J939" s="12"/>
    </row>
    <row r="940" customFormat="false" ht="15" hidden="false" customHeight="false" outlineLevel="0" collapsed="false">
      <c r="A940" s="14" t="str">
        <f aca="false">IF(OR(B940="",C940="",D940="",E940=""),"",UPPER(B940)&amp;TEXT(C940,"00")&amp;"-"&amp;D940&amp;"-"&amp;TEXT(E940,"00"))</f>
        <v/>
      </c>
      <c r="B940" s="12"/>
      <c r="C940" s="12"/>
      <c r="D940" s="12"/>
      <c r="E940" s="12"/>
      <c r="F940" s="16" t="str">
        <f aca="false">IF(B940="","",IFERROR(INDEX(Zones!$B$2:$B$15,MATCH(B940,Zones!$A$2:$A$15,0)),"⚠ zone inconnue"))</f>
        <v/>
      </c>
      <c r="G940" s="12"/>
      <c r="H940" s="12"/>
      <c r="I940" s="12"/>
      <c r="J940" s="12"/>
    </row>
    <row r="941" customFormat="false" ht="15" hidden="false" customHeight="false" outlineLevel="0" collapsed="false">
      <c r="A941" s="14" t="str">
        <f aca="false">IF(OR(B941="",C941="",D941="",E941=""),"",UPPER(B941)&amp;TEXT(C941,"00")&amp;"-"&amp;D941&amp;"-"&amp;TEXT(E941,"00"))</f>
        <v/>
      </c>
      <c r="B941" s="12"/>
      <c r="C941" s="12"/>
      <c r="D941" s="12"/>
      <c r="E941" s="12"/>
      <c r="F941" s="16" t="str">
        <f aca="false">IF(B941="","",IFERROR(INDEX(Zones!$B$2:$B$15,MATCH(B941,Zones!$A$2:$A$15,0)),"⚠ zone inconnue"))</f>
        <v/>
      </c>
      <c r="G941" s="12"/>
      <c r="H941" s="12"/>
      <c r="I941" s="12"/>
      <c r="J941" s="12"/>
    </row>
    <row r="942" customFormat="false" ht="15" hidden="false" customHeight="false" outlineLevel="0" collapsed="false">
      <c r="A942" s="14" t="str">
        <f aca="false">IF(OR(B942="",C942="",D942="",E942=""),"",UPPER(B942)&amp;TEXT(C942,"00")&amp;"-"&amp;D942&amp;"-"&amp;TEXT(E942,"00"))</f>
        <v/>
      </c>
      <c r="B942" s="12"/>
      <c r="C942" s="12"/>
      <c r="D942" s="12"/>
      <c r="E942" s="12"/>
      <c r="F942" s="16" t="str">
        <f aca="false">IF(B942="","",IFERROR(INDEX(Zones!$B$2:$B$15,MATCH(B942,Zones!$A$2:$A$15,0)),"⚠ zone inconnue"))</f>
        <v/>
      </c>
      <c r="G942" s="12"/>
      <c r="H942" s="12"/>
      <c r="I942" s="12"/>
      <c r="J942" s="12"/>
    </row>
    <row r="943" customFormat="false" ht="15" hidden="false" customHeight="false" outlineLevel="0" collapsed="false">
      <c r="A943" s="14" t="str">
        <f aca="false">IF(OR(B943="",C943="",D943="",E943=""),"",UPPER(B943)&amp;TEXT(C943,"00")&amp;"-"&amp;D943&amp;"-"&amp;TEXT(E943,"00"))</f>
        <v/>
      </c>
      <c r="B943" s="12"/>
      <c r="C943" s="12"/>
      <c r="D943" s="12"/>
      <c r="E943" s="12"/>
      <c r="F943" s="16" t="str">
        <f aca="false">IF(B943="","",IFERROR(INDEX(Zones!$B$2:$B$15,MATCH(B943,Zones!$A$2:$A$15,0)),"⚠ zone inconnue"))</f>
        <v/>
      </c>
      <c r="G943" s="12"/>
      <c r="H943" s="12"/>
      <c r="I943" s="12"/>
      <c r="J943" s="12"/>
    </row>
    <row r="944" customFormat="false" ht="15" hidden="false" customHeight="false" outlineLevel="0" collapsed="false">
      <c r="A944" s="14" t="str">
        <f aca="false">IF(OR(B944="",C944="",D944="",E944=""),"",UPPER(B944)&amp;TEXT(C944,"00")&amp;"-"&amp;D944&amp;"-"&amp;TEXT(E944,"00"))</f>
        <v/>
      </c>
      <c r="B944" s="12"/>
      <c r="C944" s="12"/>
      <c r="D944" s="12"/>
      <c r="E944" s="12"/>
      <c r="F944" s="16" t="str">
        <f aca="false">IF(B944="","",IFERROR(INDEX(Zones!$B$2:$B$15,MATCH(B944,Zones!$A$2:$A$15,0)),"⚠ zone inconnue"))</f>
        <v/>
      </c>
      <c r="G944" s="12"/>
      <c r="H944" s="12"/>
      <c r="I944" s="12"/>
      <c r="J944" s="12"/>
    </row>
    <row r="945" customFormat="false" ht="15" hidden="false" customHeight="false" outlineLevel="0" collapsed="false">
      <c r="A945" s="14" t="str">
        <f aca="false">IF(OR(B945="",C945="",D945="",E945=""),"",UPPER(B945)&amp;TEXT(C945,"00")&amp;"-"&amp;D945&amp;"-"&amp;TEXT(E945,"00"))</f>
        <v/>
      </c>
      <c r="B945" s="12"/>
      <c r="C945" s="12"/>
      <c r="D945" s="12"/>
      <c r="E945" s="12"/>
      <c r="F945" s="16" t="str">
        <f aca="false">IF(B945="","",IFERROR(INDEX(Zones!$B$2:$B$15,MATCH(B945,Zones!$A$2:$A$15,0)),"⚠ zone inconnue"))</f>
        <v/>
      </c>
      <c r="G945" s="12"/>
      <c r="H945" s="12"/>
      <c r="I945" s="12"/>
      <c r="J945" s="12"/>
    </row>
    <row r="946" customFormat="false" ht="15" hidden="false" customHeight="false" outlineLevel="0" collapsed="false">
      <c r="A946" s="14" t="str">
        <f aca="false">IF(OR(B946="",C946="",D946="",E946=""),"",UPPER(B946)&amp;TEXT(C946,"00")&amp;"-"&amp;D946&amp;"-"&amp;TEXT(E946,"00"))</f>
        <v/>
      </c>
      <c r="B946" s="12"/>
      <c r="C946" s="12"/>
      <c r="D946" s="12"/>
      <c r="E946" s="12"/>
      <c r="F946" s="16" t="str">
        <f aca="false">IF(B946="","",IFERROR(INDEX(Zones!$B$2:$B$15,MATCH(B946,Zones!$A$2:$A$15,0)),"⚠ zone inconnue"))</f>
        <v/>
      </c>
      <c r="G946" s="12"/>
      <c r="H946" s="12"/>
      <c r="I946" s="12"/>
      <c r="J946" s="12"/>
    </row>
    <row r="947" customFormat="false" ht="15" hidden="false" customHeight="false" outlineLevel="0" collapsed="false">
      <c r="A947" s="14" t="str">
        <f aca="false">IF(OR(B947="",C947="",D947="",E947=""),"",UPPER(B947)&amp;TEXT(C947,"00")&amp;"-"&amp;D947&amp;"-"&amp;TEXT(E947,"00"))</f>
        <v/>
      </c>
      <c r="B947" s="12"/>
      <c r="C947" s="12"/>
      <c r="D947" s="12"/>
      <c r="E947" s="12"/>
      <c r="F947" s="16" t="str">
        <f aca="false">IF(B947="","",IFERROR(INDEX(Zones!$B$2:$B$15,MATCH(B947,Zones!$A$2:$A$15,0)),"⚠ zone inconnue"))</f>
        <v/>
      </c>
      <c r="G947" s="12"/>
      <c r="H947" s="12"/>
      <c r="I947" s="12"/>
      <c r="J947" s="12"/>
    </row>
    <row r="948" customFormat="false" ht="15" hidden="false" customHeight="false" outlineLevel="0" collapsed="false">
      <c r="A948" s="14" t="str">
        <f aca="false">IF(OR(B948="",C948="",D948="",E948=""),"",UPPER(B948)&amp;TEXT(C948,"00")&amp;"-"&amp;D948&amp;"-"&amp;TEXT(E948,"00"))</f>
        <v/>
      </c>
      <c r="B948" s="12"/>
      <c r="C948" s="12"/>
      <c r="D948" s="12"/>
      <c r="E948" s="12"/>
      <c r="F948" s="16" t="str">
        <f aca="false">IF(B948="","",IFERROR(INDEX(Zones!$B$2:$B$15,MATCH(B948,Zones!$A$2:$A$15,0)),"⚠ zone inconnue"))</f>
        <v/>
      </c>
      <c r="G948" s="12"/>
      <c r="H948" s="12"/>
      <c r="I948" s="12"/>
      <c r="J948" s="12"/>
    </row>
    <row r="949" customFormat="false" ht="15" hidden="false" customHeight="false" outlineLevel="0" collapsed="false">
      <c r="A949" s="14" t="str">
        <f aca="false">IF(OR(B949="",C949="",D949="",E949=""),"",UPPER(B949)&amp;TEXT(C949,"00")&amp;"-"&amp;D949&amp;"-"&amp;TEXT(E949,"00"))</f>
        <v/>
      </c>
      <c r="B949" s="12"/>
      <c r="C949" s="12"/>
      <c r="D949" s="12"/>
      <c r="E949" s="12"/>
      <c r="F949" s="16" t="str">
        <f aca="false">IF(B949="","",IFERROR(INDEX(Zones!$B$2:$B$15,MATCH(B949,Zones!$A$2:$A$15,0)),"⚠ zone inconnue"))</f>
        <v/>
      </c>
      <c r="G949" s="12"/>
      <c r="H949" s="12"/>
      <c r="I949" s="12"/>
      <c r="J949" s="12"/>
    </row>
    <row r="950" customFormat="false" ht="15" hidden="false" customHeight="false" outlineLevel="0" collapsed="false">
      <c r="A950" s="14" t="str">
        <f aca="false">IF(OR(B950="",C950="",D950="",E950=""),"",UPPER(B950)&amp;TEXT(C950,"00")&amp;"-"&amp;D950&amp;"-"&amp;TEXT(E950,"00"))</f>
        <v/>
      </c>
      <c r="B950" s="12"/>
      <c r="C950" s="12"/>
      <c r="D950" s="12"/>
      <c r="E950" s="12"/>
      <c r="F950" s="16" t="str">
        <f aca="false">IF(B950="","",IFERROR(INDEX(Zones!$B$2:$B$15,MATCH(B950,Zones!$A$2:$A$15,0)),"⚠ zone inconnue"))</f>
        <v/>
      </c>
      <c r="G950" s="12"/>
      <c r="H950" s="12"/>
      <c r="I950" s="12"/>
      <c r="J950" s="12"/>
    </row>
    <row r="951" customFormat="false" ht="15" hidden="false" customHeight="false" outlineLevel="0" collapsed="false">
      <c r="A951" s="14" t="str">
        <f aca="false">IF(OR(B951="",C951="",D951="",E951=""),"",UPPER(B951)&amp;TEXT(C951,"00")&amp;"-"&amp;D951&amp;"-"&amp;TEXT(E951,"00"))</f>
        <v/>
      </c>
      <c r="B951" s="12"/>
      <c r="C951" s="12"/>
      <c r="D951" s="12"/>
      <c r="E951" s="12"/>
      <c r="F951" s="16" t="str">
        <f aca="false">IF(B951="","",IFERROR(INDEX(Zones!$B$2:$B$15,MATCH(B951,Zones!$A$2:$A$15,0)),"⚠ zone inconnue"))</f>
        <v/>
      </c>
      <c r="G951" s="12"/>
      <c r="H951" s="12"/>
      <c r="I951" s="12"/>
      <c r="J951" s="12"/>
    </row>
    <row r="952" customFormat="false" ht="15" hidden="false" customHeight="false" outlineLevel="0" collapsed="false">
      <c r="A952" s="14" t="str">
        <f aca="false">IF(OR(B952="",C952="",D952="",E952=""),"",UPPER(B952)&amp;TEXT(C952,"00")&amp;"-"&amp;D952&amp;"-"&amp;TEXT(E952,"00"))</f>
        <v/>
      </c>
      <c r="B952" s="12"/>
      <c r="C952" s="12"/>
      <c r="D952" s="12"/>
      <c r="E952" s="12"/>
      <c r="F952" s="16" t="str">
        <f aca="false">IF(B952="","",IFERROR(INDEX(Zones!$B$2:$B$15,MATCH(B952,Zones!$A$2:$A$15,0)),"⚠ zone inconnue"))</f>
        <v/>
      </c>
      <c r="G952" s="12"/>
      <c r="H952" s="12"/>
      <c r="I952" s="12"/>
      <c r="J952" s="12"/>
    </row>
    <row r="953" customFormat="false" ht="15" hidden="false" customHeight="false" outlineLevel="0" collapsed="false">
      <c r="A953" s="14" t="str">
        <f aca="false">IF(OR(B953="",C953="",D953="",E953=""),"",UPPER(B953)&amp;TEXT(C953,"00")&amp;"-"&amp;D953&amp;"-"&amp;TEXT(E953,"00"))</f>
        <v/>
      </c>
      <c r="B953" s="12"/>
      <c r="C953" s="12"/>
      <c r="D953" s="12"/>
      <c r="E953" s="12"/>
      <c r="F953" s="16" t="str">
        <f aca="false">IF(B953="","",IFERROR(INDEX(Zones!$B$2:$B$15,MATCH(B953,Zones!$A$2:$A$15,0)),"⚠ zone inconnue"))</f>
        <v/>
      </c>
      <c r="G953" s="12"/>
      <c r="H953" s="12"/>
      <c r="I953" s="12"/>
      <c r="J953" s="12"/>
    </row>
    <row r="954" customFormat="false" ht="15" hidden="false" customHeight="false" outlineLevel="0" collapsed="false">
      <c r="A954" s="14" t="str">
        <f aca="false">IF(OR(B954="",C954="",D954="",E954=""),"",UPPER(B954)&amp;TEXT(C954,"00")&amp;"-"&amp;D954&amp;"-"&amp;TEXT(E954,"00"))</f>
        <v/>
      </c>
      <c r="B954" s="12"/>
      <c r="C954" s="12"/>
      <c r="D954" s="12"/>
      <c r="E954" s="12"/>
      <c r="F954" s="16" t="str">
        <f aca="false">IF(B954="","",IFERROR(INDEX(Zones!$B$2:$B$15,MATCH(B954,Zones!$A$2:$A$15,0)),"⚠ zone inconnue"))</f>
        <v/>
      </c>
      <c r="G954" s="12"/>
      <c r="H954" s="12"/>
      <c r="I954" s="12"/>
      <c r="J954" s="12"/>
    </row>
    <row r="955" customFormat="false" ht="15" hidden="false" customHeight="false" outlineLevel="0" collapsed="false">
      <c r="A955" s="14" t="str">
        <f aca="false">IF(OR(B955="",C955="",D955="",E955=""),"",UPPER(B955)&amp;TEXT(C955,"00")&amp;"-"&amp;D955&amp;"-"&amp;TEXT(E955,"00"))</f>
        <v/>
      </c>
      <c r="B955" s="12"/>
      <c r="C955" s="12"/>
      <c r="D955" s="12"/>
      <c r="E955" s="12"/>
      <c r="F955" s="16" t="str">
        <f aca="false">IF(B955="","",IFERROR(INDEX(Zones!$B$2:$B$15,MATCH(B955,Zones!$A$2:$A$15,0)),"⚠ zone inconnue"))</f>
        <v/>
      </c>
      <c r="G955" s="12"/>
      <c r="H955" s="12"/>
      <c r="I955" s="12"/>
      <c r="J955" s="12"/>
    </row>
    <row r="956" customFormat="false" ht="15" hidden="false" customHeight="false" outlineLevel="0" collapsed="false">
      <c r="A956" s="14" t="str">
        <f aca="false">IF(OR(B956="",C956="",D956="",E956=""),"",UPPER(B956)&amp;TEXT(C956,"00")&amp;"-"&amp;D956&amp;"-"&amp;TEXT(E956,"00"))</f>
        <v/>
      </c>
      <c r="B956" s="12"/>
      <c r="C956" s="12"/>
      <c r="D956" s="12"/>
      <c r="E956" s="12"/>
      <c r="F956" s="16" t="str">
        <f aca="false">IF(B956="","",IFERROR(INDEX(Zones!$B$2:$B$15,MATCH(B956,Zones!$A$2:$A$15,0)),"⚠ zone inconnue"))</f>
        <v/>
      </c>
      <c r="G956" s="12"/>
      <c r="H956" s="12"/>
      <c r="I956" s="12"/>
      <c r="J956" s="12"/>
    </row>
    <row r="957" customFormat="false" ht="15" hidden="false" customHeight="false" outlineLevel="0" collapsed="false">
      <c r="A957" s="14" t="str">
        <f aca="false">IF(OR(B957="",C957="",D957="",E957=""),"",UPPER(B957)&amp;TEXT(C957,"00")&amp;"-"&amp;D957&amp;"-"&amp;TEXT(E957,"00"))</f>
        <v/>
      </c>
      <c r="B957" s="12"/>
      <c r="C957" s="12"/>
      <c r="D957" s="12"/>
      <c r="E957" s="12"/>
      <c r="F957" s="16" t="str">
        <f aca="false">IF(B957="","",IFERROR(INDEX(Zones!$B$2:$B$15,MATCH(B957,Zones!$A$2:$A$15,0)),"⚠ zone inconnue"))</f>
        <v/>
      </c>
      <c r="G957" s="12"/>
      <c r="H957" s="12"/>
      <c r="I957" s="12"/>
      <c r="J957" s="12"/>
    </row>
    <row r="958" customFormat="false" ht="15" hidden="false" customHeight="false" outlineLevel="0" collapsed="false">
      <c r="A958" s="14" t="str">
        <f aca="false">IF(OR(B958="",C958="",D958="",E958=""),"",UPPER(B958)&amp;TEXT(C958,"00")&amp;"-"&amp;D958&amp;"-"&amp;TEXT(E958,"00"))</f>
        <v/>
      </c>
      <c r="B958" s="12"/>
      <c r="C958" s="12"/>
      <c r="D958" s="12"/>
      <c r="E958" s="12"/>
      <c r="F958" s="16" t="str">
        <f aca="false">IF(B958="","",IFERROR(INDEX(Zones!$B$2:$B$15,MATCH(B958,Zones!$A$2:$A$15,0)),"⚠ zone inconnue"))</f>
        <v/>
      </c>
      <c r="G958" s="12"/>
      <c r="H958" s="12"/>
      <c r="I958" s="12"/>
      <c r="J958" s="12"/>
    </row>
    <row r="959" customFormat="false" ht="15" hidden="false" customHeight="false" outlineLevel="0" collapsed="false">
      <c r="A959" s="14" t="str">
        <f aca="false">IF(OR(B959="",C959="",D959="",E959=""),"",UPPER(B959)&amp;TEXT(C959,"00")&amp;"-"&amp;D959&amp;"-"&amp;TEXT(E959,"00"))</f>
        <v/>
      </c>
      <c r="B959" s="12"/>
      <c r="C959" s="12"/>
      <c r="D959" s="12"/>
      <c r="E959" s="12"/>
      <c r="F959" s="16" t="str">
        <f aca="false">IF(B959="","",IFERROR(INDEX(Zones!$B$2:$B$15,MATCH(B959,Zones!$A$2:$A$15,0)),"⚠ zone inconnue"))</f>
        <v/>
      </c>
      <c r="G959" s="12"/>
      <c r="H959" s="12"/>
      <c r="I959" s="12"/>
      <c r="J959" s="12"/>
    </row>
    <row r="960" customFormat="false" ht="15" hidden="false" customHeight="false" outlineLevel="0" collapsed="false">
      <c r="A960" s="14" t="str">
        <f aca="false">IF(OR(B960="",C960="",D960="",E960=""),"",UPPER(B960)&amp;TEXT(C960,"00")&amp;"-"&amp;D960&amp;"-"&amp;TEXT(E960,"00"))</f>
        <v/>
      </c>
      <c r="B960" s="12"/>
      <c r="C960" s="12"/>
      <c r="D960" s="12"/>
      <c r="E960" s="12"/>
      <c r="F960" s="16" t="str">
        <f aca="false">IF(B960="","",IFERROR(INDEX(Zones!$B$2:$B$15,MATCH(B960,Zones!$A$2:$A$15,0)),"⚠ zone inconnue"))</f>
        <v/>
      </c>
      <c r="G960" s="12"/>
      <c r="H960" s="12"/>
      <c r="I960" s="12"/>
      <c r="J960" s="12"/>
    </row>
    <row r="961" customFormat="false" ht="15" hidden="false" customHeight="false" outlineLevel="0" collapsed="false">
      <c r="A961" s="14" t="str">
        <f aca="false">IF(OR(B961="",C961="",D961="",E961=""),"",UPPER(B961)&amp;TEXT(C961,"00")&amp;"-"&amp;D961&amp;"-"&amp;TEXT(E961,"00"))</f>
        <v/>
      </c>
      <c r="B961" s="12"/>
      <c r="C961" s="12"/>
      <c r="D961" s="12"/>
      <c r="E961" s="12"/>
      <c r="F961" s="16" t="str">
        <f aca="false">IF(B961="","",IFERROR(INDEX(Zones!$B$2:$B$15,MATCH(B961,Zones!$A$2:$A$15,0)),"⚠ zone inconnue"))</f>
        <v/>
      </c>
      <c r="G961" s="12"/>
      <c r="H961" s="12"/>
      <c r="I961" s="12"/>
      <c r="J961" s="12"/>
    </row>
    <row r="962" customFormat="false" ht="15" hidden="false" customHeight="false" outlineLevel="0" collapsed="false">
      <c r="A962" s="14" t="str">
        <f aca="false">IF(OR(B962="",C962="",D962="",E962=""),"",UPPER(B962)&amp;TEXT(C962,"00")&amp;"-"&amp;D962&amp;"-"&amp;TEXT(E962,"00"))</f>
        <v/>
      </c>
      <c r="B962" s="12"/>
      <c r="C962" s="12"/>
      <c r="D962" s="12"/>
      <c r="E962" s="12"/>
      <c r="F962" s="16" t="str">
        <f aca="false">IF(B962="","",IFERROR(INDEX(Zones!$B$2:$B$15,MATCH(B962,Zones!$A$2:$A$15,0)),"⚠ zone inconnue"))</f>
        <v/>
      </c>
      <c r="G962" s="12"/>
      <c r="H962" s="12"/>
      <c r="I962" s="12"/>
      <c r="J962" s="12"/>
    </row>
    <row r="963" customFormat="false" ht="15" hidden="false" customHeight="false" outlineLevel="0" collapsed="false">
      <c r="A963" s="14" t="str">
        <f aca="false">IF(OR(B963="",C963="",D963="",E963=""),"",UPPER(B963)&amp;TEXT(C963,"00")&amp;"-"&amp;D963&amp;"-"&amp;TEXT(E963,"00"))</f>
        <v/>
      </c>
      <c r="B963" s="12"/>
      <c r="C963" s="12"/>
      <c r="D963" s="12"/>
      <c r="E963" s="12"/>
      <c r="F963" s="16" t="str">
        <f aca="false">IF(B963="","",IFERROR(INDEX(Zones!$B$2:$B$15,MATCH(B963,Zones!$A$2:$A$15,0)),"⚠ zone inconnue"))</f>
        <v/>
      </c>
      <c r="G963" s="12"/>
      <c r="H963" s="12"/>
      <c r="I963" s="12"/>
      <c r="J963" s="12"/>
    </row>
    <row r="964" customFormat="false" ht="15" hidden="false" customHeight="false" outlineLevel="0" collapsed="false">
      <c r="A964" s="14" t="str">
        <f aca="false">IF(OR(B964="",C964="",D964="",E964=""),"",UPPER(B964)&amp;TEXT(C964,"00")&amp;"-"&amp;D964&amp;"-"&amp;TEXT(E964,"00"))</f>
        <v/>
      </c>
      <c r="B964" s="12"/>
      <c r="C964" s="12"/>
      <c r="D964" s="12"/>
      <c r="E964" s="12"/>
      <c r="F964" s="16" t="str">
        <f aca="false">IF(B964="","",IFERROR(INDEX(Zones!$B$2:$B$15,MATCH(B964,Zones!$A$2:$A$15,0)),"⚠ zone inconnue"))</f>
        <v/>
      </c>
      <c r="G964" s="12"/>
      <c r="H964" s="12"/>
      <c r="I964" s="12"/>
      <c r="J964" s="12"/>
    </row>
    <row r="965" customFormat="false" ht="15" hidden="false" customHeight="false" outlineLevel="0" collapsed="false">
      <c r="A965" s="14" t="str">
        <f aca="false">IF(OR(B965="",C965="",D965="",E965=""),"",UPPER(B965)&amp;TEXT(C965,"00")&amp;"-"&amp;D965&amp;"-"&amp;TEXT(E965,"00"))</f>
        <v/>
      </c>
      <c r="B965" s="12"/>
      <c r="C965" s="12"/>
      <c r="D965" s="12"/>
      <c r="E965" s="12"/>
      <c r="F965" s="16" t="str">
        <f aca="false">IF(B965="","",IFERROR(INDEX(Zones!$B$2:$B$15,MATCH(B965,Zones!$A$2:$A$15,0)),"⚠ zone inconnue"))</f>
        <v/>
      </c>
      <c r="G965" s="12"/>
      <c r="H965" s="12"/>
      <c r="I965" s="12"/>
      <c r="J965" s="12"/>
    </row>
    <row r="966" customFormat="false" ht="15" hidden="false" customHeight="false" outlineLevel="0" collapsed="false">
      <c r="A966" s="14" t="str">
        <f aca="false">IF(OR(B966="",C966="",D966="",E966=""),"",UPPER(B966)&amp;TEXT(C966,"00")&amp;"-"&amp;D966&amp;"-"&amp;TEXT(E966,"00"))</f>
        <v/>
      </c>
      <c r="B966" s="12"/>
      <c r="C966" s="12"/>
      <c r="D966" s="12"/>
      <c r="E966" s="12"/>
      <c r="F966" s="16" t="str">
        <f aca="false">IF(B966="","",IFERROR(INDEX(Zones!$B$2:$B$15,MATCH(B966,Zones!$A$2:$A$15,0)),"⚠ zone inconnue"))</f>
        <v/>
      </c>
      <c r="G966" s="12"/>
      <c r="H966" s="12"/>
      <c r="I966" s="12"/>
      <c r="J966" s="12"/>
    </row>
    <row r="967" customFormat="false" ht="15" hidden="false" customHeight="false" outlineLevel="0" collapsed="false">
      <c r="A967" s="14" t="str">
        <f aca="false">IF(OR(B967="",C967="",D967="",E967=""),"",UPPER(B967)&amp;TEXT(C967,"00")&amp;"-"&amp;D967&amp;"-"&amp;TEXT(E967,"00"))</f>
        <v/>
      </c>
      <c r="B967" s="12"/>
      <c r="C967" s="12"/>
      <c r="D967" s="12"/>
      <c r="E967" s="12"/>
      <c r="F967" s="16" t="str">
        <f aca="false">IF(B967="","",IFERROR(INDEX(Zones!$B$2:$B$15,MATCH(B967,Zones!$A$2:$A$15,0)),"⚠ zone inconnue"))</f>
        <v/>
      </c>
      <c r="G967" s="12"/>
      <c r="H967" s="12"/>
      <c r="I967" s="12"/>
      <c r="J967" s="12"/>
    </row>
    <row r="968" customFormat="false" ht="15" hidden="false" customHeight="false" outlineLevel="0" collapsed="false">
      <c r="A968" s="14" t="str">
        <f aca="false">IF(OR(B968="",C968="",D968="",E968=""),"",UPPER(B968)&amp;TEXT(C968,"00")&amp;"-"&amp;D968&amp;"-"&amp;TEXT(E968,"00"))</f>
        <v/>
      </c>
      <c r="B968" s="12"/>
      <c r="C968" s="12"/>
      <c r="D968" s="12"/>
      <c r="E968" s="12"/>
      <c r="F968" s="16" t="str">
        <f aca="false">IF(B968="","",IFERROR(INDEX(Zones!$B$2:$B$15,MATCH(B968,Zones!$A$2:$A$15,0)),"⚠ zone inconnue"))</f>
        <v/>
      </c>
      <c r="G968" s="12"/>
      <c r="H968" s="12"/>
      <c r="I968" s="12"/>
      <c r="J968" s="12"/>
    </row>
    <row r="969" customFormat="false" ht="15" hidden="false" customHeight="false" outlineLevel="0" collapsed="false">
      <c r="A969" s="14" t="str">
        <f aca="false">IF(OR(B969="",C969="",D969="",E969=""),"",UPPER(B969)&amp;TEXT(C969,"00")&amp;"-"&amp;D969&amp;"-"&amp;TEXT(E969,"00"))</f>
        <v/>
      </c>
      <c r="B969" s="12"/>
      <c r="C969" s="12"/>
      <c r="D969" s="12"/>
      <c r="E969" s="12"/>
      <c r="F969" s="16" t="str">
        <f aca="false">IF(B969="","",IFERROR(INDEX(Zones!$B$2:$B$15,MATCH(B969,Zones!$A$2:$A$15,0)),"⚠ zone inconnue"))</f>
        <v/>
      </c>
      <c r="G969" s="12"/>
      <c r="H969" s="12"/>
      <c r="I969" s="12"/>
      <c r="J969" s="12"/>
    </row>
    <row r="970" customFormat="false" ht="15" hidden="false" customHeight="false" outlineLevel="0" collapsed="false">
      <c r="A970" s="14" t="str">
        <f aca="false">IF(OR(B970="",C970="",D970="",E970=""),"",UPPER(B970)&amp;TEXT(C970,"00")&amp;"-"&amp;D970&amp;"-"&amp;TEXT(E970,"00"))</f>
        <v/>
      </c>
      <c r="B970" s="12"/>
      <c r="C970" s="12"/>
      <c r="D970" s="12"/>
      <c r="E970" s="12"/>
      <c r="F970" s="16" t="str">
        <f aca="false">IF(B970="","",IFERROR(INDEX(Zones!$B$2:$B$15,MATCH(B970,Zones!$A$2:$A$15,0)),"⚠ zone inconnue"))</f>
        <v/>
      </c>
      <c r="G970" s="12"/>
      <c r="H970" s="12"/>
      <c r="I970" s="12"/>
      <c r="J970" s="12"/>
    </row>
    <row r="971" customFormat="false" ht="15" hidden="false" customHeight="false" outlineLevel="0" collapsed="false">
      <c r="A971" s="14" t="str">
        <f aca="false">IF(OR(B971="",C971="",D971="",E971=""),"",UPPER(B971)&amp;TEXT(C971,"00")&amp;"-"&amp;D971&amp;"-"&amp;TEXT(E971,"00"))</f>
        <v/>
      </c>
      <c r="B971" s="12"/>
      <c r="C971" s="12"/>
      <c r="D971" s="12"/>
      <c r="E971" s="12"/>
      <c r="F971" s="16" t="str">
        <f aca="false">IF(B971="","",IFERROR(INDEX(Zones!$B$2:$B$15,MATCH(B971,Zones!$A$2:$A$15,0)),"⚠ zone inconnue"))</f>
        <v/>
      </c>
      <c r="G971" s="12"/>
      <c r="H971" s="12"/>
      <c r="I971" s="12"/>
      <c r="J971" s="12"/>
    </row>
    <row r="972" customFormat="false" ht="15" hidden="false" customHeight="false" outlineLevel="0" collapsed="false">
      <c r="A972" s="14" t="str">
        <f aca="false">IF(OR(B972="",C972="",D972="",E972=""),"",UPPER(B972)&amp;TEXT(C972,"00")&amp;"-"&amp;D972&amp;"-"&amp;TEXT(E972,"00"))</f>
        <v/>
      </c>
      <c r="B972" s="12"/>
      <c r="C972" s="12"/>
      <c r="D972" s="12"/>
      <c r="E972" s="12"/>
      <c r="F972" s="16" t="str">
        <f aca="false">IF(B972="","",IFERROR(INDEX(Zones!$B$2:$B$15,MATCH(B972,Zones!$A$2:$A$15,0)),"⚠ zone inconnue"))</f>
        <v/>
      </c>
      <c r="G972" s="12"/>
      <c r="H972" s="12"/>
      <c r="I972" s="12"/>
      <c r="J972" s="12"/>
    </row>
    <row r="973" customFormat="false" ht="15" hidden="false" customHeight="false" outlineLevel="0" collapsed="false">
      <c r="A973" s="14" t="str">
        <f aca="false">IF(OR(B973="",C973="",D973="",E973=""),"",UPPER(B973)&amp;TEXT(C973,"00")&amp;"-"&amp;D973&amp;"-"&amp;TEXT(E973,"00"))</f>
        <v/>
      </c>
      <c r="B973" s="12"/>
      <c r="C973" s="12"/>
      <c r="D973" s="12"/>
      <c r="E973" s="12"/>
      <c r="F973" s="16" t="str">
        <f aca="false">IF(B973="","",IFERROR(INDEX(Zones!$B$2:$B$15,MATCH(B973,Zones!$A$2:$A$15,0)),"⚠ zone inconnue"))</f>
        <v/>
      </c>
      <c r="G973" s="12"/>
      <c r="H973" s="12"/>
      <c r="I973" s="12"/>
      <c r="J973" s="12"/>
    </row>
    <row r="974" customFormat="false" ht="15" hidden="false" customHeight="false" outlineLevel="0" collapsed="false">
      <c r="A974" s="14" t="str">
        <f aca="false">IF(OR(B974="",C974="",D974="",E974=""),"",UPPER(B974)&amp;TEXT(C974,"00")&amp;"-"&amp;D974&amp;"-"&amp;TEXT(E974,"00"))</f>
        <v/>
      </c>
      <c r="B974" s="12"/>
      <c r="C974" s="12"/>
      <c r="D974" s="12"/>
      <c r="E974" s="12"/>
      <c r="F974" s="16" t="str">
        <f aca="false">IF(B974="","",IFERROR(INDEX(Zones!$B$2:$B$15,MATCH(B974,Zones!$A$2:$A$15,0)),"⚠ zone inconnue"))</f>
        <v/>
      </c>
      <c r="G974" s="12"/>
      <c r="H974" s="12"/>
      <c r="I974" s="12"/>
      <c r="J974" s="12"/>
    </row>
    <row r="975" customFormat="false" ht="15" hidden="false" customHeight="false" outlineLevel="0" collapsed="false">
      <c r="A975" s="14" t="str">
        <f aca="false">IF(OR(B975="",C975="",D975="",E975=""),"",UPPER(B975)&amp;TEXT(C975,"00")&amp;"-"&amp;D975&amp;"-"&amp;TEXT(E975,"00"))</f>
        <v/>
      </c>
      <c r="B975" s="12"/>
      <c r="C975" s="12"/>
      <c r="D975" s="12"/>
      <c r="E975" s="12"/>
      <c r="F975" s="16" t="str">
        <f aca="false">IF(B975="","",IFERROR(INDEX(Zones!$B$2:$B$15,MATCH(B975,Zones!$A$2:$A$15,0)),"⚠ zone inconnue"))</f>
        <v/>
      </c>
      <c r="G975" s="12"/>
      <c r="H975" s="12"/>
      <c r="I975" s="12"/>
      <c r="J975" s="12"/>
    </row>
    <row r="976" customFormat="false" ht="15" hidden="false" customHeight="false" outlineLevel="0" collapsed="false">
      <c r="A976" s="14" t="str">
        <f aca="false">IF(OR(B976="",C976="",D976="",E976=""),"",UPPER(B976)&amp;TEXT(C976,"00")&amp;"-"&amp;D976&amp;"-"&amp;TEXT(E976,"00"))</f>
        <v/>
      </c>
      <c r="B976" s="12"/>
      <c r="C976" s="12"/>
      <c r="D976" s="12"/>
      <c r="E976" s="12"/>
      <c r="F976" s="16" t="str">
        <f aca="false">IF(B976="","",IFERROR(INDEX(Zones!$B$2:$B$15,MATCH(B976,Zones!$A$2:$A$15,0)),"⚠ zone inconnue"))</f>
        <v/>
      </c>
      <c r="G976" s="12"/>
      <c r="H976" s="12"/>
      <c r="I976" s="12"/>
      <c r="J976" s="12"/>
    </row>
    <row r="977" customFormat="false" ht="15" hidden="false" customHeight="false" outlineLevel="0" collapsed="false">
      <c r="A977" s="14" t="str">
        <f aca="false">IF(OR(B977="",C977="",D977="",E977=""),"",UPPER(B977)&amp;TEXT(C977,"00")&amp;"-"&amp;D977&amp;"-"&amp;TEXT(E977,"00"))</f>
        <v/>
      </c>
      <c r="B977" s="12"/>
      <c r="C977" s="12"/>
      <c r="D977" s="12"/>
      <c r="E977" s="12"/>
      <c r="F977" s="16" t="str">
        <f aca="false">IF(B977="","",IFERROR(INDEX(Zones!$B$2:$B$15,MATCH(B977,Zones!$A$2:$A$15,0)),"⚠ zone inconnue"))</f>
        <v/>
      </c>
      <c r="G977" s="12"/>
      <c r="H977" s="12"/>
      <c r="I977" s="12"/>
      <c r="J977" s="12"/>
    </row>
    <row r="978" customFormat="false" ht="15" hidden="false" customHeight="false" outlineLevel="0" collapsed="false">
      <c r="A978" s="14" t="str">
        <f aca="false">IF(OR(B978="",C978="",D978="",E978=""),"",UPPER(B978)&amp;TEXT(C978,"00")&amp;"-"&amp;D978&amp;"-"&amp;TEXT(E978,"00"))</f>
        <v/>
      </c>
      <c r="B978" s="12"/>
      <c r="C978" s="12"/>
      <c r="D978" s="12"/>
      <c r="E978" s="12"/>
      <c r="F978" s="16" t="str">
        <f aca="false">IF(B978="","",IFERROR(INDEX(Zones!$B$2:$B$15,MATCH(B978,Zones!$A$2:$A$15,0)),"⚠ zone inconnue"))</f>
        <v/>
      </c>
      <c r="G978" s="12"/>
      <c r="H978" s="12"/>
      <c r="I978" s="12"/>
      <c r="J978" s="12"/>
    </row>
    <row r="979" customFormat="false" ht="15" hidden="false" customHeight="false" outlineLevel="0" collapsed="false">
      <c r="A979" s="14" t="str">
        <f aca="false">IF(OR(B979="",C979="",D979="",E979=""),"",UPPER(B979)&amp;TEXT(C979,"00")&amp;"-"&amp;D979&amp;"-"&amp;TEXT(E979,"00"))</f>
        <v/>
      </c>
      <c r="B979" s="12"/>
      <c r="C979" s="12"/>
      <c r="D979" s="12"/>
      <c r="E979" s="12"/>
      <c r="F979" s="16" t="str">
        <f aca="false">IF(B979="","",IFERROR(INDEX(Zones!$B$2:$B$15,MATCH(B979,Zones!$A$2:$A$15,0)),"⚠ zone inconnue"))</f>
        <v/>
      </c>
      <c r="G979" s="12"/>
      <c r="H979" s="12"/>
      <c r="I979" s="12"/>
      <c r="J979" s="12"/>
    </row>
    <row r="980" customFormat="false" ht="15" hidden="false" customHeight="false" outlineLevel="0" collapsed="false">
      <c r="A980" s="14" t="str">
        <f aca="false">IF(OR(B980="",C980="",D980="",E980=""),"",UPPER(B980)&amp;TEXT(C980,"00")&amp;"-"&amp;D980&amp;"-"&amp;TEXT(E980,"00"))</f>
        <v/>
      </c>
      <c r="B980" s="12"/>
      <c r="C980" s="12"/>
      <c r="D980" s="12"/>
      <c r="E980" s="12"/>
      <c r="F980" s="16" t="str">
        <f aca="false">IF(B980="","",IFERROR(INDEX(Zones!$B$2:$B$15,MATCH(B980,Zones!$A$2:$A$15,0)),"⚠ zone inconnue"))</f>
        <v/>
      </c>
      <c r="G980" s="12"/>
      <c r="H980" s="12"/>
      <c r="I980" s="12"/>
      <c r="J980" s="12"/>
    </row>
    <row r="981" customFormat="false" ht="15" hidden="false" customHeight="false" outlineLevel="0" collapsed="false">
      <c r="A981" s="14" t="str">
        <f aca="false">IF(OR(B981="",C981="",D981="",E981=""),"",UPPER(B981)&amp;TEXT(C981,"00")&amp;"-"&amp;D981&amp;"-"&amp;TEXT(E981,"00"))</f>
        <v/>
      </c>
      <c r="B981" s="12"/>
      <c r="C981" s="12"/>
      <c r="D981" s="12"/>
      <c r="E981" s="12"/>
      <c r="F981" s="16" t="str">
        <f aca="false">IF(B981="","",IFERROR(INDEX(Zones!$B$2:$B$15,MATCH(B981,Zones!$A$2:$A$15,0)),"⚠ zone inconnue"))</f>
        <v/>
      </c>
      <c r="G981" s="12"/>
      <c r="H981" s="12"/>
      <c r="I981" s="12"/>
      <c r="J981" s="12"/>
    </row>
    <row r="982" customFormat="false" ht="15" hidden="false" customHeight="false" outlineLevel="0" collapsed="false">
      <c r="A982" s="14" t="str">
        <f aca="false">IF(OR(B982="",C982="",D982="",E982=""),"",UPPER(B982)&amp;TEXT(C982,"00")&amp;"-"&amp;D982&amp;"-"&amp;TEXT(E982,"00"))</f>
        <v/>
      </c>
      <c r="B982" s="12"/>
      <c r="C982" s="12"/>
      <c r="D982" s="12"/>
      <c r="E982" s="12"/>
      <c r="F982" s="16" t="str">
        <f aca="false">IF(B982="","",IFERROR(INDEX(Zones!$B$2:$B$15,MATCH(B982,Zones!$A$2:$A$15,0)),"⚠ zone inconnue"))</f>
        <v/>
      </c>
      <c r="G982" s="12"/>
      <c r="H982" s="12"/>
      <c r="I982" s="12"/>
      <c r="J982" s="12"/>
    </row>
    <row r="983" customFormat="false" ht="15" hidden="false" customHeight="false" outlineLevel="0" collapsed="false">
      <c r="A983" s="14" t="str">
        <f aca="false">IF(OR(B983="",C983="",D983="",E983=""),"",UPPER(B983)&amp;TEXT(C983,"00")&amp;"-"&amp;D983&amp;"-"&amp;TEXT(E983,"00"))</f>
        <v/>
      </c>
      <c r="B983" s="12"/>
      <c r="C983" s="12"/>
      <c r="D983" s="12"/>
      <c r="E983" s="12"/>
      <c r="F983" s="16" t="str">
        <f aca="false">IF(B983="","",IFERROR(INDEX(Zones!$B$2:$B$15,MATCH(B983,Zones!$A$2:$A$15,0)),"⚠ zone inconnue"))</f>
        <v/>
      </c>
      <c r="G983" s="12"/>
      <c r="H983" s="12"/>
      <c r="I983" s="12"/>
      <c r="J983" s="12"/>
    </row>
    <row r="984" customFormat="false" ht="15" hidden="false" customHeight="false" outlineLevel="0" collapsed="false">
      <c r="A984" s="14" t="str">
        <f aca="false">IF(OR(B984="",C984="",D984="",E984=""),"",UPPER(B984)&amp;TEXT(C984,"00")&amp;"-"&amp;D984&amp;"-"&amp;TEXT(E984,"00"))</f>
        <v/>
      </c>
      <c r="B984" s="12"/>
      <c r="C984" s="12"/>
      <c r="D984" s="12"/>
      <c r="E984" s="12"/>
      <c r="F984" s="16" t="str">
        <f aca="false">IF(B984="","",IFERROR(INDEX(Zones!$B$2:$B$15,MATCH(B984,Zones!$A$2:$A$15,0)),"⚠ zone inconnue"))</f>
        <v/>
      </c>
      <c r="G984" s="12"/>
      <c r="H984" s="12"/>
      <c r="I984" s="12"/>
      <c r="J984" s="12"/>
    </row>
    <row r="985" customFormat="false" ht="15" hidden="false" customHeight="false" outlineLevel="0" collapsed="false">
      <c r="A985" s="14" t="str">
        <f aca="false">IF(OR(B985="",C985="",D985="",E985=""),"",UPPER(B985)&amp;TEXT(C985,"00")&amp;"-"&amp;D985&amp;"-"&amp;TEXT(E985,"00"))</f>
        <v/>
      </c>
      <c r="B985" s="12"/>
      <c r="C985" s="12"/>
      <c r="D985" s="12"/>
      <c r="E985" s="12"/>
      <c r="F985" s="16" t="str">
        <f aca="false">IF(B985="","",IFERROR(INDEX(Zones!$B$2:$B$15,MATCH(B985,Zones!$A$2:$A$15,0)),"⚠ zone inconnue"))</f>
        <v/>
      </c>
      <c r="G985" s="12"/>
      <c r="H985" s="12"/>
      <c r="I985" s="12"/>
      <c r="J985" s="12"/>
    </row>
    <row r="986" customFormat="false" ht="15" hidden="false" customHeight="false" outlineLevel="0" collapsed="false">
      <c r="A986" s="14" t="str">
        <f aca="false">IF(OR(B986="",C986="",D986="",E986=""),"",UPPER(B986)&amp;TEXT(C986,"00")&amp;"-"&amp;D986&amp;"-"&amp;TEXT(E986,"00"))</f>
        <v/>
      </c>
      <c r="B986" s="12"/>
      <c r="C986" s="12"/>
      <c r="D986" s="12"/>
      <c r="E986" s="12"/>
      <c r="F986" s="16" t="str">
        <f aca="false">IF(B986="","",IFERROR(INDEX(Zones!$B$2:$B$15,MATCH(B986,Zones!$A$2:$A$15,0)),"⚠ zone inconnue"))</f>
        <v/>
      </c>
      <c r="G986" s="12"/>
      <c r="H986" s="12"/>
      <c r="I986" s="12"/>
      <c r="J986" s="12"/>
    </row>
    <row r="987" customFormat="false" ht="15" hidden="false" customHeight="false" outlineLevel="0" collapsed="false">
      <c r="A987" s="14" t="str">
        <f aca="false">IF(OR(B987="",C987="",D987="",E987=""),"",UPPER(B987)&amp;TEXT(C987,"00")&amp;"-"&amp;D987&amp;"-"&amp;TEXT(E987,"00"))</f>
        <v/>
      </c>
      <c r="B987" s="12"/>
      <c r="C987" s="12"/>
      <c r="D987" s="12"/>
      <c r="E987" s="12"/>
      <c r="F987" s="16" t="str">
        <f aca="false">IF(B987="","",IFERROR(INDEX(Zones!$B$2:$B$15,MATCH(B987,Zones!$A$2:$A$15,0)),"⚠ zone inconnue"))</f>
        <v/>
      </c>
      <c r="G987" s="12"/>
      <c r="H987" s="12"/>
      <c r="I987" s="12"/>
      <c r="J987" s="12"/>
    </row>
    <row r="988" customFormat="false" ht="15" hidden="false" customHeight="false" outlineLevel="0" collapsed="false">
      <c r="A988" s="14" t="str">
        <f aca="false">IF(OR(B988="",C988="",D988="",E988=""),"",UPPER(B988)&amp;TEXT(C988,"00")&amp;"-"&amp;D988&amp;"-"&amp;TEXT(E988,"00"))</f>
        <v/>
      </c>
      <c r="B988" s="12"/>
      <c r="C988" s="12"/>
      <c r="D988" s="12"/>
      <c r="E988" s="12"/>
      <c r="F988" s="16" t="str">
        <f aca="false">IF(B988="","",IFERROR(INDEX(Zones!$B$2:$B$15,MATCH(B988,Zones!$A$2:$A$15,0)),"⚠ zone inconnue"))</f>
        <v/>
      </c>
      <c r="G988" s="12"/>
      <c r="H988" s="12"/>
      <c r="I988" s="12"/>
      <c r="J988" s="12"/>
    </row>
    <row r="989" customFormat="false" ht="15" hidden="false" customHeight="false" outlineLevel="0" collapsed="false">
      <c r="A989" s="14" t="str">
        <f aca="false">IF(OR(B989="",C989="",D989="",E989=""),"",UPPER(B989)&amp;TEXT(C989,"00")&amp;"-"&amp;D989&amp;"-"&amp;TEXT(E989,"00"))</f>
        <v/>
      </c>
      <c r="B989" s="12"/>
      <c r="C989" s="12"/>
      <c r="D989" s="12"/>
      <c r="E989" s="12"/>
      <c r="F989" s="16" t="str">
        <f aca="false">IF(B989="","",IFERROR(INDEX(Zones!$B$2:$B$15,MATCH(B989,Zones!$A$2:$A$15,0)),"⚠ zone inconnue"))</f>
        <v/>
      </c>
      <c r="G989" s="12"/>
      <c r="H989" s="12"/>
      <c r="I989" s="12"/>
      <c r="J989" s="12"/>
    </row>
    <row r="990" customFormat="false" ht="15" hidden="false" customHeight="false" outlineLevel="0" collapsed="false">
      <c r="A990" s="14" t="str">
        <f aca="false">IF(OR(B990="",C990="",D990="",E990=""),"",UPPER(B990)&amp;TEXT(C990,"00")&amp;"-"&amp;D990&amp;"-"&amp;TEXT(E990,"00"))</f>
        <v/>
      </c>
      <c r="B990" s="12"/>
      <c r="C990" s="12"/>
      <c r="D990" s="12"/>
      <c r="E990" s="12"/>
      <c r="F990" s="16" t="str">
        <f aca="false">IF(B990="","",IFERROR(INDEX(Zones!$B$2:$B$15,MATCH(B990,Zones!$A$2:$A$15,0)),"⚠ zone inconnue"))</f>
        <v/>
      </c>
      <c r="G990" s="12"/>
      <c r="H990" s="12"/>
      <c r="I990" s="12"/>
      <c r="J990" s="12"/>
    </row>
    <row r="991" customFormat="false" ht="15" hidden="false" customHeight="false" outlineLevel="0" collapsed="false">
      <c r="A991" s="14" t="str">
        <f aca="false">IF(OR(B991="",C991="",D991="",E991=""),"",UPPER(B991)&amp;TEXT(C991,"00")&amp;"-"&amp;D991&amp;"-"&amp;TEXT(E991,"00"))</f>
        <v/>
      </c>
      <c r="B991" s="12"/>
      <c r="C991" s="12"/>
      <c r="D991" s="12"/>
      <c r="E991" s="12"/>
      <c r="F991" s="16" t="str">
        <f aca="false">IF(B991="","",IFERROR(INDEX(Zones!$B$2:$B$15,MATCH(B991,Zones!$A$2:$A$15,0)),"⚠ zone inconnue"))</f>
        <v/>
      </c>
      <c r="G991" s="12"/>
      <c r="H991" s="12"/>
      <c r="I991" s="12"/>
      <c r="J991" s="12"/>
    </row>
    <row r="992" customFormat="false" ht="15" hidden="false" customHeight="false" outlineLevel="0" collapsed="false">
      <c r="A992" s="14" t="str">
        <f aca="false">IF(OR(B992="",C992="",D992="",E992=""),"",UPPER(B992)&amp;TEXT(C992,"00")&amp;"-"&amp;D992&amp;"-"&amp;TEXT(E992,"00"))</f>
        <v/>
      </c>
      <c r="B992" s="12"/>
      <c r="C992" s="12"/>
      <c r="D992" s="12"/>
      <c r="E992" s="12"/>
      <c r="F992" s="16" t="str">
        <f aca="false">IF(B992="","",IFERROR(INDEX(Zones!$B$2:$B$15,MATCH(B992,Zones!$A$2:$A$15,0)),"⚠ zone inconnue"))</f>
        <v/>
      </c>
      <c r="G992" s="12"/>
      <c r="H992" s="12"/>
      <c r="I992" s="12"/>
      <c r="J992" s="12"/>
    </row>
    <row r="993" customFormat="false" ht="15" hidden="false" customHeight="false" outlineLevel="0" collapsed="false">
      <c r="A993" s="14" t="str">
        <f aca="false">IF(OR(B993="",C993="",D993="",E993=""),"",UPPER(B993)&amp;TEXT(C993,"00")&amp;"-"&amp;D993&amp;"-"&amp;TEXT(E993,"00"))</f>
        <v/>
      </c>
      <c r="B993" s="12"/>
      <c r="C993" s="12"/>
      <c r="D993" s="12"/>
      <c r="E993" s="12"/>
      <c r="F993" s="16" t="str">
        <f aca="false">IF(B993="","",IFERROR(INDEX(Zones!$B$2:$B$15,MATCH(B993,Zones!$A$2:$A$15,0)),"⚠ zone inconnue"))</f>
        <v/>
      </c>
      <c r="G993" s="12"/>
      <c r="H993" s="12"/>
      <c r="I993" s="12"/>
      <c r="J993" s="12"/>
    </row>
    <row r="994" customFormat="false" ht="15" hidden="false" customHeight="false" outlineLevel="0" collapsed="false">
      <c r="A994" s="14" t="str">
        <f aca="false">IF(OR(B994="",C994="",D994="",E994=""),"",UPPER(B994)&amp;TEXT(C994,"00")&amp;"-"&amp;D994&amp;"-"&amp;TEXT(E994,"00"))</f>
        <v/>
      </c>
      <c r="B994" s="12"/>
      <c r="C994" s="12"/>
      <c r="D994" s="12"/>
      <c r="E994" s="12"/>
      <c r="F994" s="16" t="str">
        <f aca="false">IF(B994="","",IFERROR(INDEX(Zones!$B$2:$B$15,MATCH(B994,Zones!$A$2:$A$15,0)),"⚠ zone inconnue"))</f>
        <v/>
      </c>
      <c r="G994" s="12"/>
      <c r="H994" s="12"/>
      <c r="I994" s="12"/>
      <c r="J994" s="12"/>
    </row>
    <row r="995" customFormat="false" ht="15" hidden="false" customHeight="false" outlineLevel="0" collapsed="false">
      <c r="A995" s="14" t="str">
        <f aca="false">IF(OR(B995="",C995="",D995="",E995=""),"",UPPER(B995)&amp;TEXT(C995,"00")&amp;"-"&amp;D995&amp;"-"&amp;TEXT(E995,"00"))</f>
        <v/>
      </c>
      <c r="B995" s="12"/>
      <c r="C995" s="12"/>
      <c r="D995" s="12"/>
      <c r="E995" s="12"/>
      <c r="F995" s="16" t="str">
        <f aca="false">IF(B995="","",IFERROR(INDEX(Zones!$B$2:$B$15,MATCH(B995,Zones!$A$2:$A$15,0)),"⚠ zone inconnue"))</f>
        <v/>
      </c>
      <c r="G995" s="12"/>
      <c r="H995" s="12"/>
      <c r="I995" s="12"/>
      <c r="J995" s="12"/>
    </row>
    <row r="996" customFormat="false" ht="15" hidden="false" customHeight="false" outlineLevel="0" collapsed="false">
      <c r="A996" s="14" t="str">
        <f aca="false">IF(OR(B996="",C996="",D996="",E996=""),"",UPPER(B996)&amp;TEXT(C996,"00")&amp;"-"&amp;D996&amp;"-"&amp;TEXT(E996,"00"))</f>
        <v/>
      </c>
      <c r="B996" s="12"/>
      <c r="C996" s="12"/>
      <c r="D996" s="12"/>
      <c r="E996" s="12"/>
      <c r="F996" s="16" t="str">
        <f aca="false">IF(B996="","",IFERROR(INDEX(Zones!$B$2:$B$15,MATCH(B996,Zones!$A$2:$A$15,0)),"⚠ zone inconnue"))</f>
        <v/>
      </c>
      <c r="G996" s="12"/>
      <c r="H996" s="12"/>
      <c r="I996" s="12"/>
      <c r="J996" s="12"/>
    </row>
    <row r="997" customFormat="false" ht="15" hidden="false" customHeight="false" outlineLevel="0" collapsed="false">
      <c r="A997" s="14" t="str">
        <f aca="false">IF(OR(B997="",C997="",D997="",E997=""),"",UPPER(B997)&amp;TEXT(C997,"00")&amp;"-"&amp;D997&amp;"-"&amp;TEXT(E997,"00"))</f>
        <v/>
      </c>
      <c r="B997" s="12"/>
      <c r="C997" s="12"/>
      <c r="D997" s="12"/>
      <c r="E997" s="12"/>
      <c r="F997" s="16" t="str">
        <f aca="false">IF(B997="","",IFERROR(INDEX(Zones!$B$2:$B$15,MATCH(B997,Zones!$A$2:$A$15,0)),"⚠ zone inconnue"))</f>
        <v/>
      </c>
      <c r="G997" s="12"/>
      <c r="H997" s="12"/>
      <c r="I997" s="12"/>
      <c r="J997" s="12"/>
    </row>
    <row r="998" customFormat="false" ht="15" hidden="false" customHeight="false" outlineLevel="0" collapsed="false">
      <c r="A998" s="14" t="str">
        <f aca="false">IF(OR(B998="",C998="",D998="",E998=""),"",UPPER(B998)&amp;TEXT(C998,"00")&amp;"-"&amp;D998&amp;"-"&amp;TEXT(E998,"00"))</f>
        <v/>
      </c>
      <c r="B998" s="12"/>
      <c r="C998" s="12"/>
      <c r="D998" s="12"/>
      <c r="E998" s="12"/>
      <c r="F998" s="16" t="str">
        <f aca="false">IF(B998="","",IFERROR(INDEX(Zones!$B$2:$B$15,MATCH(B998,Zones!$A$2:$A$15,0)),"⚠ zone inconnue"))</f>
        <v/>
      </c>
      <c r="G998" s="12"/>
      <c r="H998" s="12"/>
      <c r="I998" s="12"/>
      <c r="J998" s="12"/>
    </row>
    <row r="999" customFormat="false" ht="15" hidden="false" customHeight="false" outlineLevel="0" collapsed="false">
      <c r="A999" s="14" t="str">
        <f aca="false">IF(OR(B999="",C999="",D999="",E999=""),"",UPPER(B999)&amp;TEXT(C999,"00")&amp;"-"&amp;D999&amp;"-"&amp;TEXT(E999,"00"))</f>
        <v/>
      </c>
      <c r="B999" s="12"/>
      <c r="C999" s="12"/>
      <c r="D999" s="12"/>
      <c r="E999" s="12"/>
      <c r="F999" s="16" t="str">
        <f aca="false">IF(B999="","",IFERROR(INDEX(Zones!$B$2:$B$15,MATCH(B999,Zones!$A$2:$A$15,0)),"⚠ zone inconnue"))</f>
        <v/>
      </c>
      <c r="G999" s="12"/>
      <c r="H999" s="12"/>
      <c r="I999" s="12"/>
      <c r="J999" s="12"/>
    </row>
    <row r="1000" customFormat="false" ht="15" hidden="false" customHeight="false" outlineLevel="0" collapsed="false">
      <c r="A1000" s="14" t="str">
        <f aca="false">IF(OR(B1000="",C1000="",D1000="",E1000=""),"",UPPER(B1000)&amp;TEXT(C1000,"00")&amp;"-"&amp;D1000&amp;"-"&amp;TEXT(E1000,"00"))</f>
        <v/>
      </c>
      <c r="B1000" s="12"/>
      <c r="C1000" s="12"/>
      <c r="D1000" s="12"/>
      <c r="E1000" s="12"/>
      <c r="F1000" s="16" t="str">
        <f aca="false">IF(B1000="","",IFERROR(INDEX(Zones!$B$2:$B$15,MATCH(B1000,Zones!$A$2:$A$15,0)),"⚠ zone inconnue"))</f>
        <v/>
      </c>
      <c r="G1000" s="12"/>
      <c r="H1000" s="12"/>
      <c r="I1000" s="12"/>
      <c r="J1000" s="12"/>
    </row>
    <row r="1001" customFormat="false" ht="15" hidden="false" customHeight="false" outlineLevel="0" collapsed="false">
      <c r="A1001" s="14" t="str">
        <f aca="false">IF(OR(B1001="",C1001="",D1001="",E1001=""),"",UPPER(B1001)&amp;TEXT(C1001,"00")&amp;"-"&amp;D1001&amp;"-"&amp;TEXT(E1001,"00"))</f>
        <v/>
      </c>
      <c r="B1001" s="12"/>
      <c r="C1001" s="12"/>
      <c r="D1001" s="12"/>
      <c r="E1001" s="12"/>
      <c r="F1001" s="16" t="str">
        <f aca="false">IF(B1001="","",IFERROR(INDEX(Zones!$B$2:$B$15,MATCH(B1001,Zones!$A$2:$A$15,0)),"⚠ zone inconnue"))</f>
        <v/>
      </c>
      <c r="G1001" s="12"/>
      <c r="H1001" s="12"/>
      <c r="I1001" s="12"/>
      <c r="J1001" s="12"/>
    </row>
  </sheetData>
  <autoFilter ref="A1:J1001"/>
  <conditionalFormatting sqref="A2:A1001">
    <cfRule type="expression" priority="2" aboveAverage="0" equalAverage="0" bottom="0" percent="0" rank="0" text="" dxfId="7">
      <formula>AND(A2&lt;&gt;"",COUNTIF($A$2:$A$1001,A2)&gt;1)</formula>
    </cfRule>
  </conditionalFormatting>
  <dataValidations count="5">
    <dataValidation allowBlank="true" error="Choisir une zone de l'onglet Zones" errorStyle="stop" errorTitle="Zone" operator="between" showDropDown="false" showErrorMessage="false" showInputMessage="false" sqref="B2:B1001" type="list">
      <formula1>Zones!$A$2:$A$15</formula1>
      <formula2>0</formula2>
    </dataValidation>
    <dataValidation allowBlank="true" error="Nombre entier de 1 à 99" errorStyle="stop" errorTitle="Étagère" operator="between" showDropDown="false" showErrorMessage="false" showInputMessage="false" sqref="C2:C1001" type="whole">
      <formula1>1</formula1>
      <formula2>99</formula2>
    </dataValidation>
    <dataValidation allowBlank="true" error="Nombre entier de 1 à 9 (1 = niveau du bas)" errorStyle="stop" errorTitle="Niveau" operator="between" showDropDown="false" showErrorMessage="false" showInputMessage="false" sqref="D2:D1001" type="whole">
      <formula1>1</formula1>
      <formula2>9</formula2>
    </dataValidation>
    <dataValidation allowBlank="true" error="Nombre entier de 1 à 99" errorStyle="stop" errorTitle="Position" operator="between" showDropDown="false" showErrorMessage="false" showInputMessage="false" sqref="E2:E1001" type="whole">
      <formula1>1</formula1>
      <formula2>99</formula2>
    </dataValidation>
    <dataValidation allowBlank="true" errorStyle="stop" operator="between" showDropDown="false" showErrorMessage="false" showInputMessage="false" sqref="I2:I1001" type="list">
      <formula1>"Actif,Bloqué,Supprimé"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2" min="12" style="0" width="7"/>
  </cols>
  <sheetData>
    <row r="1" customFormat="false" ht="31.5" hidden="false" customHeight="true" outlineLevel="0" collapsed="false">
      <c r="A1" s="10" t="s">
        <v>108</v>
      </c>
      <c r="B1" s="10" t="s">
        <v>109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0" t="s">
        <v>115</v>
      </c>
      <c r="I1" s="10" t="s">
        <v>116</v>
      </c>
      <c r="J1" s="10" t="s">
        <v>117</v>
      </c>
      <c r="K1" s="10" t="s">
        <v>118</v>
      </c>
      <c r="L1" s="10" t="s">
        <v>119</v>
      </c>
    </row>
    <row r="2" customFormat="false" ht="15" hidden="false" customHeight="false" outlineLevel="0" collapsed="false">
      <c r="A2" s="15" t="s">
        <v>120</v>
      </c>
      <c r="B2" s="15" t="s">
        <v>121</v>
      </c>
      <c r="C2" s="15" t="s">
        <v>122</v>
      </c>
      <c r="D2" s="15" t="s">
        <v>123</v>
      </c>
      <c r="E2" s="15" t="s">
        <v>124</v>
      </c>
      <c r="F2" s="17" t="str">
        <f aca="false">IF(B2="","",TRIM(B2&amp;" "&amp;C2&amp;" "&amp;D2))</f>
        <v>Paracétamol 500 mg comprimé</v>
      </c>
      <c r="G2" s="15" t="s">
        <v>125</v>
      </c>
      <c r="H2" s="15" t="s">
        <v>52</v>
      </c>
      <c r="I2" s="15" t="s">
        <v>126</v>
      </c>
      <c r="J2" s="18" t="s">
        <v>52</v>
      </c>
      <c r="K2" s="12"/>
      <c r="L2" s="15" t="s">
        <v>80</v>
      </c>
    </row>
    <row r="3" customFormat="false" ht="15" hidden="false" customHeight="false" outlineLevel="0" collapsed="false">
      <c r="A3" s="15" t="s">
        <v>127</v>
      </c>
      <c r="B3" s="15" t="s">
        <v>128</v>
      </c>
      <c r="C3" s="15" t="s">
        <v>122</v>
      </c>
      <c r="D3" s="15" t="s">
        <v>129</v>
      </c>
      <c r="E3" s="15" t="s">
        <v>124</v>
      </c>
      <c r="F3" s="17" t="str">
        <f aca="false">IF(B3="","",TRIM(B3&amp;" "&amp;C3&amp;" "&amp;D3))</f>
        <v>Amoxicilline 500 mg gélule</v>
      </c>
      <c r="G3" s="15" t="s">
        <v>130</v>
      </c>
      <c r="H3" s="15" t="s">
        <v>52</v>
      </c>
      <c r="I3" s="15" t="s">
        <v>131</v>
      </c>
      <c r="J3" s="18" t="s">
        <v>52</v>
      </c>
      <c r="K3" s="12"/>
      <c r="L3" s="15" t="s">
        <v>132</v>
      </c>
    </row>
    <row r="4" customFormat="false" ht="15" hidden="false" customHeight="false" outlineLevel="0" collapsed="false">
      <c r="A4" s="15" t="s">
        <v>133</v>
      </c>
      <c r="B4" s="15" t="s">
        <v>134</v>
      </c>
      <c r="C4" s="15" t="s">
        <v>135</v>
      </c>
      <c r="D4" s="15" t="s">
        <v>123</v>
      </c>
      <c r="E4" s="15" t="s">
        <v>136</v>
      </c>
      <c r="F4" s="17" t="str">
        <f aca="false">IF(B4="","",TRIM(B4&amp;" "&amp;C4&amp;" "&amp;D4))</f>
        <v>Artéméther + Luméfantrine 20/120 mg comprimé</v>
      </c>
      <c r="G4" s="15" t="s">
        <v>137</v>
      </c>
      <c r="H4" s="15" t="s">
        <v>52</v>
      </c>
      <c r="I4" s="15" t="s">
        <v>138</v>
      </c>
      <c r="J4" s="18" t="s">
        <v>52</v>
      </c>
      <c r="K4" s="12"/>
      <c r="L4" s="15" t="s">
        <v>132</v>
      </c>
    </row>
    <row r="5" customFormat="false" ht="15" hidden="false" customHeight="false" outlineLevel="0" collapsed="false">
      <c r="A5" s="15" t="s">
        <v>139</v>
      </c>
      <c r="B5" s="15" t="s">
        <v>140</v>
      </c>
      <c r="C5" s="15" t="s">
        <v>141</v>
      </c>
      <c r="D5" s="15" t="s">
        <v>123</v>
      </c>
      <c r="E5" s="15" t="s">
        <v>124</v>
      </c>
      <c r="F5" s="17" t="str">
        <f aca="false">IF(B5="","",TRIM(B5&amp;" "&amp;C5&amp;" "&amp;D5))</f>
        <v>Fer + Acide folique 200/0,4 mg comprimé</v>
      </c>
      <c r="G5" s="15" t="s">
        <v>142</v>
      </c>
      <c r="H5" s="15" t="s">
        <v>52</v>
      </c>
      <c r="I5" s="15" t="s">
        <v>143</v>
      </c>
      <c r="J5" s="18" t="s">
        <v>144</v>
      </c>
      <c r="K5" s="12"/>
      <c r="L5" s="15" t="s">
        <v>80</v>
      </c>
    </row>
    <row r="6" customFormat="false" ht="15" hidden="false" customHeight="false" outlineLevel="0" collapsed="false">
      <c r="A6" s="15" t="s">
        <v>145</v>
      </c>
      <c r="B6" s="15" t="s">
        <v>146</v>
      </c>
      <c r="C6" s="15" t="s">
        <v>147</v>
      </c>
      <c r="D6" s="15" t="s">
        <v>148</v>
      </c>
      <c r="E6" s="15" t="s">
        <v>149</v>
      </c>
      <c r="F6" s="17" t="str">
        <f aca="false">IF(B6="","",TRIM(B6&amp;" "&amp;C6&amp;" "&amp;D6))</f>
        <v>Gants d'examen taille M non stériles</v>
      </c>
      <c r="G6" s="15" t="s">
        <v>150</v>
      </c>
      <c r="H6" s="15" t="s">
        <v>52</v>
      </c>
      <c r="I6" s="15" t="s">
        <v>151</v>
      </c>
      <c r="J6" s="18" t="s">
        <v>152</v>
      </c>
      <c r="K6" s="12"/>
      <c r="L6" s="15" t="s">
        <v>80</v>
      </c>
    </row>
    <row r="7" customFormat="false" ht="15" hidden="false" customHeight="false" outlineLevel="0" collapsed="false">
      <c r="A7" s="15" t="s">
        <v>153</v>
      </c>
      <c r="B7" s="15" t="s">
        <v>154</v>
      </c>
      <c r="C7" s="15" t="s">
        <v>155</v>
      </c>
      <c r="D7" s="15" t="s">
        <v>156</v>
      </c>
      <c r="E7" s="15" t="s">
        <v>157</v>
      </c>
      <c r="F7" s="17" t="str">
        <f aca="false">IF(B7="","",TRIM(B7&amp;" "&amp;C7&amp;" "&amp;D7))</f>
        <v>Sels de réhydratation orale 20,5 g sachet</v>
      </c>
      <c r="G7" s="15" t="s">
        <v>158</v>
      </c>
      <c r="H7" s="15" t="s">
        <v>68</v>
      </c>
      <c r="I7" s="15" t="s">
        <v>159</v>
      </c>
      <c r="J7" s="18" t="s">
        <v>144</v>
      </c>
      <c r="K7" s="12"/>
      <c r="L7" s="15" t="s">
        <v>132</v>
      </c>
    </row>
    <row r="8" customFormat="false" ht="15" hidden="false" customHeight="false" outlineLevel="0" collapsed="false">
      <c r="A8" s="15" t="s">
        <v>160</v>
      </c>
      <c r="B8" s="15" t="s">
        <v>161</v>
      </c>
      <c r="C8" s="15" t="s">
        <v>162</v>
      </c>
      <c r="D8" s="15" t="s">
        <v>163</v>
      </c>
      <c r="E8" s="15" t="s">
        <v>164</v>
      </c>
      <c r="F8" s="17" t="str">
        <f aca="false">IF(B8="","",TRIM(B8&amp;" "&amp;C8&amp;" "&amp;D8))</f>
        <v>Chlorure de sodium 0,9 % 500 ml perfusion</v>
      </c>
      <c r="G8" s="15" t="s">
        <v>165</v>
      </c>
      <c r="H8" s="15" t="s">
        <v>68</v>
      </c>
      <c r="I8" s="15" t="s">
        <v>166</v>
      </c>
      <c r="J8" s="18" t="s">
        <v>144</v>
      </c>
      <c r="K8" s="12"/>
      <c r="L8" s="15" t="s">
        <v>132</v>
      </c>
    </row>
    <row r="9" customFormat="false" ht="15" hidden="false" customHeight="false" outlineLevel="0" collapsed="false">
      <c r="A9" s="15" t="s">
        <v>167</v>
      </c>
      <c r="B9" s="15" t="s">
        <v>168</v>
      </c>
      <c r="C9" s="15" t="s">
        <v>169</v>
      </c>
      <c r="D9" s="15" t="s">
        <v>170</v>
      </c>
      <c r="E9" s="15" t="s">
        <v>171</v>
      </c>
      <c r="F9" s="17" t="str">
        <f aca="false">IF(B9="","",TRIM(B9&amp;" "&amp;C9&amp;" "&amp;D9))</f>
        <v>Ocytocine 10 UI/ml injectable</v>
      </c>
      <c r="G9" s="15" t="s">
        <v>172</v>
      </c>
      <c r="H9" s="15" t="s">
        <v>56</v>
      </c>
      <c r="I9" s="15" t="s">
        <v>173</v>
      </c>
      <c r="J9" s="18" t="s">
        <v>144</v>
      </c>
      <c r="K9" s="12"/>
      <c r="L9" s="15" t="s">
        <v>132</v>
      </c>
    </row>
    <row r="10" customFormat="false" ht="15" hidden="false" customHeight="false" outlineLevel="0" collapsed="false">
      <c r="A10" s="15" t="s">
        <v>174</v>
      </c>
      <c r="B10" s="15" t="s">
        <v>175</v>
      </c>
      <c r="C10" s="15" t="s">
        <v>176</v>
      </c>
      <c r="D10" s="15" t="s">
        <v>170</v>
      </c>
      <c r="E10" s="15" t="s">
        <v>171</v>
      </c>
      <c r="F10" s="17" t="str">
        <f aca="false">IF(B10="","",TRIM(B10&amp;" "&amp;C10&amp;" "&amp;D10))</f>
        <v>Diazépam 10 mg/2 ml injectable</v>
      </c>
      <c r="G10" s="15" t="s">
        <v>177</v>
      </c>
      <c r="H10" s="15" t="s">
        <v>60</v>
      </c>
      <c r="I10" s="15" t="s">
        <v>178</v>
      </c>
      <c r="J10" s="18" t="s">
        <v>152</v>
      </c>
      <c r="K10" s="12"/>
      <c r="L10" s="15" t="s">
        <v>132</v>
      </c>
    </row>
    <row r="11" customFormat="false" ht="15" hidden="false" customHeight="false" outlineLevel="0" collapsed="false">
      <c r="A11" s="15" t="s">
        <v>179</v>
      </c>
      <c r="B11" s="15" t="s">
        <v>180</v>
      </c>
      <c r="C11" s="15" t="s">
        <v>181</v>
      </c>
      <c r="D11" s="15" t="s">
        <v>182</v>
      </c>
      <c r="E11" s="15" t="s">
        <v>183</v>
      </c>
      <c r="F11" s="17" t="str">
        <f aca="false">IF(B11="","",TRIM(B11&amp;" "&amp;C11&amp;" "&amp;D11))</f>
        <v>Alcool éthylique 70 % solution</v>
      </c>
      <c r="G11" s="15" t="s">
        <v>184</v>
      </c>
      <c r="H11" s="15" t="s">
        <v>64</v>
      </c>
      <c r="I11" s="15" t="s">
        <v>185</v>
      </c>
      <c r="J11" s="18" t="s">
        <v>152</v>
      </c>
      <c r="K11" s="12"/>
      <c r="L11" s="15" t="s">
        <v>80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7" t="str">
        <f aca="false">IF(B12="","",TRIM(B12&amp;" "&amp;C12&amp;" "&amp;D12))</f>
        <v/>
      </c>
      <c r="G12" s="12"/>
      <c r="H12" s="12"/>
      <c r="I12" s="12"/>
      <c r="J12" s="17" t="str">
        <f aca="false">IF(I12="","",IF(COUNTIF(Emplacements!$A$2:$A$1001,I12)=0,"⚠ emplacement inconnu",IF(AND(H12&lt;&gt;"",LEFT(I12,1)&lt;&gt;H12),"⚠ mauvaise zone","OK")))</f>
        <v/>
      </c>
      <c r="K12" s="12"/>
      <c r="L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7" t="str">
        <f aca="false">IF(B13="","",TRIM(B13&amp;" "&amp;C13&amp;" "&amp;D13))</f>
        <v/>
      </c>
      <c r="G13" s="12"/>
      <c r="H13" s="12"/>
      <c r="I13" s="12"/>
      <c r="J13" s="17" t="str">
        <f aca="false">IF(I13="","",IF(COUNTIF(Emplacements!$A$2:$A$1001,I13)=0,"⚠ emplacement inconnu",IF(AND(H13&lt;&gt;"",LEFT(I13,1)&lt;&gt;H13),"⚠ mauvaise zone","OK")))</f>
        <v/>
      </c>
      <c r="K13" s="12"/>
      <c r="L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7" t="str">
        <f aca="false">IF(B14="","",TRIM(B14&amp;" "&amp;C14&amp;" "&amp;D14))</f>
        <v/>
      </c>
      <c r="G14" s="12"/>
      <c r="H14" s="12"/>
      <c r="I14" s="12"/>
      <c r="J14" s="17" t="str">
        <f aca="false">IF(I14="","",IF(COUNTIF(Emplacements!$A$2:$A$1001,I14)=0,"⚠ emplacement inconnu",IF(AND(H14&lt;&gt;"",LEFT(I14,1)&lt;&gt;H14),"⚠ mauvaise zone","OK")))</f>
        <v/>
      </c>
      <c r="K14" s="12"/>
      <c r="L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7" t="str">
        <f aca="false">IF(B15="","",TRIM(B15&amp;" "&amp;C15&amp;" "&amp;D15))</f>
        <v/>
      </c>
      <c r="G15" s="12"/>
      <c r="H15" s="12"/>
      <c r="I15" s="12"/>
      <c r="J15" s="17" t="str">
        <f aca="false">IF(I15="","",IF(COUNTIF(Emplacements!$A$2:$A$1001,I15)=0,"⚠ emplacement inconnu",IF(AND(H15&lt;&gt;"",LEFT(I15,1)&lt;&gt;H15),"⚠ mauvaise zone","OK")))</f>
        <v/>
      </c>
      <c r="K15" s="12"/>
      <c r="L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7" t="str">
        <f aca="false">IF(B16="","",TRIM(B16&amp;" "&amp;C16&amp;" "&amp;D16))</f>
        <v/>
      </c>
      <c r="G16" s="12"/>
      <c r="H16" s="12"/>
      <c r="I16" s="12"/>
      <c r="J16" s="17" t="str">
        <f aca="false">IF(I16="","",IF(COUNTIF(Emplacements!$A$2:$A$1001,I16)=0,"⚠ emplacement inconnu",IF(AND(H16&lt;&gt;"",LEFT(I16,1)&lt;&gt;H16),"⚠ mauvaise zone","OK")))</f>
        <v/>
      </c>
      <c r="K16" s="12"/>
      <c r="L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7" t="str">
        <f aca="false">IF(B17="","",TRIM(B17&amp;" "&amp;C17&amp;" "&amp;D17))</f>
        <v/>
      </c>
      <c r="G17" s="12"/>
      <c r="H17" s="12"/>
      <c r="I17" s="12"/>
      <c r="J17" s="17" t="str">
        <f aca="false">IF(I17="","",IF(COUNTIF(Emplacements!$A$2:$A$1001,I17)=0,"⚠ emplacement inconnu",IF(AND(H17&lt;&gt;"",LEFT(I17,1)&lt;&gt;H17),"⚠ mauvaise zone","OK")))</f>
        <v/>
      </c>
      <c r="K17" s="12"/>
      <c r="L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7" t="str">
        <f aca="false">IF(B18="","",TRIM(B18&amp;" "&amp;C18&amp;" "&amp;D18))</f>
        <v/>
      </c>
      <c r="G18" s="12"/>
      <c r="H18" s="12"/>
      <c r="I18" s="12"/>
      <c r="J18" s="17" t="str">
        <f aca="false">IF(I18="","",IF(COUNTIF(Emplacements!$A$2:$A$1001,I18)=0,"⚠ emplacement inconnu",IF(AND(H18&lt;&gt;"",LEFT(I18,1)&lt;&gt;H18),"⚠ mauvaise zone","OK")))</f>
        <v/>
      </c>
      <c r="K18" s="12"/>
      <c r="L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7" t="str">
        <f aca="false">IF(B19="","",TRIM(B19&amp;" "&amp;C19&amp;" "&amp;D19))</f>
        <v/>
      </c>
      <c r="G19" s="12"/>
      <c r="H19" s="12"/>
      <c r="I19" s="12"/>
      <c r="J19" s="17" t="str">
        <f aca="false">IF(I19="","",IF(COUNTIF(Emplacements!$A$2:$A$1001,I19)=0,"⚠ emplacement inconnu",IF(AND(H19&lt;&gt;"",LEFT(I19,1)&lt;&gt;H19),"⚠ mauvaise zone","OK")))</f>
        <v/>
      </c>
      <c r="K19" s="12"/>
      <c r="L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7" t="str">
        <f aca="false">IF(B20="","",TRIM(B20&amp;" "&amp;C20&amp;" "&amp;D20))</f>
        <v/>
      </c>
      <c r="G20" s="12"/>
      <c r="H20" s="12"/>
      <c r="I20" s="12"/>
      <c r="J20" s="17" t="str">
        <f aca="false">IF(I20="","",IF(COUNTIF(Emplacements!$A$2:$A$1001,I20)=0,"⚠ emplacement inconnu",IF(AND(H20&lt;&gt;"",LEFT(I20,1)&lt;&gt;H20),"⚠ mauvaise zone","OK")))</f>
        <v/>
      </c>
      <c r="K20" s="12"/>
      <c r="L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7" t="str">
        <f aca="false">IF(B21="","",TRIM(B21&amp;" "&amp;C21&amp;" "&amp;D21))</f>
        <v/>
      </c>
      <c r="G21" s="12"/>
      <c r="H21" s="12"/>
      <c r="I21" s="12"/>
      <c r="J21" s="17" t="str">
        <f aca="false">IF(I21="","",IF(COUNTIF(Emplacements!$A$2:$A$1001,I21)=0,"⚠ emplacement inconnu",IF(AND(H21&lt;&gt;"",LEFT(I21,1)&lt;&gt;H21),"⚠ mauvaise zone","OK")))</f>
        <v/>
      </c>
      <c r="K21" s="12"/>
      <c r="L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7" t="str">
        <f aca="false">IF(B22="","",TRIM(B22&amp;" "&amp;C22&amp;" "&amp;D22))</f>
        <v/>
      </c>
      <c r="G22" s="12"/>
      <c r="H22" s="12"/>
      <c r="I22" s="12"/>
      <c r="J22" s="17" t="str">
        <f aca="false">IF(I22="","",IF(COUNTIF(Emplacements!$A$2:$A$1001,I22)=0,"⚠ emplacement inconnu",IF(AND(H22&lt;&gt;"",LEFT(I22,1)&lt;&gt;H22),"⚠ mauvaise zone","OK")))</f>
        <v/>
      </c>
      <c r="K22" s="12"/>
      <c r="L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7" t="str">
        <f aca="false">IF(B23="","",TRIM(B23&amp;" "&amp;C23&amp;" "&amp;D23))</f>
        <v/>
      </c>
      <c r="G23" s="12"/>
      <c r="H23" s="12"/>
      <c r="I23" s="12"/>
      <c r="J23" s="17" t="str">
        <f aca="false">IF(I23="","",IF(COUNTIF(Emplacements!$A$2:$A$1001,I23)=0,"⚠ emplacement inconnu",IF(AND(H23&lt;&gt;"",LEFT(I23,1)&lt;&gt;H23),"⚠ mauvaise zone","OK")))</f>
        <v/>
      </c>
      <c r="K23" s="12"/>
      <c r="L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7" t="str">
        <f aca="false">IF(B24="","",TRIM(B24&amp;" "&amp;C24&amp;" "&amp;D24))</f>
        <v/>
      </c>
      <c r="G24" s="12"/>
      <c r="H24" s="12"/>
      <c r="I24" s="12"/>
      <c r="J24" s="17" t="str">
        <f aca="false">IF(I24="","",IF(COUNTIF(Emplacements!$A$2:$A$1001,I24)=0,"⚠ emplacement inconnu",IF(AND(H24&lt;&gt;"",LEFT(I24,1)&lt;&gt;H24),"⚠ mauvaise zone","OK")))</f>
        <v/>
      </c>
      <c r="K24" s="12"/>
      <c r="L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7" t="str">
        <f aca="false">IF(B25="","",TRIM(B25&amp;" "&amp;C25&amp;" "&amp;D25))</f>
        <v/>
      </c>
      <c r="G25" s="12"/>
      <c r="H25" s="12"/>
      <c r="I25" s="12"/>
      <c r="J25" s="17" t="str">
        <f aca="false">IF(I25="","",IF(COUNTIF(Emplacements!$A$2:$A$1001,I25)=0,"⚠ emplacement inconnu",IF(AND(H25&lt;&gt;"",LEFT(I25,1)&lt;&gt;H25),"⚠ mauvaise zone","OK")))</f>
        <v/>
      </c>
      <c r="K25" s="12"/>
      <c r="L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7" t="str">
        <f aca="false">IF(B26="","",TRIM(B26&amp;" "&amp;C26&amp;" "&amp;D26))</f>
        <v/>
      </c>
      <c r="G26" s="12"/>
      <c r="H26" s="12"/>
      <c r="I26" s="12"/>
      <c r="J26" s="17" t="str">
        <f aca="false">IF(I26="","",IF(COUNTIF(Emplacements!$A$2:$A$1001,I26)=0,"⚠ emplacement inconnu",IF(AND(H26&lt;&gt;"",LEFT(I26,1)&lt;&gt;H26),"⚠ mauvaise zone","OK")))</f>
        <v/>
      </c>
      <c r="K26" s="12"/>
      <c r="L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7" t="str">
        <f aca="false">IF(B27="","",TRIM(B27&amp;" "&amp;C27&amp;" "&amp;D27))</f>
        <v/>
      </c>
      <c r="G27" s="12"/>
      <c r="H27" s="12"/>
      <c r="I27" s="12"/>
      <c r="J27" s="17" t="str">
        <f aca="false">IF(I27="","",IF(COUNTIF(Emplacements!$A$2:$A$1001,I27)=0,"⚠ emplacement inconnu",IF(AND(H27&lt;&gt;"",LEFT(I27,1)&lt;&gt;H27),"⚠ mauvaise zone","OK")))</f>
        <v/>
      </c>
      <c r="K27" s="12"/>
      <c r="L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7" t="str">
        <f aca="false">IF(B28="","",TRIM(B28&amp;" "&amp;C28&amp;" "&amp;D28))</f>
        <v/>
      </c>
      <c r="G28" s="12"/>
      <c r="H28" s="12"/>
      <c r="I28" s="12"/>
      <c r="J28" s="17" t="str">
        <f aca="false">IF(I28="","",IF(COUNTIF(Emplacements!$A$2:$A$1001,I28)=0,"⚠ emplacement inconnu",IF(AND(H28&lt;&gt;"",LEFT(I28,1)&lt;&gt;H28),"⚠ mauvaise zone","OK")))</f>
        <v/>
      </c>
      <c r="K28" s="12"/>
      <c r="L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7" t="str">
        <f aca="false">IF(B29="","",TRIM(B29&amp;" "&amp;C29&amp;" "&amp;D29))</f>
        <v/>
      </c>
      <c r="G29" s="12"/>
      <c r="H29" s="12"/>
      <c r="I29" s="12"/>
      <c r="J29" s="17" t="str">
        <f aca="false">IF(I29="","",IF(COUNTIF(Emplacements!$A$2:$A$1001,I29)=0,"⚠ emplacement inconnu",IF(AND(H29&lt;&gt;"",LEFT(I29,1)&lt;&gt;H29),"⚠ mauvaise zone","OK")))</f>
        <v/>
      </c>
      <c r="K29" s="12"/>
      <c r="L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7" t="str">
        <f aca="false">IF(B30="","",TRIM(B30&amp;" "&amp;C30&amp;" "&amp;D30))</f>
        <v/>
      </c>
      <c r="G30" s="12"/>
      <c r="H30" s="12"/>
      <c r="I30" s="12"/>
      <c r="J30" s="17" t="str">
        <f aca="false">IF(I30="","",IF(COUNTIF(Emplacements!$A$2:$A$1001,I30)=0,"⚠ emplacement inconnu",IF(AND(H30&lt;&gt;"",LEFT(I30,1)&lt;&gt;H30),"⚠ mauvaise zone","OK")))</f>
        <v/>
      </c>
      <c r="K30" s="12"/>
      <c r="L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7" t="str">
        <f aca="false">IF(B31="","",TRIM(B31&amp;" "&amp;C31&amp;" "&amp;D31))</f>
        <v/>
      </c>
      <c r="G31" s="12"/>
      <c r="H31" s="12"/>
      <c r="I31" s="12"/>
      <c r="J31" s="17" t="str">
        <f aca="false">IF(I31="","",IF(COUNTIF(Emplacements!$A$2:$A$1001,I31)=0,"⚠ emplacement inconnu",IF(AND(H31&lt;&gt;"",LEFT(I31,1)&lt;&gt;H31),"⚠ mauvaise zone","OK")))</f>
        <v/>
      </c>
      <c r="K31" s="12"/>
      <c r="L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7" t="str">
        <f aca="false">IF(B32="","",TRIM(B32&amp;" "&amp;C32&amp;" "&amp;D32))</f>
        <v/>
      </c>
      <c r="G32" s="12"/>
      <c r="H32" s="12"/>
      <c r="I32" s="12"/>
      <c r="J32" s="17" t="str">
        <f aca="false">IF(I32="","",IF(COUNTIF(Emplacements!$A$2:$A$1001,I32)=0,"⚠ emplacement inconnu",IF(AND(H32&lt;&gt;"",LEFT(I32,1)&lt;&gt;H32),"⚠ mauvaise zone","OK")))</f>
        <v/>
      </c>
      <c r="K32" s="12"/>
      <c r="L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7" t="str">
        <f aca="false">IF(B33="","",TRIM(B33&amp;" "&amp;C33&amp;" "&amp;D33))</f>
        <v/>
      </c>
      <c r="G33" s="12"/>
      <c r="H33" s="12"/>
      <c r="I33" s="12"/>
      <c r="J33" s="17" t="str">
        <f aca="false">IF(I33="","",IF(COUNTIF(Emplacements!$A$2:$A$1001,I33)=0,"⚠ emplacement inconnu",IF(AND(H33&lt;&gt;"",LEFT(I33,1)&lt;&gt;H33),"⚠ mauvaise zone","OK")))</f>
        <v/>
      </c>
      <c r="K33" s="12"/>
      <c r="L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7" t="str">
        <f aca="false">IF(B34="","",TRIM(B34&amp;" "&amp;C34&amp;" "&amp;D34))</f>
        <v/>
      </c>
      <c r="G34" s="12"/>
      <c r="H34" s="12"/>
      <c r="I34" s="12"/>
      <c r="J34" s="17" t="str">
        <f aca="false">IF(I34="","",IF(COUNTIF(Emplacements!$A$2:$A$1001,I34)=0,"⚠ emplacement inconnu",IF(AND(H34&lt;&gt;"",LEFT(I34,1)&lt;&gt;H34),"⚠ mauvaise zone","OK")))</f>
        <v/>
      </c>
      <c r="K34" s="12"/>
      <c r="L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7" t="str">
        <f aca="false">IF(B35="","",TRIM(B35&amp;" "&amp;C35&amp;" "&amp;D35))</f>
        <v/>
      </c>
      <c r="G35" s="12"/>
      <c r="H35" s="12"/>
      <c r="I35" s="12"/>
      <c r="J35" s="17" t="str">
        <f aca="false">IF(I35="","",IF(COUNTIF(Emplacements!$A$2:$A$1001,I35)=0,"⚠ emplacement inconnu",IF(AND(H35&lt;&gt;"",LEFT(I35,1)&lt;&gt;H35),"⚠ mauvaise zone","OK")))</f>
        <v/>
      </c>
      <c r="K35" s="12"/>
      <c r="L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7" t="str">
        <f aca="false">IF(B36="","",TRIM(B36&amp;" "&amp;C36&amp;" "&amp;D36))</f>
        <v/>
      </c>
      <c r="G36" s="12"/>
      <c r="H36" s="12"/>
      <c r="I36" s="12"/>
      <c r="J36" s="17" t="str">
        <f aca="false">IF(I36="","",IF(COUNTIF(Emplacements!$A$2:$A$1001,I36)=0,"⚠ emplacement inconnu",IF(AND(H36&lt;&gt;"",LEFT(I36,1)&lt;&gt;H36),"⚠ mauvaise zone","OK")))</f>
        <v/>
      </c>
      <c r="K36" s="12"/>
      <c r="L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7" t="str">
        <f aca="false">IF(B37="","",TRIM(B37&amp;" "&amp;C37&amp;" "&amp;D37))</f>
        <v/>
      </c>
      <c r="G37" s="12"/>
      <c r="H37" s="12"/>
      <c r="I37" s="12"/>
      <c r="J37" s="17" t="str">
        <f aca="false">IF(I37="","",IF(COUNTIF(Emplacements!$A$2:$A$1001,I37)=0,"⚠ emplacement inconnu",IF(AND(H37&lt;&gt;"",LEFT(I37,1)&lt;&gt;H37),"⚠ mauvaise zone","OK")))</f>
        <v/>
      </c>
      <c r="K37" s="12"/>
      <c r="L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7" t="str">
        <f aca="false">IF(B38="","",TRIM(B38&amp;" "&amp;C38&amp;" "&amp;D38))</f>
        <v/>
      </c>
      <c r="G38" s="12"/>
      <c r="H38" s="12"/>
      <c r="I38" s="12"/>
      <c r="J38" s="17" t="str">
        <f aca="false">IF(I38="","",IF(COUNTIF(Emplacements!$A$2:$A$1001,I38)=0,"⚠ emplacement inconnu",IF(AND(H38&lt;&gt;"",LEFT(I38,1)&lt;&gt;H38),"⚠ mauvaise zone","OK")))</f>
        <v/>
      </c>
      <c r="K38" s="12"/>
      <c r="L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7" t="str">
        <f aca="false">IF(B39="","",TRIM(B39&amp;" "&amp;C39&amp;" "&amp;D39))</f>
        <v/>
      </c>
      <c r="G39" s="12"/>
      <c r="H39" s="12"/>
      <c r="I39" s="12"/>
      <c r="J39" s="17" t="str">
        <f aca="false">IF(I39="","",IF(COUNTIF(Emplacements!$A$2:$A$1001,I39)=0,"⚠ emplacement inconnu",IF(AND(H39&lt;&gt;"",LEFT(I39,1)&lt;&gt;H39),"⚠ mauvaise zone","OK")))</f>
        <v/>
      </c>
      <c r="K39" s="12"/>
      <c r="L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7" t="str">
        <f aca="false">IF(B40="","",TRIM(B40&amp;" "&amp;C40&amp;" "&amp;D40))</f>
        <v/>
      </c>
      <c r="G40" s="12"/>
      <c r="H40" s="12"/>
      <c r="I40" s="12"/>
      <c r="J40" s="17" t="str">
        <f aca="false">IF(I40="","",IF(COUNTIF(Emplacements!$A$2:$A$1001,I40)=0,"⚠ emplacement inconnu",IF(AND(H40&lt;&gt;"",LEFT(I40,1)&lt;&gt;H40),"⚠ mauvaise zone","OK")))</f>
        <v/>
      </c>
      <c r="K40" s="12"/>
      <c r="L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7" t="str">
        <f aca="false">IF(B41="","",TRIM(B41&amp;" "&amp;C41&amp;" "&amp;D41))</f>
        <v/>
      </c>
      <c r="G41" s="12"/>
      <c r="H41" s="12"/>
      <c r="I41" s="12"/>
      <c r="J41" s="17" t="str">
        <f aca="false">IF(I41="","",IF(COUNTIF(Emplacements!$A$2:$A$1001,I41)=0,"⚠ emplacement inconnu",IF(AND(H41&lt;&gt;"",LEFT(I41,1)&lt;&gt;H41),"⚠ mauvaise zone","OK")))</f>
        <v/>
      </c>
      <c r="K41" s="12"/>
      <c r="L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7" t="str">
        <f aca="false">IF(B42="","",TRIM(B42&amp;" "&amp;C42&amp;" "&amp;D42))</f>
        <v/>
      </c>
      <c r="G42" s="12"/>
      <c r="H42" s="12"/>
      <c r="I42" s="12"/>
      <c r="J42" s="17" t="str">
        <f aca="false">IF(I42="","",IF(COUNTIF(Emplacements!$A$2:$A$1001,I42)=0,"⚠ emplacement inconnu",IF(AND(H42&lt;&gt;"",LEFT(I42,1)&lt;&gt;H42),"⚠ mauvaise zone","OK")))</f>
        <v/>
      </c>
      <c r="K42" s="12"/>
      <c r="L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7" t="str">
        <f aca="false">IF(B43="","",TRIM(B43&amp;" "&amp;C43&amp;" "&amp;D43))</f>
        <v/>
      </c>
      <c r="G43" s="12"/>
      <c r="H43" s="12"/>
      <c r="I43" s="12"/>
      <c r="J43" s="17" t="str">
        <f aca="false">IF(I43="","",IF(COUNTIF(Emplacements!$A$2:$A$1001,I43)=0,"⚠ emplacement inconnu",IF(AND(H43&lt;&gt;"",LEFT(I43,1)&lt;&gt;H43),"⚠ mauvaise zone","OK")))</f>
        <v/>
      </c>
      <c r="K43" s="12"/>
      <c r="L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7" t="str">
        <f aca="false">IF(B44="","",TRIM(B44&amp;" "&amp;C44&amp;" "&amp;D44))</f>
        <v/>
      </c>
      <c r="G44" s="12"/>
      <c r="H44" s="12"/>
      <c r="I44" s="12"/>
      <c r="J44" s="17" t="str">
        <f aca="false">IF(I44="","",IF(COUNTIF(Emplacements!$A$2:$A$1001,I44)=0,"⚠ emplacement inconnu",IF(AND(H44&lt;&gt;"",LEFT(I44,1)&lt;&gt;H44),"⚠ mauvaise zone","OK")))</f>
        <v/>
      </c>
      <c r="K44" s="12"/>
      <c r="L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7" t="str">
        <f aca="false">IF(B45="","",TRIM(B45&amp;" "&amp;C45&amp;" "&amp;D45))</f>
        <v/>
      </c>
      <c r="G45" s="12"/>
      <c r="H45" s="12"/>
      <c r="I45" s="12"/>
      <c r="J45" s="17" t="str">
        <f aca="false">IF(I45="","",IF(COUNTIF(Emplacements!$A$2:$A$1001,I45)=0,"⚠ emplacement inconnu",IF(AND(H45&lt;&gt;"",LEFT(I45,1)&lt;&gt;H45),"⚠ mauvaise zone","OK")))</f>
        <v/>
      </c>
      <c r="K45" s="12"/>
      <c r="L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7" t="str">
        <f aca="false">IF(B46="","",TRIM(B46&amp;" "&amp;C46&amp;" "&amp;D46))</f>
        <v/>
      </c>
      <c r="G46" s="12"/>
      <c r="H46" s="12"/>
      <c r="I46" s="12"/>
      <c r="J46" s="17" t="str">
        <f aca="false">IF(I46="","",IF(COUNTIF(Emplacements!$A$2:$A$1001,I46)=0,"⚠ emplacement inconnu",IF(AND(H46&lt;&gt;"",LEFT(I46,1)&lt;&gt;H46),"⚠ mauvaise zone","OK")))</f>
        <v/>
      </c>
      <c r="K46" s="12"/>
      <c r="L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7" t="str">
        <f aca="false">IF(B47="","",TRIM(B47&amp;" "&amp;C47&amp;" "&amp;D47))</f>
        <v/>
      </c>
      <c r="G47" s="12"/>
      <c r="H47" s="12"/>
      <c r="I47" s="12"/>
      <c r="J47" s="17" t="str">
        <f aca="false">IF(I47="","",IF(COUNTIF(Emplacements!$A$2:$A$1001,I47)=0,"⚠ emplacement inconnu",IF(AND(H47&lt;&gt;"",LEFT(I47,1)&lt;&gt;H47),"⚠ mauvaise zone","OK")))</f>
        <v/>
      </c>
      <c r="K47" s="12"/>
      <c r="L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7" t="str">
        <f aca="false">IF(B48="","",TRIM(B48&amp;" "&amp;C48&amp;" "&amp;D48))</f>
        <v/>
      </c>
      <c r="G48" s="12"/>
      <c r="H48" s="12"/>
      <c r="I48" s="12"/>
      <c r="J48" s="17" t="str">
        <f aca="false">IF(I48="","",IF(COUNTIF(Emplacements!$A$2:$A$1001,I48)=0,"⚠ emplacement inconnu",IF(AND(H48&lt;&gt;"",LEFT(I48,1)&lt;&gt;H48),"⚠ mauvaise zone","OK")))</f>
        <v/>
      </c>
      <c r="K48" s="12"/>
      <c r="L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7" t="str">
        <f aca="false">IF(B49="","",TRIM(B49&amp;" "&amp;C49&amp;" "&amp;D49))</f>
        <v/>
      </c>
      <c r="G49" s="12"/>
      <c r="H49" s="12"/>
      <c r="I49" s="12"/>
      <c r="J49" s="17" t="str">
        <f aca="false">IF(I49="","",IF(COUNTIF(Emplacements!$A$2:$A$1001,I49)=0,"⚠ emplacement inconnu",IF(AND(H49&lt;&gt;"",LEFT(I49,1)&lt;&gt;H49),"⚠ mauvaise zone","OK")))</f>
        <v/>
      </c>
      <c r="K49" s="12"/>
      <c r="L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7" t="str">
        <f aca="false">IF(B50="","",TRIM(B50&amp;" "&amp;C50&amp;" "&amp;D50))</f>
        <v/>
      </c>
      <c r="G50" s="12"/>
      <c r="H50" s="12"/>
      <c r="I50" s="12"/>
      <c r="J50" s="17" t="str">
        <f aca="false">IF(I50="","",IF(COUNTIF(Emplacements!$A$2:$A$1001,I50)=0,"⚠ emplacement inconnu",IF(AND(H50&lt;&gt;"",LEFT(I50,1)&lt;&gt;H50),"⚠ mauvaise zone","OK")))</f>
        <v/>
      </c>
      <c r="K50" s="12"/>
      <c r="L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7" t="str">
        <f aca="false">IF(B51="","",TRIM(B51&amp;" "&amp;C51&amp;" "&amp;D51))</f>
        <v/>
      </c>
      <c r="G51" s="12"/>
      <c r="H51" s="12"/>
      <c r="I51" s="12"/>
      <c r="J51" s="17" t="str">
        <f aca="false">IF(I51="","",IF(COUNTIF(Emplacements!$A$2:$A$1001,I51)=0,"⚠ emplacement inconnu",IF(AND(H51&lt;&gt;"",LEFT(I51,1)&lt;&gt;H51),"⚠ mauvaise zone","OK")))</f>
        <v/>
      </c>
      <c r="K51" s="12"/>
      <c r="L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7" t="str">
        <f aca="false">IF(B52="","",TRIM(B52&amp;" "&amp;C52&amp;" "&amp;D52))</f>
        <v/>
      </c>
      <c r="G52" s="12"/>
      <c r="H52" s="12"/>
      <c r="I52" s="12"/>
      <c r="J52" s="17" t="str">
        <f aca="false">IF(I52="","",IF(COUNTIF(Emplacements!$A$2:$A$1001,I52)=0,"⚠ emplacement inconnu",IF(AND(H52&lt;&gt;"",LEFT(I52,1)&lt;&gt;H52),"⚠ mauvaise zone","OK")))</f>
        <v/>
      </c>
      <c r="K52" s="12"/>
      <c r="L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7" t="str">
        <f aca="false">IF(B53="","",TRIM(B53&amp;" "&amp;C53&amp;" "&amp;D53))</f>
        <v/>
      </c>
      <c r="G53" s="12"/>
      <c r="H53" s="12"/>
      <c r="I53" s="12"/>
      <c r="J53" s="17" t="str">
        <f aca="false">IF(I53="","",IF(COUNTIF(Emplacements!$A$2:$A$1001,I53)=0,"⚠ emplacement inconnu",IF(AND(H53&lt;&gt;"",LEFT(I53,1)&lt;&gt;H53),"⚠ mauvaise zone","OK")))</f>
        <v/>
      </c>
      <c r="K53" s="12"/>
      <c r="L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7" t="str">
        <f aca="false">IF(B54="","",TRIM(B54&amp;" "&amp;C54&amp;" "&amp;D54))</f>
        <v/>
      </c>
      <c r="G54" s="12"/>
      <c r="H54" s="12"/>
      <c r="I54" s="12"/>
      <c r="J54" s="17" t="str">
        <f aca="false">IF(I54="","",IF(COUNTIF(Emplacements!$A$2:$A$1001,I54)=0,"⚠ emplacement inconnu",IF(AND(H54&lt;&gt;"",LEFT(I54,1)&lt;&gt;H54),"⚠ mauvaise zone","OK")))</f>
        <v/>
      </c>
      <c r="K54" s="12"/>
      <c r="L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7" t="str">
        <f aca="false">IF(B55="","",TRIM(B55&amp;" "&amp;C55&amp;" "&amp;D55))</f>
        <v/>
      </c>
      <c r="G55" s="12"/>
      <c r="H55" s="12"/>
      <c r="I55" s="12"/>
      <c r="J55" s="17" t="str">
        <f aca="false">IF(I55="","",IF(COUNTIF(Emplacements!$A$2:$A$1001,I55)=0,"⚠ emplacement inconnu",IF(AND(H55&lt;&gt;"",LEFT(I55,1)&lt;&gt;H55),"⚠ mauvaise zone","OK")))</f>
        <v/>
      </c>
      <c r="K55" s="12"/>
      <c r="L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7" t="str">
        <f aca="false">IF(B56="","",TRIM(B56&amp;" "&amp;C56&amp;" "&amp;D56))</f>
        <v/>
      </c>
      <c r="G56" s="12"/>
      <c r="H56" s="12"/>
      <c r="I56" s="12"/>
      <c r="J56" s="17" t="str">
        <f aca="false">IF(I56="","",IF(COUNTIF(Emplacements!$A$2:$A$1001,I56)=0,"⚠ emplacement inconnu",IF(AND(H56&lt;&gt;"",LEFT(I56,1)&lt;&gt;H56),"⚠ mauvaise zone","OK")))</f>
        <v/>
      </c>
      <c r="K56" s="12"/>
      <c r="L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7" t="str">
        <f aca="false">IF(B57="","",TRIM(B57&amp;" "&amp;C57&amp;" "&amp;D57))</f>
        <v/>
      </c>
      <c r="G57" s="12"/>
      <c r="H57" s="12"/>
      <c r="I57" s="12"/>
      <c r="J57" s="17" t="str">
        <f aca="false">IF(I57="","",IF(COUNTIF(Emplacements!$A$2:$A$1001,I57)=0,"⚠ emplacement inconnu",IF(AND(H57&lt;&gt;"",LEFT(I57,1)&lt;&gt;H57),"⚠ mauvaise zone","OK")))</f>
        <v/>
      </c>
      <c r="K57" s="12"/>
      <c r="L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7" t="str">
        <f aca="false">IF(B58="","",TRIM(B58&amp;" "&amp;C58&amp;" "&amp;D58))</f>
        <v/>
      </c>
      <c r="G58" s="12"/>
      <c r="H58" s="12"/>
      <c r="I58" s="12"/>
      <c r="J58" s="17" t="str">
        <f aca="false">IF(I58="","",IF(COUNTIF(Emplacements!$A$2:$A$1001,I58)=0,"⚠ emplacement inconnu",IF(AND(H58&lt;&gt;"",LEFT(I58,1)&lt;&gt;H58),"⚠ mauvaise zone","OK")))</f>
        <v/>
      </c>
      <c r="K58" s="12"/>
      <c r="L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7" t="str">
        <f aca="false">IF(B59="","",TRIM(B59&amp;" "&amp;C59&amp;" "&amp;D59))</f>
        <v/>
      </c>
      <c r="G59" s="12"/>
      <c r="H59" s="12"/>
      <c r="I59" s="12"/>
      <c r="J59" s="17" t="str">
        <f aca="false">IF(I59="","",IF(COUNTIF(Emplacements!$A$2:$A$1001,I59)=0,"⚠ emplacement inconnu",IF(AND(H59&lt;&gt;"",LEFT(I59,1)&lt;&gt;H59),"⚠ mauvaise zone","OK")))</f>
        <v/>
      </c>
      <c r="K59" s="12"/>
      <c r="L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7" t="str">
        <f aca="false">IF(B60="","",TRIM(B60&amp;" "&amp;C60&amp;" "&amp;D60))</f>
        <v/>
      </c>
      <c r="G60" s="12"/>
      <c r="H60" s="12"/>
      <c r="I60" s="12"/>
      <c r="J60" s="17" t="str">
        <f aca="false">IF(I60="","",IF(COUNTIF(Emplacements!$A$2:$A$1001,I60)=0,"⚠ emplacement inconnu",IF(AND(H60&lt;&gt;"",LEFT(I60,1)&lt;&gt;H60),"⚠ mauvaise zone","OK")))</f>
        <v/>
      </c>
      <c r="K60" s="12"/>
      <c r="L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7" t="str">
        <f aca="false">IF(B61="","",TRIM(B61&amp;" "&amp;C61&amp;" "&amp;D61))</f>
        <v/>
      </c>
      <c r="G61" s="12"/>
      <c r="H61" s="12"/>
      <c r="I61" s="12"/>
      <c r="J61" s="17" t="str">
        <f aca="false">IF(I61="","",IF(COUNTIF(Emplacements!$A$2:$A$1001,I61)=0,"⚠ emplacement inconnu",IF(AND(H61&lt;&gt;"",LEFT(I61,1)&lt;&gt;H61),"⚠ mauvaise zone","OK")))</f>
        <v/>
      </c>
      <c r="K61" s="12"/>
      <c r="L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7" t="str">
        <f aca="false">IF(B62="","",TRIM(B62&amp;" "&amp;C62&amp;" "&amp;D62))</f>
        <v/>
      </c>
      <c r="G62" s="12"/>
      <c r="H62" s="12"/>
      <c r="I62" s="12"/>
      <c r="J62" s="17" t="str">
        <f aca="false">IF(I62="","",IF(COUNTIF(Emplacements!$A$2:$A$1001,I62)=0,"⚠ emplacement inconnu",IF(AND(H62&lt;&gt;"",LEFT(I62,1)&lt;&gt;H62),"⚠ mauvaise zone","OK")))</f>
        <v/>
      </c>
      <c r="K62" s="12"/>
      <c r="L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7" t="str">
        <f aca="false">IF(B63="","",TRIM(B63&amp;" "&amp;C63&amp;" "&amp;D63))</f>
        <v/>
      </c>
      <c r="G63" s="12"/>
      <c r="H63" s="12"/>
      <c r="I63" s="12"/>
      <c r="J63" s="17" t="str">
        <f aca="false">IF(I63="","",IF(COUNTIF(Emplacements!$A$2:$A$1001,I63)=0,"⚠ emplacement inconnu",IF(AND(H63&lt;&gt;"",LEFT(I63,1)&lt;&gt;H63),"⚠ mauvaise zone","OK")))</f>
        <v/>
      </c>
      <c r="K63" s="12"/>
      <c r="L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7" t="str">
        <f aca="false">IF(B64="","",TRIM(B64&amp;" "&amp;C64&amp;" "&amp;D64))</f>
        <v/>
      </c>
      <c r="G64" s="12"/>
      <c r="H64" s="12"/>
      <c r="I64" s="12"/>
      <c r="J64" s="17" t="str">
        <f aca="false">IF(I64="","",IF(COUNTIF(Emplacements!$A$2:$A$1001,I64)=0,"⚠ emplacement inconnu",IF(AND(H64&lt;&gt;"",LEFT(I64,1)&lt;&gt;H64),"⚠ mauvaise zone","OK")))</f>
        <v/>
      </c>
      <c r="K64" s="12"/>
      <c r="L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7" t="str">
        <f aca="false">IF(B65="","",TRIM(B65&amp;" "&amp;C65&amp;" "&amp;D65))</f>
        <v/>
      </c>
      <c r="G65" s="12"/>
      <c r="H65" s="12"/>
      <c r="I65" s="12"/>
      <c r="J65" s="17" t="str">
        <f aca="false">IF(I65="","",IF(COUNTIF(Emplacements!$A$2:$A$1001,I65)=0,"⚠ emplacement inconnu",IF(AND(H65&lt;&gt;"",LEFT(I65,1)&lt;&gt;H65),"⚠ mauvaise zone","OK")))</f>
        <v/>
      </c>
      <c r="K65" s="12"/>
      <c r="L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7" t="str">
        <f aca="false">IF(B66="","",TRIM(B66&amp;" "&amp;C66&amp;" "&amp;D66))</f>
        <v/>
      </c>
      <c r="G66" s="12"/>
      <c r="H66" s="12"/>
      <c r="I66" s="12"/>
      <c r="J66" s="17" t="str">
        <f aca="false">IF(I66="","",IF(COUNTIF(Emplacements!$A$2:$A$1001,I66)=0,"⚠ emplacement inconnu",IF(AND(H66&lt;&gt;"",LEFT(I66,1)&lt;&gt;H66),"⚠ mauvaise zone","OK")))</f>
        <v/>
      </c>
      <c r="K66" s="12"/>
      <c r="L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7" t="str">
        <f aca="false">IF(B67="","",TRIM(B67&amp;" "&amp;C67&amp;" "&amp;D67))</f>
        <v/>
      </c>
      <c r="G67" s="12"/>
      <c r="H67" s="12"/>
      <c r="I67" s="12"/>
      <c r="J67" s="17" t="str">
        <f aca="false">IF(I67="","",IF(COUNTIF(Emplacements!$A$2:$A$1001,I67)=0,"⚠ emplacement inconnu",IF(AND(H67&lt;&gt;"",LEFT(I67,1)&lt;&gt;H67),"⚠ mauvaise zone","OK")))</f>
        <v/>
      </c>
      <c r="K67" s="12"/>
      <c r="L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7" t="str">
        <f aca="false">IF(B68="","",TRIM(B68&amp;" "&amp;C68&amp;" "&amp;D68))</f>
        <v/>
      </c>
      <c r="G68" s="12"/>
      <c r="H68" s="12"/>
      <c r="I68" s="12"/>
      <c r="J68" s="17" t="str">
        <f aca="false">IF(I68="","",IF(COUNTIF(Emplacements!$A$2:$A$1001,I68)=0,"⚠ emplacement inconnu",IF(AND(H68&lt;&gt;"",LEFT(I68,1)&lt;&gt;H68),"⚠ mauvaise zone","OK")))</f>
        <v/>
      </c>
      <c r="K68" s="12"/>
      <c r="L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7" t="str">
        <f aca="false">IF(B69="","",TRIM(B69&amp;" "&amp;C69&amp;" "&amp;D69))</f>
        <v/>
      </c>
      <c r="G69" s="12"/>
      <c r="H69" s="12"/>
      <c r="I69" s="12"/>
      <c r="J69" s="17" t="str">
        <f aca="false">IF(I69="","",IF(COUNTIF(Emplacements!$A$2:$A$1001,I69)=0,"⚠ emplacement inconnu",IF(AND(H69&lt;&gt;"",LEFT(I69,1)&lt;&gt;H69),"⚠ mauvaise zone","OK")))</f>
        <v/>
      </c>
      <c r="K69" s="12"/>
      <c r="L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7" t="str">
        <f aca="false">IF(B70="","",TRIM(B70&amp;" "&amp;C70&amp;" "&amp;D70))</f>
        <v/>
      </c>
      <c r="G70" s="12"/>
      <c r="H70" s="12"/>
      <c r="I70" s="12"/>
      <c r="J70" s="17" t="str">
        <f aca="false">IF(I70="","",IF(COUNTIF(Emplacements!$A$2:$A$1001,I70)=0,"⚠ emplacement inconnu",IF(AND(H70&lt;&gt;"",LEFT(I70,1)&lt;&gt;H70),"⚠ mauvaise zone","OK")))</f>
        <v/>
      </c>
      <c r="K70" s="12"/>
      <c r="L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7" t="str">
        <f aca="false">IF(B71="","",TRIM(B71&amp;" "&amp;C71&amp;" "&amp;D71))</f>
        <v/>
      </c>
      <c r="G71" s="12"/>
      <c r="H71" s="12"/>
      <c r="I71" s="12"/>
      <c r="J71" s="17" t="str">
        <f aca="false">IF(I71="","",IF(COUNTIF(Emplacements!$A$2:$A$1001,I71)=0,"⚠ emplacement inconnu",IF(AND(H71&lt;&gt;"",LEFT(I71,1)&lt;&gt;H71),"⚠ mauvaise zone","OK")))</f>
        <v/>
      </c>
      <c r="K71" s="12"/>
      <c r="L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7" t="str">
        <f aca="false">IF(B72="","",TRIM(B72&amp;" "&amp;C72&amp;" "&amp;D72))</f>
        <v/>
      </c>
      <c r="G72" s="12"/>
      <c r="H72" s="12"/>
      <c r="I72" s="12"/>
      <c r="J72" s="17" t="str">
        <f aca="false">IF(I72="","",IF(COUNTIF(Emplacements!$A$2:$A$1001,I72)=0,"⚠ emplacement inconnu",IF(AND(H72&lt;&gt;"",LEFT(I72,1)&lt;&gt;H72),"⚠ mauvaise zone","OK")))</f>
        <v/>
      </c>
      <c r="K72" s="12"/>
      <c r="L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7" t="str">
        <f aca="false">IF(B73="","",TRIM(B73&amp;" "&amp;C73&amp;" "&amp;D73))</f>
        <v/>
      </c>
      <c r="G73" s="12"/>
      <c r="H73" s="12"/>
      <c r="I73" s="12"/>
      <c r="J73" s="17" t="str">
        <f aca="false">IF(I73="","",IF(COUNTIF(Emplacements!$A$2:$A$1001,I73)=0,"⚠ emplacement inconnu",IF(AND(H73&lt;&gt;"",LEFT(I73,1)&lt;&gt;H73),"⚠ mauvaise zone","OK")))</f>
        <v/>
      </c>
      <c r="K73" s="12"/>
      <c r="L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7" t="str">
        <f aca="false">IF(B74="","",TRIM(B74&amp;" "&amp;C74&amp;" "&amp;D74))</f>
        <v/>
      </c>
      <c r="G74" s="12"/>
      <c r="H74" s="12"/>
      <c r="I74" s="12"/>
      <c r="J74" s="17" t="str">
        <f aca="false">IF(I74="","",IF(COUNTIF(Emplacements!$A$2:$A$1001,I74)=0,"⚠ emplacement inconnu",IF(AND(H74&lt;&gt;"",LEFT(I74,1)&lt;&gt;H74),"⚠ mauvaise zone","OK")))</f>
        <v/>
      </c>
      <c r="K74" s="12"/>
      <c r="L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7" t="str">
        <f aca="false">IF(B75="","",TRIM(B75&amp;" "&amp;C75&amp;" "&amp;D75))</f>
        <v/>
      </c>
      <c r="G75" s="12"/>
      <c r="H75" s="12"/>
      <c r="I75" s="12"/>
      <c r="J75" s="17" t="str">
        <f aca="false">IF(I75="","",IF(COUNTIF(Emplacements!$A$2:$A$1001,I75)=0,"⚠ emplacement inconnu",IF(AND(H75&lt;&gt;"",LEFT(I75,1)&lt;&gt;H75),"⚠ mauvaise zone","OK")))</f>
        <v/>
      </c>
      <c r="K75" s="12"/>
      <c r="L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7" t="str">
        <f aca="false">IF(B76="","",TRIM(B76&amp;" "&amp;C76&amp;" "&amp;D76))</f>
        <v/>
      </c>
      <c r="G76" s="12"/>
      <c r="H76" s="12"/>
      <c r="I76" s="12"/>
      <c r="J76" s="17" t="str">
        <f aca="false">IF(I76="","",IF(COUNTIF(Emplacements!$A$2:$A$1001,I76)=0,"⚠ emplacement inconnu",IF(AND(H76&lt;&gt;"",LEFT(I76,1)&lt;&gt;H76),"⚠ mauvaise zone","OK")))</f>
        <v/>
      </c>
      <c r="K76" s="12"/>
      <c r="L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7" t="str">
        <f aca="false">IF(B77="","",TRIM(B77&amp;" "&amp;C77&amp;" "&amp;D77))</f>
        <v/>
      </c>
      <c r="G77" s="12"/>
      <c r="H77" s="12"/>
      <c r="I77" s="12"/>
      <c r="J77" s="17" t="str">
        <f aca="false">IF(I77="","",IF(COUNTIF(Emplacements!$A$2:$A$1001,I77)=0,"⚠ emplacement inconnu",IF(AND(H77&lt;&gt;"",LEFT(I77,1)&lt;&gt;H77),"⚠ mauvaise zone","OK")))</f>
        <v/>
      </c>
      <c r="K77" s="12"/>
      <c r="L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7" t="str">
        <f aca="false">IF(B78="","",TRIM(B78&amp;" "&amp;C78&amp;" "&amp;D78))</f>
        <v/>
      </c>
      <c r="G78" s="12"/>
      <c r="H78" s="12"/>
      <c r="I78" s="12"/>
      <c r="J78" s="17" t="str">
        <f aca="false">IF(I78="","",IF(COUNTIF(Emplacements!$A$2:$A$1001,I78)=0,"⚠ emplacement inconnu",IF(AND(H78&lt;&gt;"",LEFT(I78,1)&lt;&gt;H78),"⚠ mauvaise zone","OK")))</f>
        <v/>
      </c>
      <c r="K78" s="12"/>
      <c r="L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7" t="str">
        <f aca="false">IF(B79="","",TRIM(B79&amp;" "&amp;C79&amp;" "&amp;D79))</f>
        <v/>
      </c>
      <c r="G79" s="12"/>
      <c r="H79" s="12"/>
      <c r="I79" s="12"/>
      <c r="J79" s="17" t="str">
        <f aca="false">IF(I79="","",IF(COUNTIF(Emplacements!$A$2:$A$1001,I79)=0,"⚠ emplacement inconnu",IF(AND(H79&lt;&gt;"",LEFT(I79,1)&lt;&gt;H79),"⚠ mauvaise zone","OK")))</f>
        <v/>
      </c>
      <c r="K79" s="12"/>
      <c r="L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7" t="str">
        <f aca="false">IF(B80="","",TRIM(B80&amp;" "&amp;C80&amp;" "&amp;D80))</f>
        <v/>
      </c>
      <c r="G80" s="12"/>
      <c r="H80" s="12"/>
      <c r="I80" s="12"/>
      <c r="J80" s="17" t="str">
        <f aca="false">IF(I80="","",IF(COUNTIF(Emplacements!$A$2:$A$1001,I80)=0,"⚠ emplacement inconnu",IF(AND(H80&lt;&gt;"",LEFT(I80,1)&lt;&gt;H80),"⚠ mauvaise zone","OK")))</f>
        <v/>
      </c>
      <c r="K80" s="12"/>
      <c r="L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7" t="str">
        <f aca="false">IF(B81="","",TRIM(B81&amp;" "&amp;C81&amp;" "&amp;D81))</f>
        <v/>
      </c>
      <c r="G81" s="12"/>
      <c r="H81" s="12"/>
      <c r="I81" s="12"/>
      <c r="J81" s="17" t="str">
        <f aca="false">IF(I81="","",IF(COUNTIF(Emplacements!$A$2:$A$1001,I81)=0,"⚠ emplacement inconnu",IF(AND(H81&lt;&gt;"",LEFT(I81,1)&lt;&gt;H81),"⚠ mauvaise zone","OK")))</f>
        <v/>
      </c>
      <c r="K81" s="12"/>
      <c r="L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7" t="str">
        <f aca="false">IF(B82="","",TRIM(B82&amp;" "&amp;C82&amp;" "&amp;D82))</f>
        <v/>
      </c>
      <c r="G82" s="12"/>
      <c r="H82" s="12"/>
      <c r="I82" s="12"/>
      <c r="J82" s="17" t="str">
        <f aca="false">IF(I82="","",IF(COUNTIF(Emplacements!$A$2:$A$1001,I82)=0,"⚠ emplacement inconnu",IF(AND(H82&lt;&gt;"",LEFT(I82,1)&lt;&gt;H82),"⚠ mauvaise zone","OK")))</f>
        <v/>
      </c>
      <c r="K82" s="12"/>
      <c r="L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7" t="str">
        <f aca="false">IF(B83="","",TRIM(B83&amp;" "&amp;C83&amp;" "&amp;D83))</f>
        <v/>
      </c>
      <c r="G83" s="12"/>
      <c r="H83" s="12"/>
      <c r="I83" s="12"/>
      <c r="J83" s="17" t="str">
        <f aca="false">IF(I83="","",IF(COUNTIF(Emplacements!$A$2:$A$1001,I83)=0,"⚠ emplacement inconnu",IF(AND(H83&lt;&gt;"",LEFT(I83,1)&lt;&gt;H83),"⚠ mauvaise zone","OK")))</f>
        <v/>
      </c>
      <c r="K83" s="12"/>
      <c r="L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7" t="str">
        <f aca="false">IF(B84="","",TRIM(B84&amp;" "&amp;C84&amp;" "&amp;D84))</f>
        <v/>
      </c>
      <c r="G84" s="12"/>
      <c r="H84" s="12"/>
      <c r="I84" s="12"/>
      <c r="J84" s="17" t="str">
        <f aca="false">IF(I84="","",IF(COUNTIF(Emplacements!$A$2:$A$1001,I84)=0,"⚠ emplacement inconnu",IF(AND(H84&lt;&gt;"",LEFT(I84,1)&lt;&gt;H84),"⚠ mauvaise zone","OK")))</f>
        <v/>
      </c>
      <c r="K84" s="12"/>
      <c r="L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7" t="str">
        <f aca="false">IF(B85="","",TRIM(B85&amp;" "&amp;C85&amp;" "&amp;D85))</f>
        <v/>
      </c>
      <c r="G85" s="12"/>
      <c r="H85" s="12"/>
      <c r="I85" s="12"/>
      <c r="J85" s="17" t="str">
        <f aca="false">IF(I85="","",IF(COUNTIF(Emplacements!$A$2:$A$1001,I85)=0,"⚠ emplacement inconnu",IF(AND(H85&lt;&gt;"",LEFT(I85,1)&lt;&gt;H85),"⚠ mauvaise zone","OK")))</f>
        <v/>
      </c>
      <c r="K85" s="12"/>
      <c r="L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7" t="str">
        <f aca="false">IF(B86="","",TRIM(B86&amp;" "&amp;C86&amp;" "&amp;D86))</f>
        <v/>
      </c>
      <c r="G86" s="12"/>
      <c r="H86" s="12"/>
      <c r="I86" s="12"/>
      <c r="J86" s="17" t="str">
        <f aca="false">IF(I86="","",IF(COUNTIF(Emplacements!$A$2:$A$1001,I86)=0,"⚠ emplacement inconnu",IF(AND(H86&lt;&gt;"",LEFT(I86,1)&lt;&gt;H86),"⚠ mauvaise zone","OK")))</f>
        <v/>
      </c>
      <c r="K86" s="12"/>
      <c r="L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7" t="str">
        <f aca="false">IF(B87="","",TRIM(B87&amp;" "&amp;C87&amp;" "&amp;D87))</f>
        <v/>
      </c>
      <c r="G87" s="12"/>
      <c r="H87" s="12"/>
      <c r="I87" s="12"/>
      <c r="J87" s="17" t="str">
        <f aca="false">IF(I87="","",IF(COUNTIF(Emplacements!$A$2:$A$1001,I87)=0,"⚠ emplacement inconnu",IF(AND(H87&lt;&gt;"",LEFT(I87,1)&lt;&gt;H87),"⚠ mauvaise zone","OK")))</f>
        <v/>
      </c>
      <c r="K87" s="12"/>
      <c r="L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7" t="str">
        <f aca="false">IF(B88="","",TRIM(B88&amp;" "&amp;C88&amp;" "&amp;D88))</f>
        <v/>
      </c>
      <c r="G88" s="12"/>
      <c r="H88" s="12"/>
      <c r="I88" s="12"/>
      <c r="J88" s="17" t="str">
        <f aca="false">IF(I88="","",IF(COUNTIF(Emplacements!$A$2:$A$1001,I88)=0,"⚠ emplacement inconnu",IF(AND(H88&lt;&gt;"",LEFT(I88,1)&lt;&gt;H88),"⚠ mauvaise zone","OK")))</f>
        <v/>
      </c>
      <c r="K88" s="12"/>
      <c r="L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7" t="str">
        <f aca="false">IF(B89="","",TRIM(B89&amp;" "&amp;C89&amp;" "&amp;D89))</f>
        <v/>
      </c>
      <c r="G89" s="12"/>
      <c r="H89" s="12"/>
      <c r="I89" s="12"/>
      <c r="J89" s="17" t="str">
        <f aca="false">IF(I89="","",IF(COUNTIF(Emplacements!$A$2:$A$1001,I89)=0,"⚠ emplacement inconnu",IF(AND(H89&lt;&gt;"",LEFT(I89,1)&lt;&gt;H89),"⚠ mauvaise zone","OK")))</f>
        <v/>
      </c>
      <c r="K89" s="12"/>
      <c r="L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7" t="str">
        <f aca="false">IF(B90="","",TRIM(B90&amp;" "&amp;C90&amp;" "&amp;D90))</f>
        <v/>
      </c>
      <c r="G90" s="12"/>
      <c r="H90" s="12"/>
      <c r="I90" s="12"/>
      <c r="J90" s="17" t="str">
        <f aca="false">IF(I90="","",IF(COUNTIF(Emplacements!$A$2:$A$1001,I90)=0,"⚠ emplacement inconnu",IF(AND(H90&lt;&gt;"",LEFT(I90,1)&lt;&gt;H90),"⚠ mauvaise zone","OK")))</f>
        <v/>
      </c>
      <c r="K90" s="12"/>
      <c r="L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7" t="str">
        <f aca="false">IF(B91="","",TRIM(B91&amp;" "&amp;C91&amp;" "&amp;D91))</f>
        <v/>
      </c>
      <c r="G91" s="12"/>
      <c r="H91" s="12"/>
      <c r="I91" s="12"/>
      <c r="J91" s="17" t="str">
        <f aca="false">IF(I91="","",IF(COUNTIF(Emplacements!$A$2:$A$1001,I91)=0,"⚠ emplacement inconnu",IF(AND(H91&lt;&gt;"",LEFT(I91,1)&lt;&gt;H91),"⚠ mauvaise zone","OK")))</f>
        <v/>
      </c>
      <c r="K91" s="12"/>
      <c r="L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7" t="str">
        <f aca="false">IF(B92="","",TRIM(B92&amp;" "&amp;C92&amp;" "&amp;D92))</f>
        <v/>
      </c>
      <c r="G92" s="12"/>
      <c r="H92" s="12"/>
      <c r="I92" s="12"/>
      <c r="J92" s="17" t="str">
        <f aca="false">IF(I92="","",IF(COUNTIF(Emplacements!$A$2:$A$1001,I92)=0,"⚠ emplacement inconnu",IF(AND(H92&lt;&gt;"",LEFT(I92,1)&lt;&gt;H92),"⚠ mauvaise zone","OK")))</f>
        <v/>
      </c>
      <c r="K92" s="12"/>
      <c r="L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7" t="str">
        <f aca="false">IF(B93="","",TRIM(B93&amp;" "&amp;C93&amp;" "&amp;D93))</f>
        <v/>
      </c>
      <c r="G93" s="12"/>
      <c r="H93" s="12"/>
      <c r="I93" s="12"/>
      <c r="J93" s="17" t="str">
        <f aca="false">IF(I93="","",IF(COUNTIF(Emplacements!$A$2:$A$1001,I93)=0,"⚠ emplacement inconnu",IF(AND(H93&lt;&gt;"",LEFT(I93,1)&lt;&gt;H93),"⚠ mauvaise zone","OK")))</f>
        <v/>
      </c>
      <c r="K93" s="12"/>
      <c r="L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7" t="str">
        <f aca="false">IF(B94="","",TRIM(B94&amp;" "&amp;C94&amp;" "&amp;D94))</f>
        <v/>
      </c>
      <c r="G94" s="12"/>
      <c r="H94" s="12"/>
      <c r="I94" s="12"/>
      <c r="J94" s="17" t="str">
        <f aca="false">IF(I94="","",IF(COUNTIF(Emplacements!$A$2:$A$1001,I94)=0,"⚠ emplacement inconnu",IF(AND(H94&lt;&gt;"",LEFT(I94,1)&lt;&gt;H94),"⚠ mauvaise zone","OK")))</f>
        <v/>
      </c>
      <c r="K94" s="12"/>
      <c r="L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7" t="str">
        <f aca="false">IF(B95="","",TRIM(B95&amp;" "&amp;C95&amp;" "&amp;D95))</f>
        <v/>
      </c>
      <c r="G95" s="12"/>
      <c r="H95" s="12"/>
      <c r="I95" s="12"/>
      <c r="J95" s="17" t="str">
        <f aca="false">IF(I95="","",IF(COUNTIF(Emplacements!$A$2:$A$1001,I95)=0,"⚠ emplacement inconnu",IF(AND(H95&lt;&gt;"",LEFT(I95,1)&lt;&gt;H95),"⚠ mauvaise zone","OK")))</f>
        <v/>
      </c>
      <c r="K95" s="12"/>
      <c r="L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7" t="str">
        <f aca="false">IF(B96="","",TRIM(B96&amp;" "&amp;C96&amp;" "&amp;D96))</f>
        <v/>
      </c>
      <c r="G96" s="12"/>
      <c r="H96" s="12"/>
      <c r="I96" s="12"/>
      <c r="J96" s="17" t="str">
        <f aca="false">IF(I96="","",IF(COUNTIF(Emplacements!$A$2:$A$1001,I96)=0,"⚠ emplacement inconnu",IF(AND(H96&lt;&gt;"",LEFT(I96,1)&lt;&gt;H96),"⚠ mauvaise zone","OK")))</f>
        <v/>
      </c>
      <c r="K96" s="12"/>
      <c r="L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7" t="str">
        <f aca="false">IF(B97="","",TRIM(B97&amp;" "&amp;C97&amp;" "&amp;D97))</f>
        <v/>
      </c>
      <c r="G97" s="12"/>
      <c r="H97" s="12"/>
      <c r="I97" s="12"/>
      <c r="J97" s="17" t="str">
        <f aca="false">IF(I97="","",IF(COUNTIF(Emplacements!$A$2:$A$1001,I97)=0,"⚠ emplacement inconnu",IF(AND(H97&lt;&gt;"",LEFT(I97,1)&lt;&gt;H97),"⚠ mauvaise zone","OK")))</f>
        <v/>
      </c>
      <c r="K97" s="12"/>
      <c r="L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7" t="str">
        <f aca="false">IF(B98="","",TRIM(B98&amp;" "&amp;C98&amp;" "&amp;D98))</f>
        <v/>
      </c>
      <c r="G98" s="12"/>
      <c r="H98" s="12"/>
      <c r="I98" s="12"/>
      <c r="J98" s="17" t="str">
        <f aca="false">IF(I98="","",IF(COUNTIF(Emplacements!$A$2:$A$1001,I98)=0,"⚠ emplacement inconnu",IF(AND(H98&lt;&gt;"",LEFT(I98,1)&lt;&gt;H98),"⚠ mauvaise zone","OK")))</f>
        <v/>
      </c>
      <c r="K98" s="12"/>
      <c r="L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7" t="str">
        <f aca="false">IF(B99="","",TRIM(B99&amp;" "&amp;C99&amp;" "&amp;D99))</f>
        <v/>
      </c>
      <c r="G99" s="12"/>
      <c r="H99" s="12"/>
      <c r="I99" s="12"/>
      <c r="J99" s="17" t="str">
        <f aca="false">IF(I99="","",IF(COUNTIF(Emplacements!$A$2:$A$1001,I99)=0,"⚠ emplacement inconnu",IF(AND(H99&lt;&gt;"",LEFT(I99,1)&lt;&gt;H99),"⚠ mauvaise zone","OK")))</f>
        <v/>
      </c>
      <c r="K99" s="12"/>
      <c r="L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7" t="str">
        <f aca="false">IF(B100="","",TRIM(B100&amp;" "&amp;C100&amp;" "&amp;D100))</f>
        <v/>
      </c>
      <c r="G100" s="12"/>
      <c r="H100" s="12"/>
      <c r="I100" s="12"/>
      <c r="J100" s="17" t="str">
        <f aca="false">IF(I100="","",IF(COUNTIF(Emplacements!$A$2:$A$1001,I100)=0,"⚠ emplacement inconnu",IF(AND(H100&lt;&gt;"",LEFT(I100,1)&lt;&gt;H100),"⚠ mauvaise zone","OK")))</f>
        <v/>
      </c>
      <c r="K100" s="12"/>
      <c r="L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7" t="str">
        <f aca="false">IF(B101="","",TRIM(B101&amp;" "&amp;C101&amp;" "&amp;D101))</f>
        <v/>
      </c>
      <c r="G101" s="12"/>
      <c r="H101" s="12"/>
      <c r="I101" s="12"/>
      <c r="J101" s="17" t="str">
        <f aca="false">IF(I101="","",IF(COUNTIF(Emplacements!$A$2:$A$1001,I101)=0,"⚠ emplacement inconnu",IF(AND(H101&lt;&gt;"",LEFT(I101,1)&lt;&gt;H101),"⚠ mauvaise zone","OK")))</f>
        <v/>
      </c>
      <c r="K101" s="12"/>
      <c r="L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7" t="str">
        <f aca="false">IF(B102="","",TRIM(B102&amp;" "&amp;C102&amp;" "&amp;D102))</f>
        <v/>
      </c>
      <c r="G102" s="12"/>
      <c r="H102" s="12"/>
      <c r="I102" s="12"/>
      <c r="J102" s="17" t="str">
        <f aca="false">IF(I102="","",IF(COUNTIF(Emplacements!$A$2:$A$1001,I102)=0,"⚠ emplacement inconnu",IF(AND(H102&lt;&gt;"",LEFT(I102,1)&lt;&gt;H102),"⚠ mauvaise zone","OK")))</f>
        <v/>
      </c>
      <c r="K102" s="12"/>
      <c r="L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7" t="str">
        <f aca="false">IF(B103="","",TRIM(B103&amp;" "&amp;C103&amp;" "&amp;D103))</f>
        <v/>
      </c>
      <c r="G103" s="12"/>
      <c r="H103" s="12"/>
      <c r="I103" s="12"/>
      <c r="J103" s="17" t="str">
        <f aca="false">IF(I103="","",IF(COUNTIF(Emplacements!$A$2:$A$1001,I103)=0,"⚠ emplacement inconnu",IF(AND(H103&lt;&gt;"",LEFT(I103,1)&lt;&gt;H103),"⚠ mauvaise zone","OK")))</f>
        <v/>
      </c>
      <c r="K103" s="12"/>
      <c r="L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7" t="str">
        <f aca="false">IF(B104="","",TRIM(B104&amp;" "&amp;C104&amp;" "&amp;D104))</f>
        <v/>
      </c>
      <c r="G104" s="12"/>
      <c r="H104" s="12"/>
      <c r="I104" s="12"/>
      <c r="J104" s="17" t="str">
        <f aca="false">IF(I104="","",IF(COUNTIF(Emplacements!$A$2:$A$1001,I104)=0,"⚠ emplacement inconnu",IF(AND(H104&lt;&gt;"",LEFT(I104,1)&lt;&gt;H104),"⚠ mauvaise zone","OK")))</f>
        <v/>
      </c>
      <c r="K104" s="12"/>
      <c r="L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7" t="str">
        <f aca="false">IF(B105="","",TRIM(B105&amp;" "&amp;C105&amp;" "&amp;D105))</f>
        <v/>
      </c>
      <c r="G105" s="12"/>
      <c r="H105" s="12"/>
      <c r="I105" s="12"/>
      <c r="J105" s="17" t="str">
        <f aca="false">IF(I105="","",IF(COUNTIF(Emplacements!$A$2:$A$1001,I105)=0,"⚠ emplacement inconnu",IF(AND(H105&lt;&gt;"",LEFT(I105,1)&lt;&gt;H105),"⚠ mauvaise zone","OK")))</f>
        <v/>
      </c>
      <c r="K105" s="12"/>
      <c r="L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7" t="str">
        <f aca="false">IF(B106="","",TRIM(B106&amp;" "&amp;C106&amp;" "&amp;D106))</f>
        <v/>
      </c>
      <c r="G106" s="12"/>
      <c r="H106" s="12"/>
      <c r="I106" s="12"/>
      <c r="J106" s="17" t="str">
        <f aca="false">IF(I106="","",IF(COUNTIF(Emplacements!$A$2:$A$1001,I106)=0,"⚠ emplacement inconnu",IF(AND(H106&lt;&gt;"",LEFT(I106,1)&lt;&gt;H106),"⚠ mauvaise zone","OK")))</f>
        <v/>
      </c>
      <c r="K106" s="12"/>
      <c r="L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7" t="str">
        <f aca="false">IF(B107="","",TRIM(B107&amp;" "&amp;C107&amp;" "&amp;D107))</f>
        <v/>
      </c>
      <c r="G107" s="12"/>
      <c r="H107" s="12"/>
      <c r="I107" s="12"/>
      <c r="J107" s="17" t="str">
        <f aca="false">IF(I107="","",IF(COUNTIF(Emplacements!$A$2:$A$1001,I107)=0,"⚠ emplacement inconnu",IF(AND(H107&lt;&gt;"",LEFT(I107,1)&lt;&gt;H107),"⚠ mauvaise zone","OK")))</f>
        <v/>
      </c>
      <c r="K107" s="12"/>
      <c r="L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7" t="str">
        <f aca="false">IF(B108="","",TRIM(B108&amp;" "&amp;C108&amp;" "&amp;D108))</f>
        <v/>
      </c>
      <c r="G108" s="12"/>
      <c r="H108" s="12"/>
      <c r="I108" s="12"/>
      <c r="J108" s="17" t="str">
        <f aca="false">IF(I108="","",IF(COUNTIF(Emplacements!$A$2:$A$1001,I108)=0,"⚠ emplacement inconnu",IF(AND(H108&lt;&gt;"",LEFT(I108,1)&lt;&gt;H108),"⚠ mauvaise zone","OK")))</f>
        <v/>
      </c>
      <c r="K108" s="12"/>
      <c r="L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7" t="str">
        <f aca="false">IF(B109="","",TRIM(B109&amp;" "&amp;C109&amp;" "&amp;D109))</f>
        <v/>
      </c>
      <c r="G109" s="12"/>
      <c r="H109" s="12"/>
      <c r="I109" s="12"/>
      <c r="J109" s="17" t="str">
        <f aca="false">IF(I109="","",IF(COUNTIF(Emplacements!$A$2:$A$1001,I109)=0,"⚠ emplacement inconnu",IF(AND(H109&lt;&gt;"",LEFT(I109,1)&lt;&gt;H109),"⚠ mauvaise zone","OK")))</f>
        <v/>
      </c>
      <c r="K109" s="12"/>
      <c r="L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7" t="str">
        <f aca="false">IF(B110="","",TRIM(B110&amp;" "&amp;C110&amp;" "&amp;D110))</f>
        <v/>
      </c>
      <c r="G110" s="12"/>
      <c r="H110" s="12"/>
      <c r="I110" s="12"/>
      <c r="J110" s="17" t="str">
        <f aca="false">IF(I110="","",IF(COUNTIF(Emplacements!$A$2:$A$1001,I110)=0,"⚠ emplacement inconnu",IF(AND(H110&lt;&gt;"",LEFT(I110,1)&lt;&gt;H110),"⚠ mauvaise zone","OK")))</f>
        <v/>
      </c>
      <c r="K110" s="12"/>
      <c r="L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7" t="str">
        <f aca="false">IF(B111="","",TRIM(B111&amp;" "&amp;C111&amp;" "&amp;D111))</f>
        <v/>
      </c>
      <c r="G111" s="12"/>
      <c r="H111" s="12"/>
      <c r="I111" s="12"/>
      <c r="J111" s="17" t="str">
        <f aca="false">IF(I111="","",IF(COUNTIF(Emplacements!$A$2:$A$1001,I111)=0,"⚠ emplacement inconnu",IF(AND(H111&lt;&gt;"",LEFT(I111,1)&lt;&gt;H111),"⚠ mauvaise zone","OK")))</f>
        <v/>
      </c>
      <c r="K111" s="12"/>
      <c r="L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7" t="str">
        <f aca="false">IF(B112="","",TRIM(B112&amp;" "&amp;C112&amp;" "&amp;D112))</f>
        <v/>
      </c>
      <c r="G112" s="12"/>
      <c r="H112" s="12"/>
      <c r="I112" s="12"/>
      <c r="J112" s="17" t="str">
        <f aca="false">IF(I112="","",IF(COUNTIF(Emplacements!$A$2:$A$1001,I112)=0,"⚠ emplacement inconnu",IF(AND(H112&lt;&gt;"",LEFT(I112,1)&lt;&gt;H112),"⚠ mauvaise zone","OK")))</f>
        <v/>
      </c>
      <c r="K112" s="12"/>
      <c r="L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7" t="str">
        <f aca="false">IF(B113="","",TRIM(B113&amp;" "&amp;C113&amp;" "&amp;D113))</f>
        <v/>
      </c>
      <c r="G113" s="12"/>
      <c r="H113" s="12"/>
      <c r="I113" s="12"/>
      <c r="J113" s="17" t="str">
        <f aca="false">IF(I113="","",IF(COUNTIF(Emplacements!$A$2:$A$1001,I113)=0,"⚠ emplacement inconnu",IF(AND(H113&lt;&gt;"",LEFT(I113,1)&lt;&gt;H113),"⚠ mauvaise zone","OK")))</f>
        <v/>
      </c>
      <c r="K113" s="12"/>
      <c r="L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7" t="str">
        <f aca="false">IF(B114="","",TRIM(B114&amp;" "&amp;C114&amp;" "&amp;D114))</f>
        <v/>
      </c>
      <c r="G114" s="12"/>
      <c r="H114" s="12"/>
      <c r="I114" s="12"/>
      <c r="J114" s="17" t="str">
        <f aca="false">IF(I114="","",IF(COUNTIF(Emplacements!$A$2:$A$1001,I114)=0,"⚠ emplacement inconnu",IF(AND(H114&lt;&gt;"",LEFT(I114,1)&lt;&gt;H114),"⚠ mauvaise zone","OK")))</f>
        <v/>
      </c>
      <c r="K114" s="12"/>
      <c r="L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7" t="str">
        <f aca="false">IF(B115="","",TRIM(B115&amp;" "&amp;C115&amp;" "&amp;D115))</f>
        <v/>
      </c>
      <c r="G115" s="12"/>
      <c r="H115" s="12"/>
      <c r="I115" s="12"/>
      <c r="J115" s="17" t="str">
        <f aca="false">IF(I115="","",IF(COUNTIF(Emplacements!$A$2:$A$1001,I115)=0,"⚠ emplacement inconnu",IF(AND(H115&lt;&gt;"",LEFT(I115,1)&lt;&gt;H115),"⚠ mauvaise zone","OK")))</f>
        <v/>
      </c>
      <c r="K115" s="12"/>
      <c r="L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7" t="str">
        <f aca="false">IF(B116="","",TRIM(B116&amp;" "&amp;C116&amp;" "&amp;D116))</f>
        <v/>
      </c>
      <c r="G116" s="12"/>
      <c r="H116" s="12"/>
      <c r="I116" s="12"/>
      <c r="J116" s="17" t="str">
        <f aca="false">IF(I116="","",IF(COUNTIF(Emplacements!$A$2:$A$1001,I116)=0,"⚠ emplacement inconnu",IF(AND(H116&lt;&gt;"",LEFT(I116,1)&lt;&gt;H116),"⚠ mauvaise zone","OK")))</f>
        <v/>
      </c>
      <c r="K116" s="12"/>
      <c r="L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7" t="str">
        <f aca="false">IF(B117="","",TRIM(B117&amp;" "&amp;C117&amp;" "&amp;D117))</f>
        <v/>
      </c>
      <c r="G117" s="12"/>
      <c r="H117" s="12"/>
      <c r="I117" s="12"/>
      <c r="J117" s="17" t="str">
        <f aca="false">IF(I117="","",IF(COUNTIF(Emplacements!$A$2:$A$1001,I117)=0,"⚠ emplacement inconnu",IF(AND(H117&lt;&gt;"",LEFT(I117,1)&lt;&gt;H117),"⚠ mauvaise zone","OK")))</f>
        <v/>
      </c>
      <c r="K117" s="12"/>
      <c r="L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7" t="str">
        <f aca="false">IF(B118="","",TRIM(B118&amp;" "&amp;C118&amp;" "&amp;D118))</f>
        <v/>
      </c>
      <c r="G118" s="12"/>
      <c r="H118" s="12"/>
      <c r="I118" s="12"/>
      <c r="J118" s="17" t="str">
        <f aca="false">IF(I118="","",IF(COUNTIF(Emplacements!$A$2:$A$1001,I118)=0,"⚠ emplacement inconnu",IF(AND(H118&lt;&gt;"",LEFT(I118,1)&lt;&gt;H118),"⚠ mauvaise zone","OK")))</f>
        <v/>
      </c>
      <c r="K118" s="12"/>
      <c r="L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7" t="str">
        <f aca="false">IF(B119="","",TRIM(B119&amp;" "&amp;C119&amp;" "&amp;D119))</f>
        <v/>
      </c>
      <c r="G119" s="12"/>
      <c r="H119" s="12"/>
      <c r="I119" s="12"/>
      <c r="J119" s="17" t="str">
        <f aca="false">IF(I119="","",IF(COUNTIF(Emplacements!$A$2:$A$1001,I119)=0,"⚠ emplacement inconnu",IF(AND(H119&lt;&gt;"",LEFT(I119,1)&lt;&gt;H119),"⚠ mauvaise zone","OK")))</f>
        <v/>
      </c>
      <c r="K119" s="12"/>
      <c r="L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7" t="str">
        <f aca="false">IF(B120="","",TRIM(B120&amp;" "&amp;C120&amp;" "&amp;D120))</f>
        <v/>
      </c>
      <c r="G120" s="12"/>
      <c r="H120" s="12"/>
      <c r="I120" s="12"/>
      <c r="J120" s="17" t="str">
        <f aca="false">IF(I120="","",IF(COUNTIF(Emplacements!$A$2:$A$1001,I120)=0,"⚠ emplacement inconnu",IF(AND(H120&lt;&gt;"",LEFT(I120,1)&lt;&gt;H120),"⚠ mauvaise zone","OK")))</f>
        <v/>
      </c>
      <c r="K120" s="12"/>
      <c r="L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7" t="str">
        <f aca="false">IF(B121="","",TRIM(B121&amp;" "&amp;C121&amp;" "&amp;D121))</f>
        <v/>
      </c>
      <c r="G121" s="12"/>
      <c r="H121" s="12"/>
      <c r="I121" s="12"/>
      <c r="J121" s="17" t="str">
        <f aca="false">IF(I121="","",IF(COUNTIF(Emplacements!$A$2:$A$1001,I121)=0,"⚠ emplacement inconnu",IF(AND(H121&lt;&gt;"",LEFT(I121,1)&lt;&gt;H121),"⚠ mauvaise zone","OK")))</f>
        <v/>
      </c>
      <c r="K121" s="12"/>
      <c r="L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7" t="str">
        <f aca="false">IF(B122="","",TRIM(B122&amp;" "&amp;C122&amp;" "&amp;D122))</f>
        <v/>
      </c>
      <c r="G122" s="12"/>
      <c r="H122" s="12"/>
      <c r="I122" s="12"/>
      <c r="J122" s="17" t="str">
        <f aca="false">IF(I122="","",IF(COUNTIF(Emplacements!$A$2:$A$1001,I122)=0,"⚠ emplacement inconnu",IF(AND(H122&lt;&gt;"",LEFT(I122,1)&lt;&gt;H122),"⚠ mauvaise zone","OK")))</f>
        <v/>
      </c>
      <c r="K122" s="12"/>
      <c r="L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7" t="str">
        <f aca="false">IF(B123="","",TRIM(B123&amp;" "&amp;C123&amp;" "&amp;D123))</f>
        <v/>
      </c>
      <c r="G123" s="12"/>
      <c r="H123" s="12"/>
      <c r="I123" s="12"/>
      <c r="J123" s="17" t="str">
        <f aca="false">IF(I123="","",IF(COUNTIF(Emplacements!$A$2:$A$1001,I123)=0,"⚠ emplacement inconnu",IF(AND(H123&lt;&gt;"",LEFT(I123,1)&lt;&gt;H123),"⚠ mauvaise zone","OK")))</f>
        <v/>
      </c>
      <c r="K123" s="12"/>
      <c r="L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7" t="str">
        <f aca="false">IF(B124="","",TRIM(B124&amp;" "&amp;C124&amp;" "&amp;D124))</f>
        <v/>
      </c>
      <c r="G124" s="12"/>
      <c r="H124" s="12"/>
      <c r="I124" s="12"/>
      <c r="J124" s="17" t="str">
        <f aca="false">IF(I124="","",IF(COUNTIF(Emplacements!$A$2:$A$1001,I124)=0,"⚠ emplacement inconnu",IF(AND(H124&lt;&gt;"",LEFT(I124,1)&lt;&gt;H124),"⚠ mauvaise zone","OK")))</f>
        <v/>
      </c>
      <c r="K124" s="12"/>
      <c r="L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7" t="str">
        <f aca="false">IF(B125="","",TRIM(B125&amp;" "&amp;C125&amp;" "&amp;D125))</f>
        <v/>
      </c>
      <c r="G125" s="12"/>
      <c r="H125" s="12"/>
      <c r="I125" s="12"/>
      <c r="J125" s="17" t="str">
        <f aca="false">IF(I125="","",IF(COUNTIF(Emplacements!$A$2:$A$1001,I125)=0,"⚠ emplacement inconnu",IF(AND(H125&lt;&gt;"",LEFT(I125,1)&lt;&gt;H125),"⚠ mauvaise zone","OK")))</f>
        <v/>
      </c>
      <c r="K125" s="12"/>
      <c r="L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7" t="str">
        <f aca="false">IF(B126="","",TRIM(B126&amp;" "&amp;C126&amp;" "&amp;D126))</f>
        <v/>
      </c>
      <c r="G126" s="12"/>
      <c r="H126" s="12"/>
      <c r="I126" s="12"/>
      <c r="J126" s="17" t="str">
        <f aca="false">IF(I126="","",IF(COUNTIF(Emplacements!$A$2:$A$1001,I126)=0,"⚠ emplacement inconnu",IF(AND(H126&lt;&gt;"",LEFT(I126,1)&lt;&gt;H126),"⚠ mauvaise zone","OK")))</f>
        <v/>
      </c>
      <c r="K126" s="12"/>
      <c r="L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7" t="str">
        <f aca="false">IF(B127="","",TRIM(B127&amp;" "&amp;C127&amp;" "&amp;D127))</f>
        <v/>
      </c>
      <c r="G127" s="12"/>
      <c r="H127" s="12"/>
      <c r="I127" s="12"/>
      <c r="J127" s="17" t="str">
        <f aca="false">IF(I127="","",IF(COUNTIF(Emplacements!$A$2:$A$1001,I127)=0,"⚠ emplacement inconnu",IF(AND(H127&lt;&gt;"",LEFT(I127,1)&lt;&gt;H127),"⚠ mauvaise zone","OK")))</f>
        <v/>
      </c>
      <c r="K127" s="12"/>
      <c r="L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7" t="str">
        <f aca="false">IF(B128="","",TRIM(B128&amp;" "&amp;C128&amp;" "&amp;D128))</f>
        <v/>
      </c>
      <c r="G128" s="12"/>
      <c r="H128" s="12"/>
      <c r="I128" s="12"/>
      <c r="J128" s="17" t="str">
        <f aca="false">IF(I128="","",IF(COUNTIF(Emplacements!$A$2:$A$1001,I128)=0,"⚠ emplacement inconnu",IF(AND(H128&lt;&gt;"",LEFT(I128,1)&lt;&gt;H128),"⚠ mauvaise zone","OK")))</f>
        <v/>
      </c>
      <c r="K128" s="12"/>
      <c r="L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7" t="str">
        <f aca="false">IF(B129="","",TRIM(B129&amp;" "&amp;C129&amp;" "&amp;D129))</f>
        <v/>
      </c>
      <c r="G129" s="12"/>
      <c r="H129" s="12"/>
      <c r="I129" s="12"/>
      <c r="J129" s="17" t="str">
        <f aca="false">IF(I129="","",IF(COUNTIF(Emplacements!$A$2:$A$1001,I129)=0,"⚠ emplacement inconnu",IF(AND(H129&lt;&gt;"",LEFT(I129,1)&lt;&gt;H129),"⚠ mauvaise zone","OK")))</f>
        <v/>
      </c>
      <c r="K129" s="12"/>
      <c r="L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7" t="str">
        <f aca="false">IF(B130="","",TRIM(B130&amp;" "&amp;C130&amp;" "&amp;D130))</f>
        <v/>
      </c>
      <c r="G130" s="12"/>
      <c r="H130" s="12"/>
      <c r="I130" s="12"/>
      <c r="J130" s="17" t="str">
        <f aca="false">IF(I130="","",IF(COUNTIF(Emplacements!$A$2:$A$1001,I130)=0,"⚠ emplacement inconnu",IF(AND(H130&lt;&gt;"",LEFT(I130,1)&lt;&gt;H130),"⚠ mauvaise zone","OK")))</f>
        <v/>
      </c>
      <c r="K130" s="12"/>
      <c r="L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7" t="str">
        <f aca="false">IF(B131="","",TRIM(B131&amp;" "&amp;C131&amp;" "&amp;D131))</f>
        <v/>
      </c>
      <c r="G131" s="12"/>
      <c r="H131" s="12"/>
      <c r="I131" s="12"/>
      <c r="J131" s="17" t="str">
        <f aca="false">IF(I131="","",IF(COUNTIF(Emplacements!$A$2:$A$1001,I131)=0,"⚠ emplacement inconnu",IF(AND(H131&lt;&gt;"",LEFT(I131,1)&lt;&gt;H131),"⚠ mauvaise zone","OK")))</f>
        <v/>
      </c>
      <c r="K131" s="12"/>
      <c r="L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7" t="str">
        <f aca="false">IF(B132="","",TRIM(B132&amp;" "&amp;C132&amp;" "&amp;D132))</f>
        <v/>
      </c>
      <c r="G132" s="12"/>
      <c r="H132" s="12"/>
      <c r="I132" s="12"/>
      <c r="J132" s="17" t="str">
        <f aca="false">IF(I132="","",IF(COUNTIF(Emplacements!$A$2:$A$1001,I132)=0,"⚠ emplacement inconnu",IF(AND(H132&lt;&gt;"",LEFT(I132,1)&lt;&gt;H132),"⚠ mauvaise zone","OK")))</f>
        <v/>
      </c>
      <c r="K132" s="12"/>
      <c r="L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7" t="str">
        <f aca="false">IF(B133="","",TRIM(B133&amp;" "&amp;C133&amp;" "&amp;D133))</f>
        <v/>
      </c>
      <c r="G133" s="12"/>
      <c r="H133" s="12"/>
      <c r="I133" s="12"/>
      <c r="J133" s="17" t="str">
        <f aca="false">IF(I133="","",IF(COUNTIF(Emplacements!$A$2:$A$1001,I133)=0,"⚠ emplacement inconnu",IF(AND(H133&lt;&gt;"",LEFT(I133,1)&lt;&gt;H133),"⚠ mauvaise zone","OK")))</f>
        <v/>
      </c>
      <c r="K133" s="12"/>
      <c r="L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7" t="str">
        <f aca="false">IF(B134="","",TRIM(B134&amp;" "&amp;C134&amp;" "&amp;D134))</f>
        <v/>
      </c>
      <c r="G134" s="12"/>
      <c r="H134" s="12"/>
      <c r="I134" s="12"/>
      <c r="J134" s="17" t="str">
        <f aca="false">IF(I134="","",IF(COUNTIF(Emplacements!$A$2:$A$1001,I134)=0,"⚠ emplacement inconnu",IF(AND(H134&lt;&gt;"",LEFT(I134,1)&lt;&gt;H134),"⚠ mauvaise zone","OK")))</f>
        <v/>
      </c>
      <c r="K134" s="12"/>
      <c r="L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7" t="str">
        <f aca="false">IF(B135="","",TRIM(B135&amp;" "&amp;C135&amp;" "&amp;D135))</f>
        <v/>
      </c>
      <c r="G135" s="12"/>
      <c r="H135" s="12"/>
      <c r="I135" s="12"/>
      <c r="J135" s="17" t="str">
        <f aca="false">IF(I135="","",IF(COUNTIF(Emplacements!$A$2:$A$1001,I135)=0,"⚠ emplacement inconnu",IF(AND(H135&lt;&gt;"",LEFT(I135,1)&lt;&gt;H135),"⚠ mauvaise zone","OK")))</f>
        <v/>
      </c>
      <c r="K135" s="12"/>
      <c r="L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7" t="str">
        <f aca="false">IF(B136="","",TRIM(B136&amp;" "&amp;C136&amp;" "&amp;D136))</f>
        <v/>
      </c>
      <c r="G136" s="12"/>
      <c r="H136" s="12"/>
      <c r="I136" s="12"/>
      <c r="J136" s="17" t="str">
        <f aca="false">IF(I136="","",IF(COUNTIF(Emplacements!$A$2:$A$1001,I136)=0,"⚠ emplacement inconnu",IF(AND(H136&lt;&gt;"",LEFT(I136,1)&lt;&gt;H136),"⚠ mauvaise zone","OK")))</f>
        <v/>
      </c>
      <c r="K136" s="12"/>
      <c r="L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7" t="str">
        <f aca="false">IF(B137="","",TRIM(B137&amp;" "&amp;C137&amp;" "&amp;D137))</f>
        <v/>
      </c>
      <c r="G137" s="12"/>
      <c r="H137" s="12"/>
      <c r="I137" s="12"/>
      <c r="J137" s="17" t="str">
        <f aca="false">IF(I137="","",IF(COUNTIF(Emplacements!$A$2:$A$1001,I137)=0,"⚠ emplacement inconnu",IF(AND(H137&lt;&gt;"",LEFT(I137,1)&lt;&gt;H137),"⚠ mauvaise zone","OK")))</f>
        <v/>
      </c>
      <c r="K137" s="12"/>
      <c r="L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7" t="str">
        <f aca="false">IF(B138="","",TRIM(B138&amp;" "&amp;C138&amp;" "&amp;D138))</f>
        <v/>
      </c>
      <c r="G138" s="12"/>
      <c r="H138" s="12"/>
      <c r="I138" s="12"/>
      <c r="J138" s="17" t="str">
        <f aca="false">IF(I138="","",IF(COUNTIF(Emplacements!$A$2:$A$1001,I138)=0,"⚠ emplacement inconnu",IF(AND(H138&lt;&gt;"",LEFT(I138,1)&lt;&gt;H138),"⚠ mauvaise zone","OK")))</f>
        <v/>
      </c>
      <c r="K138" s="12"/>
      <c r="L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7" t="str">
        <f aca="false">IF(B139="","",TRIM(B139&amp;" "&amp;C139&amp;" "&amp;D139))</f>
        <v/>
      </c>
      <c r="G139" s="12"/>
      <c r="H139" s="12"/>
      <c r="I139" s="12"/>
      <c r="J139" s="17" t="str">
        <f aca="false">IF(I139="","",IF(COUNTIF(Emplacements!$A$2:$A$1001,I139)=0,"⚠ emplacement inconnu",IF(AND(H139&lt;&gt;"",LEFT(I139,1)&lt;&gt;H139),"⚠ mauvaise zone","OK")))</f>
        <v/>
      </c>
      <c r="K139" s="12"/>
      <c r="L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7" t="str">
        <f aca="false">IF(B140="","",TRIM(B140&amp;" "&amp;C140&amp;" "&amp;D140))</f>
        <v/>
      </c>
      <c r="G140" s="12"/>
      <c r="H140" s="12"/>
      <c r="I140" s="12"/>
      <c r="J140" s="17" t="str">
        <f aca="false">IF(I140="","",IF(COUNTIF(Emplacements!$A$2:$A$1001,I140)=0,"⚠ emplacement inconnu",IF(AND(H140&lt;&gt;"",LEFT(I140,1)&lt;&gt;H140),"⚠ mauvaise zone","OK")))</f>
        <v/>
      </c>
      <c r="K140" s="12"/>
      <c r="L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7" t="str">
        <f aca="false">IF(B141="","",TRIM(B141&amp;" "&amp;C141&amp;" "&amp;D141))</f>
        <v/>
      </c>
      <c r="G141" s="12"/>
      <c r="H141" s="12"/>
      <c r="I141" s="12"/>
      <c r="J141" s="17" t="str">
        <f aca="false">IF(I141="","",IF(COUNTIF(Emplacements!$A$2:$A$1001,I141)=0,"⚠ emplacement inconnu",IF(AND(H141&lt;&gt;"",LEFT(I141,1)&lt;&gt;H141),"⚠ mauvaise zone","OK")))</f>
        <v/>
      </c>
      <c r="K141" s="12"/>
      <c r="L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7" t="str">
        <f aca="false">IF(B142="","",TRIM(B142&amp;" "&amp;C142&amp;" "&amp;D142))</f>
        <v/>
      </c>
      <c r="G142" s="12"/>
      <c r="H142" s="12"/>
      <c r="I142" s="12"/>
      <c r="J142" s="17" t="str">
        <f aca="false">IF(I142="","",IF(COUNTIF(Emplacements!$A$2:$A$1001,I142)=0,"⚠ emplacement inconnu",IF(AND(H142&lt;&gt;"",LEFT(I142,1)&lt;&gt;H142),"⚠ mauvaise zone","OK")))</f>
        <v/>
      </c>
      <c r="K142" s="12"/>
      <c r="L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7" t="str">
        <f aca="false">IF(B143="","",TRIM(B143&amp;" "&amp;C143&amp;" "&amp;D143))</f>
        <v/>
      </c>
      <c r="G143" s="12"/>
      <c r="H143" s="12"/>
      <c r="I143" s="12"/>
      <c r="J143" s="17" t="str">
        <f aca="false">IF(I143="","",IF(COUNTIF(Emplacements!$A$2:$A$1001,I143)=0,"⚠ emplacement inconnu",IF(AND(H143&lt;&gt;"",LEFT(I143,1)&lt;&gt;H143),"⚠ mauvaise zone","OK")))</f>
        <v/>
      </c>
      <c r="K143" s="12"/>
      <c r="L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7" t="str">
        <f aca="false">IF(B144="","",TRIM(B144&amp;" "&amp;C144&amp;" "&amp;D144))</f>
        <v/>
      </c>
      <c r="G144" s="12"/>
      <c r="H144" s="12"/>
      <c r="I144" s="12"/>
      <c r="J144" s="17" t="str">
        <f aca="false">IF(I144="","",IF(COUNTIF(Emplacements!$A$2:$A$1001,I144)=0,"⚠ emplacement inconnu",IF(AND(H144&lt;&gt;"",LEFT(I144,1)&lt;&gt;H144),"⚠ mauvaise zone","OK")))</f>
        <v/>
      </c>
      <c r="K144" s="12"/>
      <c r="L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7" t="str">
        <f aca="false">IF(B145="","",TRIM(B145&amp;" "&amp;C145&amp;" "&amp;D145))</f>
        <v/>
      </c>
      <c r="G145" s="12"/>
      <c r="H145" s="12"/>
      <c r="I145" s="12"/>
      <c r="J145" s="17" t="str">
        <f aca="false">IF(I145="","",IF(COUNTIF(Emplacements!$A$2:$A$1001,I145)=0,"⚠ emplacement inconnu",IF(AND(H145&lt;&gt;"",LEFT(I145,1)&lt;&gt;H145),"⚠ mauvaise zone","OK")))</f>
        <v/>
      </c>
      <c r="K145" s="12"/>
      <c r="L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7" t="str">
        <f aca="false">IF(B146="","",TRIM(B146&amp;" "&amp;C146&amp;" "&amp;D146))</f>
        <v/>
      </c>
      <c r="G146" s="12"/>
      <c r="H146" s="12"/>
      <c r="I146" s="12"/>
      <c r="J146" s="17" t="str">
        <f aca="false">IF(I146="","",IF(COUNTIF(Emplacements!$A$2:$A$1001,I146)=0,"⚠ emplacement inconnu",IF(AND(H146&lt;&gt;"",LEFT(I146,1)&lt;&gt;H146),"⚠ mauvaise zone","OK")))</f>
        <v/>
      </c>
      <c r="K146" s="12"/>
      <c r="L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7" t="str">
        <f aca="false">IF(B147="","",TRIM(B147&amp;" "&amp;C147&amp;" "&amp;D147))</f>
        <v/>
      </c>
      <c r="G147" s="12"/>
      <c r="H147" s="12"/>
      <c r="I147" s="12"/>
      <c r="J147" s="17" t="str">
        <f aca="false">IF(I147="","",IF(COUNTIF(Emplacements!$A$2:$A$1001,I147)=0,"⚠ emplacement inconnu",IF(AND(H147&lt;&gt;"",LEFT(I147,1)&lt;&gt;H147),"⚠ mauvaise zone","OK")))</f>
        <v/>
      </c>
      <c r="K147" s="12"/>
      <c r="L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7" t="str">
        <f aca="false">IF(B148="","",TRIM(B148&amp;" "&amp;C148&amp;" "&amp;D148))</f>
        <v/>
      </c>
      <c r="G148" s="12"/>
      <c r="H148" s="12"/>
      <c r="I148" s="12"/>
      <c r="J148" s="17" t="str">
        <f aca="false">IF(I148="","",IF(COUNTIF(Emplacements!$A$2:$A$1001,I148)=0,"⚠ emplacement inconnu",IF(AND(H148&lt;&gt;"",LEFT(I148,1)&lt;&gt;H148),"⚠ mauvaise zone","OK")))</f>
        <v/>
      </c>
      <c r="K148" s="12"/>
      <c r="L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7" t="str">
        <f aca="false">IF(B149="","",TRIM(B149&amp;" "&amp;C149&amp;" "&amp;D149))</f>
        <v/>
      </c>
      <c r="G149" s="12"/>
      <c r="H149" s="12"/>
      <c r="I149" s="12"/>
      <c r="J149" s="17" t="str">
        <f aca="false">IF(I149="","",IF(COUNTIF(Emplacements!$A$2:$A$1001,I149)=0,"⚠ emplacement inconnu",IF(AND(H149&lt;&gt;"",LEFT(I149,1)&lt;&gt;H149),"⚠ mauvaise zone","OK")))</f>
        <v/>
      </c>
      <c r="K149" s="12"/>
      <c r="L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7" t="str">
        <f aca="false">IF(B150="","",TRIM(B150&amp;" "&amp;C150&amp;" "&amp;D150))</f>
        <v/>
      </c>
      <c r="G150" s="12"/>
      <c r="H150" s="12"/>
      <c r="I150" s="12"/>
      <c r="J150" s="17" t="str">
        <f aca="false">IF(I150="","",IF(COUNTIF(Emplacements!$A$2:$A$1001,I150)=0,"⚠ emplacement inconnu",IF(AND(H150&lt;&gt;"",LEFT(I150,1)&lt;&gt;H150),"⚠ mauvaise zone","OK")))</f>
        <v/>
      </c>
      <c r="K150" s="12"/>
      <c r="L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7" t="str">
        <f aca="false">IF(B151="","",TRIM(B151&amp;" "&amp;C151&amp;" "&amp;D151))</f>
        <v/>
      </c>
      <c r="G151" s="12"/>
      <c r="H151" s="12"/>
      <c r="I151" s="12"/>
      <c r="J151" s="17" t="str">
        <f aca="false">IF(I151="","",IF(COUNTIF(Emplacements!$A$2:$A$1001,I151)=0,"⚠ emplacement inconnu",IF(AND(H151&lt;&gt;"",LEFT(I151,1)&lt;&gt;H151),"⚠ mauvaise zone","OK")))</f>
        <v/>
      </c>
      <c r="K151" s="12"/>
      <c r="L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7" t="str">
        <f aca="false">IF(B152="","",TRIM(B152&amp;" "&amp;C152&amp;" "&amp;D152))</f>
        <v/>
      </c>
      <c r="G152" s="12"/>
      <c r="H152" s="12"/>
      <c r="I152" s="12"/>
      <c r="J152" s="17" t="str">
        <f aca="false">IF(I152="","",IF(COUNTIF(Emplacements!$A$2:$A$1001,I152)=0,"⚠ emplacement inconnu",IF(AND(H152&lt;&gt;"",LEFT(I152,1)&lt;&gt;H152),"⚠ mauvaise zone","OK")))</f>
        <v/>
      </c>
      <c r="K152" s="12"/>
      <c r="L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7" t="str">
        <f aca="false">IF(B153="","",TRIM(B153&amp;" "&amp;C153&amp;" "&amp;D153))</f>
        <v/>
      </c>
      <c r="G153" s="12"/>
      <c r="H153" s="12"/>
      <c r="I153" s="12"/>
      <c r="J153" s="17" t="str">
        <f aca="false">IF(I153="","",IF(COUNTIF(Emplacements!$A$2:$A$1001,I153)=0,"⚠ emplacement inconnu",IF(AND(H153&lt;&gt;"",LEFT(I153,1)&lt;&gt;H153),"⚠ mauvaise zone","OK")))</f>
        <v/>
      </c>
      <c r="K153" s="12"/>
      <c r="L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7" t="str">
        <f aca="false">IF(B154="","",TRIM(B154&amp;" "&amp;C154&amp;" "&amp;D154))</f>
        <v/>
      </c>
      <c r="G154" s="12"/>
      <c r="H154" s="12"/>
      <c r="I154" s="12"/>
      <c r="J154" s="17" t="str">
        <f aca="false">IF(I154="","",IF(COUNTIF(Emplacements!$A$2:$A$1001,I154)=0,"⚠ emplacement inconnu",IF(AND(H154&lt;&gt;"",LEFT(I154,1)&lt;&gt;H154),"⚠ mauvaise zone","OK")))</f>
        <v/>
      </c>
      <c r="K154" s="12"/>
      <c r="L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7" t="str">
        <f aca="false">IF(B155="","",TRIM(B155&amp;" "&amp;C155&amp;" "&amp;D155))</f>
        <v/>
      </c>
      <c r="G155" s="12"/>
      <c r="H155" s="12"/>
      <c r="I155" s="12"/>
      <c r="J155" s="17" t="str">
        <f aca="false">IF(I155="","",IF(COUNTIF(Emplacements!$A$2:$A$1001,I155)=0,"⚠ emplacement inconnu",IF(AND(H155&lt;&gt;"",LEFT(I155,1)&lt;&gt;H155),"⚠ mauvaise zone","OK")))</f>
        <v/>
      </c>
      <c r="K155" s="12"/>
      <c r="L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7" t="str">
        <f aca="false">IF(B156="","",TRIM(B156&amp;" "&amp;C156&amp;" "&amp;D156))</f>
        <v/>
      </c>
      <c r="G156" s="12"/>
      <c r="H156" s="12"/>
      <c r="I156" s="12"/>
      <c r="J156" s="17" t="str">
        <f aca="false">IF(I156="","",IF(COUNTIF(Emplacements!$A$2:$A$1001,I156)=0,"⚠ emplacement inconnu",IF(AND(H156&lt;&gt;"",LEFT(I156,1)&lt;&gt;H156),"⚠ mauvaise zone","OK")))</f>
        <v/>
      </c>
      <c r="K156" s="12"/>
      <c r="L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7" t="str">
        <f aca="false">IF(B157="","",TRIM(B157&amp;" "&amp;C157&amp;" "&amp;D157))</f>
        <v/>
      </c>
      <c r="G157" s="12"/>
      <c r="H157" s="12"/>
      <c r="I157" s="12"/>
      <c r="J157" s="17" t="str">
        <f aca="false">IF(I157="","",IF(COUNTIF(Emplacements!$A$2:$A$1001,I157)=0,"⚠ emplacement inconnu",IF(AND(H157&lt;&gt;"",LEFT(I157,1)&lt;&gt;H157),"⚠ mauvaise zone","OK")))</f>
        <v/>
      </c>
      <c r="K157" s="12"/>
      <c r="L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7" t="str">
        <f aca="false">IF(B158="","",TRIM(B158&amp;" "&amp;C158&amp;" "&amp;D158))</f>
        <v/>
      </c>
      <c r="G158" s="12"/>
      <c r="H158" s="12"/>
      <c r="I158" s="12"/>
      <c r="J158" s="17" t="str">
        <f aca="false">IF(I158="","",IF(COUNTIF(Emplacements!$A$2:$A$1001,I158)=0,"⚠ emplacement inconnu",IF(AND(H158&lt;&gt;"",LEFT(I158,1)&lt;&gt;H158),"⚠ mauvaise zone","OK")))</f>
        <v/>
      </c>
      <c r="K158" s="12"/>
      <c r="L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7" t="str">
        <f aca="false">IF(B159="","",TRIM(B159&amp;" "&amp;C159&amp;" "&amp;D159))</f>
        <v/>
      </c>
      <c r="G159" s="12"/>
      <c r="H159" s="12"/>
      <c r="I159" s="12"/>
      <c r="J159" s="17" t="str">
        <f aca="false">IF(I159="","",IF(COUNTIF(Emplacements!$A$2:$A$1001,I159)=0,"⚠ emplacement inconnu",IF(AND(H159&lt;&gt;"",LEFT(I159,1)&lt;&gt;H159),"⚠ mauvaise zone","OK")))</f>
        <v/>
      </c>
      <c r="K159" s="12"/>
      <c r="L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7" t="str">
        <f aca="false">IF(B160="","",TRIM(B160&amp;" "&amp;C160&amp;" "&amp;D160))</f>
        <v/>
      </c>
      <c r="G160" s="12"/>
      <c r="H160" s="12"/>
      <c r="I160" s="12"/>
      <c r="J160" s="17" t="str">
        <f aca="false">IF(I160="","",IF(COUNTIF(Emplacements!$A$2:$A$1001,I160)=0,"⚠ emplacement inconnu",IF(AND(H160&lt;&gt;"",LEFT(I160,1)&lt;&gt;H160),"⚠ mauvaise zone","OK")))</f>
        <v/>
      </c>
      <c r="K160" s="12"/>
      <c r="L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7" t="str">
        <f aca="false">IF(B161="","",TRIM(B161&amp;" "&amp;C161&amp;" "&amp;D161))</f>
        <v/>
      </c>
      <c r="G161" s="12"/>
      <c r="H161" s="12"/>
      <c r="I161" s="12"/>
      <c r="J161" s="17" t="str">
        <f aca="false">IF(I161="","",IF(COUNTIF(Emplacements!$A$2:$A$1001,I161)=0,"⚠ emplacement inconnu",IF(AND(H161&lt;&gt;"",LEFT(I161,1)&lt;&gt;H161),"⚠ mauvaise zone","OK")))</f>
        <v/>
      </c>
      <c r="K161" s="12"/>
      <c r="L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7" t="str">
        <f aca="false">IF(B162="","",TRIM(B162&amp;" "&amp;C162&amp;" "&amp;D162))</f>
        <v/>
      </c>
      <c r="G162" s="12"/>
      <c r="H162" s="12"/>
      <c r="I162" s="12"/>
      <c r="J162" s="17" t="str">
        <f aca="false">IF(I162="","",IF(COUNTIF(Emplacements!$A$2:$A$1001,I162)=0,"⚠ emplacement inconnu",IF(AND(H162&lt;&gt;"",LEFT(I162,1)&lt;&gt;H162),"⚠ mauvaise zone","OK")))</f>
        <v/>
      </c>
      <c r="K162" s="12"/>
      <c r="L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7" t="str">
        <f aca="false">IF(B163="","",TRIM(B163&amp;" "&amp;C163&amp;" "&amp;D163))</f>
        <v/>
      </c>
      <c r="G163" s="12"/>
      <c r="H163" s="12"/>
      <c r="I163" s="12"/>
      <c r="J163" s="17" t="str">
        <f aca="false">IF(I163="","",IF(COUNTIF(Emplacements!$A$2:$A$1001,I163)=0,"⚠ emplacement inconnu",IF(AND(H163&lt;&gt;"",LEFT(I163,1)&lt;&gt;H163),"⚠ mauvaise zone","OK")))</f>
        <v/>
      </c>
      <c r="K163" s="12"/>
      <c r="L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7" t="str">
        <f aca="false">IF(B164="","",TRIM(B164&amp;" "&amp;C164&amp;" "&amp;D164))</f>
        <v/>
      </c>
      <c r="G164" s="12"/>
      <c r="H164" s="12"/>
      <c r="I164" s="12"/>
      <c r="J164" s="17" t="str">
        <f aca="false">IF(I164="","",IF(COUNTIF(Emplacements!$A$2:$A$1001,I164)=0,"⚠ emplacement inconnu",IF(AND(H164&lt;&gt;"",LEFT(I164,1)&lt;&gt;H164),"⚠ mauvaise zone","OK")))</f>
        <v/>
      </c>
      <c r="K164" s="12"/>
      <c r="L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7" t="str">
        <f aca="false">IF(B165="","",TRIM(B165&amp;" "&amp;C165&amp;" "&amp;D165))</f>
        <v/>
      </c>
      <c r="G165" s="12"/>
      <c r="H165" s="12"/>
      <c r="I165" s="12"/>
      <c r="J165" s="17" t="str">
        <f aca="false">IF(I165="","",IF(COUNTIF(Emplacements!$A$2:$A$1001,I165)=0,"⚠ emplacement inconnu",IF(AND(H165&lt;&gt;"",LEFT(I165,1)&lt;&gt;H165),"⚠ mauvaise zone","OK")))</f>
        <v/>
      </c>
      <c r="K165" s="12"/>
      <c r="L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7" t="str">
        <f aca="false">IF(B166="","",TRIM(B166&amp;" "&amp;C166&amp;" "&amp;D166))</f>
        <v/>
      </c>
      <c r="G166" s="12"/>
      <c r="H166" s="12"/>
      <c r="I166" s="12"/>
      <c r="J166" s="17" t="str">
        <f aca="false">IF(I166="","",IF(COUNTIF(Emplacements!$A$2:$A$1001,I166)=0,"⚠ emplacement inconnu",IF(AND(H166&lt;&gt;"",LEFT(I166,1)&lt;&gt;H166),"⚠ mauvaise zone","OK")))</f>
        <v/>
      </c>
      <c r="K166" s="12"/>
      <c r="L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7" t="str">
        <f aca="false">IF(B167="","",TRIM(B167&amp;" "&amp;C167&amp;" "&amp;D167))</f>
        <v/>
      </c>
      <c r="G167" s="12"/>
      <c r="H167" s="12"/>
      <c r="I167" s="12"/>
      <c r="J167" s="17" t="str">
        <f aca="false">IF(I167="","",IF(COUNTIF(Emplacements!$A$2:$A$1001,I167)=0,"⚠ emplacement inconnu",IF(AND(H167&lt;&gt;"",LEFT(I167,1)&lt;&gt;H167),"⚠ mauvaise zone","OK")))</f>
        <v/>
      </c>
      <c r="K167" s="12"/>
      <c r="L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7" t="str">
        <f aca="false">IF(B168="","",TRIM(B168&amp;" "&amp;C168&amp;" "&amp;D168))</f>
        <v/>
      </c>
      <c r="G168" s="12"/>
      <c r="H168" s="12"/>
      <c r="I168" s="12"/>
      <c r="J168" s="17" t="str">
        <f aca="false">IF(I168="","",IF(COUNTIF(Emplacements!$A$2:$A$1001,I168)=0,"⚠ emplacement inconnu",IF(AND(H168&lt;&gt;"",LEFT(I168,1)&lt;&gt;H168),"⚠ mauvaise zone","OK")))</f>
        <v/>
      </c>
      <c r="K168" s="12"/>
      <c r="L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7" t="str">
        <f aca="false">IF(B169="","",TRIM(B169&amp;" "&amp;C169&amp;" "&amp;D169))</f>
        <v/>
      </c>
      <c r="G169" s="12"/>
      <c r="H169" s="12"/>
      <c r="I169" s="12"/>
      <c r="J169" s="17" t="str">
        <f aca="false">IF(I169="","",IF(COUNTIF(Emplacements!$A$2:$A$1001,I169)=0,"⚠ emplacement inconnu",IF(AND(H169&lt;&gt;"",LEFT(I169,1)&lt;&gt;H169),"⚠ mauvaise zone","OK")))</f>
        <v/>
      </c>
      <c r="K169" s="12"/>
      <c r="L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7" t="str">
        <f aca="false">IF(B170="","",TRIM(B170&amp;" "&amp;C170&amp;" "&amp;D170))</f>
        <v/>
      </c>
      <c r="G170" s="12"/>
      <c r="H170" s="12"/>
      <c r="I170" s="12"/>
      <c r="J170" s="17" t="str">
        <f aca="false">IF(I170="","",IF(COUNTIF(Emplacements!$A$2:$A$1001,I170)=0,"⚠ emplacement inconnu",IF(AND(H170&lt;&gt;"",LEFT(I170,1)&lt;&gt;H170),"⚠ mauvaise zone","OK")))</f>
        <v/>
      </c>
      <c r="K170" s="12"/>
      <c r="L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7" t="str">
        <f aca="false">IF(B171="","",TRIM(B171&amp;" "&amp;C171&amp;" "&amp;D171))</f>
        <v/>
      </c>
      <c r="G171" s="12"/>
      <c r="H171" s="12"/>
      <c r="I171" s="12"/>
      <c r="J171" s="17" t="str">
        <f aca="false">IF(I171="","",IF(COUNTIF(Emplacements!$A$2:$A$1001,I171)=0,"⚠ emplacement inconnu",IF(AND(H171&lt;&gt;"",LEFT(I171,1)&lt;&gt;H171),"⚠ mauvaise zone","OK")))</f>
        <v/>
      </c>
      <c r="K171" s="12"/>
      <c r="L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7" t="str">
        <f aca="false">IF(B172="","",TRIM(B172&amp;" "&amp;C172&amp;" "&amp;D172))</f>
        <v/>
      </c>
      <c r="G172" s="12"/>
      <c r="H172" s="12"/>
      <c r="I172" s="12"/>
      <c r="J172" s="17" t="str">
        <f aca="false">IF(I172="","",IF(COUNTIF(Emplacements!$A$2:$A$1001,I172)=0,"⚠ emplacement inconnu",IF(AND(H172&lt;&gt;"",LEFT(I172,1)&lt;&gt;H172),"⚠ mauvaise zone","OK")))</f>
        <v/>
      </c>
      <c r="K172" s="12"/>
      <c r="L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7" t="str">
        <f aca="false">IF(B173="","",TRIM(B173&amp;" "&amp;C173&amp;" "&amp;D173))</f>
        <v/>
      </c>
      <c r="G173" s="12"/>
      <c r="H173" s="12"/>
      <c r="I173" s="12"/>
      <c r="J173" s="17" t="str">
        <f aca="false">IF(I173="","",IF(COUNTIF(Emplacements!$A$2:$A$1001,I173)=0,"⚠ emplacement inconnu",IF(AND(H173&lt;&gt;"",LEFT(I173,1)&lt;&gt;H173),"⚠ mauvaise zone","OK")))</f>
        <v/>
      </c>
      <c r="K173" s="12"/>
      <c r="L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7" t="str">
        <f aca="false">IF(B174="","",TRIM(B174&amp;" "&amp;C174&amp;" "&amp;D174))</f>
        <v/>
      </c>
      <c r="G174" s="12"/>
      <c r="H174" s="12"/>
      <c r="I174" s="12"/>
      <c r="J174" s="17" t="str">
        <f aca="false">IF(I174="","",IF(COUNTIF(Emplacements!$A$2:$A$1001,I174)=0,"⚠ emplacement inconnu",IF(AND(H174&lt;&gt;"",LEFT(I174,1)&lt;&gt;H174),"⚠ mauvaise zone","OK")))</f>
        <v/>
      </c>
      <c r="K174" s="12"/>
      <c r="L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7" t="str">
        <f aca="false">IF(B175="","",TRIM(B175&amp;" "&amp;C175&amp;" "&amp;D175))</f>
        <v/>
      </c>
      <c r="G175" s="12"/>
      <c r="H175" s="12"/>
      <c r="I175" s="12"/>
      <c r="J175" s="17" t="str">
        <f aca="false">IF(I175="","",IF(COUNTIF(Emplacements!$A$2:$A$1001,I175)=0,"⚠ emplacement inconnu",IF(AND(H175&lt;&gt;"",LEFT(I175,1)&lt;&gt;H175),"⚠ mauvaise zone","OK")))</f>
        <v/>
      </c>
      <c r="K175" s="12"/>
      <c r="L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7" t="str">
        <f aca="false">IF(B176="","",TRIM(B176&amp;" "&amp;C176&amp;" "&amp;D176))</f>
        <v/>
      </c>
      <c r="G176" s="12"/>
      <c r="H176" s="12"/>
      <c r="I176" s="12"/>
      <c r="J176" s="17" t="str">
        <f aca="false">IF(I176="","",IF(COUNTIF(Emplacements!$A$2:$A$1001,I176)=0,"⚠ emplacement inconnu",IF(AND(H176&lt;&gt;"",LEFT(I176,1)&lt;&gt;H176),"⚠ mauvaise zone","OK")))</f>
        <v/>
      </c>
      <c r="K176" s="12"/>
      <c r="L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7" t="str">
        <f aca="false">IF(B177="","",TRIM(B177&amp;" "&amp;C177&amp;" "&amp;D177))</f>
        <v/>
      </c>
      <c r="G177" s="12"/>
      <c r="H177" s="12"/>
      <c r="I177" s="12"/>
      <c r="J177" s="17" t="str">
        <f aca="false">IF(I177="","",IF(COUNTIF(Emplacements!$A$2:$A$1001,I177)=0,"⚠ emplacement inconnu",IF(AND(H177&lt;&gt;"",LEFT(I177,1)&lt;&gt;H177),"⚠ mauvaise zone","OK")))</f>
        <v/>
      </c>
      <c r="K177" s="12"/>
      <c r="L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7" t="str">
        <f aca="false">IF(B178="","",TRIM(B178&amp;" "&amp;C178&amp;" "&amp;D178))</f>
        <v/>
      </c>
      <c r="G178" s="12"/>
      <c r="H178" s="12"/>
      <c r="I178" s="12"/>
      <c r="J178" s="17" t="str">
        <f aca="false">IF(I178="","",IF(COUNTIF(Emplacements!$A$2:$A$1001,I178)=0,"⚠ emplacement inconnu",IF(AND(H178&lt;&gt;"",LEFT(I178,1)&lt;&gt;H178),"⚠ mauvaise zone","OK")))</f>
        <v/>
      </c>
      <c r="K178" s="12"/>
      <c r="L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7" t="str">
        <f aca="false">IF(B179="","",TRIM(B179&amp;" "&amp;C179&amp;" "&amp;D179))</f>
        <v/>
      </c>
      <c r="G179" s="12"/>
      <c r="H179" s="12"/>
      <c r="I179" s="12"/>
      <c r="J179" s="17" t="str">
        <f aca="false">IF(I179="","",IF(COUNTIF(Emplacements!$A$2:$A$1001,I179)=0,"⚠ emplacement inconnu",IF(AND(H179&lt;&gt;"",LEFT(I179,1)&lt;&gt;H179),"⚠ mauvaise zone","OK")))</f>
        <v/>
      </c>
      <c r="K179" s="12"/>
      <c r="L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7" t="str">
        <f aca="false">IF(B180="","",TRIM(B180&amp;" "&amp;C180&amp;" "&amp;D180))</f>
        <v/>
      </c>
      <c r="G180" s="12"/>
      <c r="H180" s="12"/>
      <c r="I180" s="12"/>
      <c r="J180" s="17" t="str">
        <f aca="false">IF(I180="","",IF(COUNTIF(Emplacements!$A$2:$A$1001,I180)=0,"⚠ emplacement inconnu",IF(AND(H180&lt;&gt;"",LEFT(I180,1)&lt;&gt;H180),"⚠ mauvaise zone","OK")))</f>
        <v/>
      </c>
      <c r="K180" s="12"/>
      <c r="L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7" t="str">
        <f aca="false">IF(B181="","",TRIM(B181&amp;" "&amp;C181&amp;" "&amp;D181))</f>
        <v/>
      </c>
      <c r="G181" s="12"/>
      <c r="H181" s="12"/>
      <c r="I181" s="12"/>
      <c r="J181" s="17" t="str">
        <f aca="false">IF(I181="","",IF(COUNTIF(Emplacements!$A$2:$A$1001,I181)=0,"⚠ emplacement inconnu",IF(AND(H181&lt;&gt;"",LEFT(I181,1)&lt;&gt;H181),"⚠ mauvaise zone","OK")))</f>
        <v/>
      </c>
      <c r="K181" s="12"/>
      <c r="L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7" t="str">
        <f aca="false">IF(B182="","",TRIM(B182&amp;" "&amp;C182&amp;" "&amp;D182))</f>
        <v/>
      </c>
      <c r="G182" s="12"/>
      <c r="H182" s="12"/>
      <c r="I182" s="12"/>
      <c r="J182" s="17" t="str">
        <f aca="false">IF(I182="","",IF(COUNTIF(Emplacements!$A$2:$A$1001,I182)=0,"⚠ emplacement inconnu",IF(AND(H182&lt;&gt;"",LEFT(I182,1)&lt;&gt;H182),"⚠ mauvaise zone","OK")))</f>
        <v/>
      </c>
      <c r="K182" s="12"/>
      <c r="L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7" t="str">
        <f aca="false">IF(B183="","",TRIM(B183&amp;" "&amp;C183&amp;" "&amp;D183))</f>
        <v/>
      </c>
      <c r="G183" s="12"/>
      <c r="H183" s="12"/>
      <c r="I183" s="12"/>
      <c r="J183" s="17" t="str">
        <f aca="false">IF(I183="","",IF(COUNTIF(Emplacements!$A$2:$A$1001,I183)=0,"⚠ emplacement inconnu",IF(AND(H183&lt;&gt;"",LEFT(I183,1)&lt;&gt;H183),"⚠ mauvaise zone","OK")))</f>
        <v/>
      </c>
      <c r="K183" s="12"/>
      <c r="L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7" t="str">
        <f aca="false">IF(B184="","",TRIM(B184&amp;" "&amp;C184&amp;" "&amp;D184))</f>
        <v/>
      </c>
      <c r="G184" s="12"/>
      <c r="H184" s="12"/>
      <c r="I184" s="12"/>
      <c r="J184" s="17" t="str">
        <f aca="false">IF(I184="","",IF(COUNTIF(Emplacements!$A$2:$A$1001,I184)=0,"⚠ emplacement inconnu",IF(AND(H184&lt;&gt;"",LEFT(I184,1)&lt;&gt;H184),"⚠ mauvaise zone","OK")))</f>
        <v/>
      </c>
      <c r="K184" s="12"/>
      <c r="L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7" t="str">
        <f aca="false">IF(B185="","",TRIM(B185&amp;" "&amp;C185&amp;" "&amp;D185))</f>
        <v/>
      </c>
      <c r="G185" s="12"/>
      <c r="H185" s="12"/>
      <c r="I185" s="12"/>
      <c r="J185" s="17" t="str">
        <f aca="false">IF(I185="","",IF(COUNTIF(Emplacements!$A$2:$A$1001,I185)=0,"⚠ emplacement inconnu",IF(AND(H185&lt;&gt;"",LEFT(I185,1)&lt;&gt;H185),"⚠ mauvaise zone","OK")))</f>
        <v/>
      </c>
      <c r="K185" s="12"/>
      <c r="L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7" t="str">
        <f aca="false">IF(B186="","",TRIM(B186&amp;" "&amp;C186&amp;" "&amp;D186))</f>
        <v/>
      </c>
      <c r="G186" s="12"/>
      <c r="H186" s="12"/>
      <c r="I186" s="12"/>
      <c r="J186" s="17" t="str">
        <f aca="false">IF(I186="","",IF(COUNTIF(Emplacements!$A$2:$A$1001,I186)=0,"⚠ emplacement inconnu",IF(AND(H186&lt;&gt;"",LEFT(I186,1)&lt;&gt;H186),"⚠ mauvaise zone","OK")))</f>
        <v/>
      </c>
      <c r="K186" s="12"/>
      <c r="L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7" t="str">
        <f aca="false">IF(B187="","",TRIM(B187&amp;" "&amp;C187&amp;" "&amp;D187))</f>
        <v/>
      </c>
      <c r="G187" s="12"/>
      <c r="H187" s="12"/>
      <c r="I187" s="12"/>
      <c r="J187" s="17" t="str">
        <f aca="false">IF(I187="","",IF(COUNTIF(Emplacements!$A$2:$A$1001,I187)=0,"⚠ emplacement inconnu",IF(AND(H187&lt;&gt;"",LEFT(I187,1)&lt;&gt;H187),"⚠ mauvaise zone","OK")))</f>
        <v/>
      </c>
      <c r="K187" s="12"/>
      <c r="L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7" t="str">
        <f aca="false">IF(B188="","",TRIM(B188&amp;" "&amp;C188&amp;" "&amp;D188))</f>
        <v/>
      </c>
      <c r="G188" s="12"/>
      <c r="H188" s="12"/>
      <c r="I188" s="12"/>
      <c r="J188" s="17" t="str">
        <f aca="false">IF(I188="","",IF(COUNTIF(Emplacements!$A$2:$A$1001,I188)=0,"⚠ emplacement inconnu",IF(AND(H188&lt;&gt;"",LEFT(I188,1)&lt;&gt;H188),"⚠ mauvaise zone","OK")))</f>
        <v/>
      </c>
      <c r="K188" s="12"/>
      <c r="L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7" t="str">
        <f aca="false">IF(B189="","",TRIM(B189&amp;" "&amp;C189&amp;" "&amp;D189))</f>
        <v/>
      </c>
      <c r="G189" s="12"/>
      <c r="H189" s="12"/>
      <c r="I189" s="12"/>
      <c r="J189" s="17" t="str">
        <f aca="false">IF(I189="","",IF(COUNTIF(Emplacements!$A$2:$A$1001,I189)=0,"⚠ emplacement inconnu",IF(AND(H189&lt;&gt;"",LEFT(I189,1)&lt;&gt;H189),"⚠ mauvaise zone","OK")))</f>
        <v/>
      </c>
      <c r="K189" s="12"/>
      <c r="L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7" t="str">
        <f aca="false">IF(B190="","",TRIM(B190&amp;" "&amp;C190&amp;" "&amp;D190))</f>
        <v/>
      </c>
      <c r="G190" s="12"/>
      <c r="H190" s="12"/>
      <c r="I190" s="12"/>
      <c r="J190" s="17" t="str">
        <f aca="false">IF(I190="","",IF(COUNTIF(Emplacements!$A$2:$A$1001,I190)=0,"⚠ emplacement inconnu",IF(AND(H190&lt;&gt;"",LEFT(I190,1)&lt;&gt;H190),"⚠ mauvaise zone","OK")))</f>
        <v/>
      </c>
      <c r="K190" s="12"/>
      <c r="L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7" t="str">
        <f aca="false">IF(B191="","",TRIM(B191&amp;" "&amp;C191&amp;" "&amp;D191))</f>
        <v/>
      </c>
      <c r="G191" s="12"/>
      <c r="H191" s="12"/>
      <c r="I191" s="12"/>
      <c r="J191" s="17" t="str">
        <f aca="false">IF(I191="","",IF(COUNTIF(Emplacements!$A$2:$A$1001,I191)=0,"⚠ emplacement inconnu",IF(AND(H191&lt;&gt;"",LEFT(I191,1)&lt;&gt;H191),"⚠ mauvaise zone","OK")))</f>
        <v/>
      </c>
      <c r="K191" s="12"/>
      <c r="L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7" t="str">
        <f aca="false">IF(B192="","",TRIM(B192&amp;" "&amp;C192&amp;" "&amp;D192))</f>
        <v/>
      </c>
      <c r="G192" s="12"/>
      <c r="H192" s="12"/>
      <c r="I192" s="12"/>
      <c r="J192" s="17" t="str">
        <f aca="false">IF(I192="","",IF(COUNTIF(Emplacements!$A$2:$A$1001,I192)=0,"⚠ emplacement inconnu",IF(AND(H192&lt;&gt;"",LEFT(I192,1)&lt;&gt;H192),"⚠ mauvaise zone","OK")))</f>
        <v/>
      </c>
      <c r="K192" s="12"/>
      <c r="L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7" t="str">
        <f aca="false">IF(B193="","",TRIM(B193&amp;" "&amp;C193&amp;" "&amp;D193))</f>
        <v/>
      </c>
      <c r="G193" s="12"/>
      <c r="H193" s="12"/>
      <c r="I193" s="12"/>
      <c r="J193" s="17" t="str">
        <f aca="false">IF(I193="","",IF(COUNTIF(Emplacements!$A$2:$A$1001,I193)=0,"⚠ emplacement inconnu",IF(AND(H193&lt;&gt;"",LEFT(I193,1)&lt;&gt;H193),"⚠ mauvaise zone","OK")))</f>
        <v/>
      </c>
      <c r="K193" s="12"/>
      <c r="L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7" t="str">
        <f aca="false">IF(B194="","",TRIM(B194&amp;" "&amp;C194&amp;" "&amp;D194))</f>
        <v/>
      </c>
      <c r="G194" s="12"/>
      <c r="H194" s="12"/>
      <c r="I194" s="12"/>
      <c r="J194" s="17" t="str">
        <f aca="false">IF(I194="","",IF(COUNTIF(Emplacements!$A$2:$A$1001,I194)=0,"⚠ emplacement inconnu",IF(AND(H194&lt;&gt;"",LEFT(I194,1)&lt;&gt;H194),"⚠ mauvaise zone","OK")))</f>
        <v/>
      </c>
      <c r="K194" s="12"/>
      <c r="L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7" t="str">
        <f aca="false">IF(B195="","",TRIM(B195&amp;" "&amp;C195&amp;" "&amp;D195))</f>
        <v/>
      </c>
      <c r="G195" s="12"/>
      <c r="H195" s="12"/>
      <c r="I195" s="12"/>
      <c r="J195" s="17" t="str">
        <f aca="false">IF(I195="","",IF(COUNTIF(Emplacements!$A$2:$A$1001,I195)=0,"⚠ emplacement inconnu",IF(AND(H195&lt;&gt;"",LEFT(I195,1)&lt;&gt;H195),"⚠ mauvaise zone","OK")))</f>
        <v/>
      </c>
      <c r="K195" s="12"/>
      <c r="L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7" t="str">
        <f aca="false">IF(B196="","",TRIM(B196&amp;" "&amp;C196&amp;" "&amp;D196))</f>
        <v/>
      </c>
      <c r="G196" s="12"/>
      <c r="H196" s="12"/>
      <c r="I196" s="12"/>
      <c r="J196" s="17" t="str">
        <f aca="false">IF(I196="","",IF(COUNTIF(Emplacements!$A$2:$A$1001,I196)=0,"⚠ emplacement inconnu",IF(AND(H196&lt;&gt;"",LEFT(I196,1)&lt;&gt;H196),"⚠ mauvaise zone","OK")))</f>
        <v/>
      </c>
      <c r="K196" s="12"/>
      <c r="L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7" t="str">
        <f aca="false">IF(B197="","",TRIM(B197&amp;" "&amp;C197&amp;" "&amp;D197))</f>
        <v/>
      </c>
      <c r="G197" s="12"/>
      <c r="H197" s="12"/>
      <c r="I197" s="12"/>
      <c r="J197" s="17" t="str">
        <f aca="false">IF(I197="","",IF(COUNTIF(Emplacements!$A$2:$A$1001,I197)=0,"⚠ emplacement inconnu",IF(AND(H197&lt;&gt;"",LEFT(I197,1)&lt;&gt;H197),"⚠ mauvaise zone","OK")))</f>
        <v/>
      </c>
      <c r="K197" s="12"/>
      <c r="L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7" t="str">
        <f aca="false">IF(B198="","",TRIM(B198&amp;" "&amp;C198&amp;" "&amp;D198))</f>
        <v/>
      </c>
      <c r="G198" s="12"/>
      <c r="H198" s="12"/>
      <c r="I198" s="12"/>
      <c r="J198" s="17" t="str">
        <f aca="false">IF(I198="","",IF(COUNTIF(Emplacements!$A$2:$A$1001,I198)=0,"⚠ emplacement inconnu",IF(AND(H198&lt;&gt;"",LEFT(I198,1)&lt;&gt;H198),"⚠ mauvaise zone","OK")))</f>
        <v/>
      </c>
      <c r="K198" s="12"/>
      <c r="L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7" t="str">
        <f aca="false">IF(B199="","",TRIM(B199&amp;" "&amp;C199&amp;" "&amp;D199))</f>
        <v/>
      </c>
      <c r="G199" s="12"/>
      <c r="H199" s="12"/>
      <c r="I199" s="12"/>
      <c r="J199" s="17" t="str">
        <f aca="false">IF(I199="","",IF(COUNTIF(Emplacements!$A$2:$A$1001,I199)=0,"⚠ emplacement inconnu",IF(AND(H199&lt;&gt;"",LEFT(I199,1)&lt;&gt;H199),"⚠ mauvaise zone","OK")))</f>
        <v/>
      </c>
      <c r="K199" s="12"/>
      <c r="L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7" t="str">
        <f aca="false">IF(B200="","",TRIM(B200&amp;" "&amp;C200&amp;" "&amp;D200))</f>
        <v/>
      </c>
      <c r="G200" s="12"/>
      <c r="H200" s="12"/>
      <c r="I200" s="12"/>
      <c r="J200" s="17" t="str">
        <f aca="false">IF(I200="","",IF(COUNTIF(Emplacements!$A$2:$A$1001,I200)=0,"⚠ emplacement inconnu",IF(AND(H200&lt;&gt;"",LEFT(I200,1)&lt;&gt;H200),"⚠ mauvaise zone","OK")))</f>
        <v/>
      </c>
      <c r="K200" s="12"/>
      <c r="L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7" t="str">
        <f aca="false">IF(B201="","",TRIM(B201&amp;" "&amp;C201&amp;" "&amp;D201))</f>
        <v/>
      </c>
      <c r="G201" s="12"/>
      <c r="H201" s="12"/>
      <c r="I201" s="12"/>
      <c r="J201" s="17" t="str">
        <f aca="false">IF(I201="","",IF(COUNTIF(Emplacements!$A$2:$A$1001,I201)=0,"⚠ emplacement inconnu",IF(AND(H201&lt;&gt;"",LEFT(I201,1)&lt;&gt;H201),"⚠ mauvaise zone","OK")))</f>
        <v/>
      </c>
      <c r="K201" s="12"/>
      <c r="L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7" t="str">
        <f aca="false">IF(B202="","",TRIM(B202&amp;" "&amp;C202&amp;" "&amp;D202))</f>
        <v/>
      </c>
      <c r="G202" s="12"/>
      <c r="H202" s="12"/>
      <c r="I202" s="12"/>
      <c r="J202" s="17" t="str">
        <f aca="false">IF(I202="","",IF(COUNTIF(Emplacements!$A$2:$A$1001,I202)=0,"⚠ emplacement inconnu",IF(AND(H202&lt;&gt;"",LEFT(I202,1)&lt;&gt;H202),"⚠ mauvaise zone","OK")))</f>
        <v/>
      </c>
      <c r="K202" s="12"/>
      <c r="L202" s="12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7" t="str">
        <f aca="false">IF(B203="","",TRIM(B203&amp;" "&amp;C203&amp;" "&amp;D203))</f>
        <v/>
      </c>
      <c r="G203" s="12"/>
      <c r="H203" s="12"/>
      <c r="I203" s="12"/>
      <c r="J203" s="17" t="str">
        <f aca="false">IF(I203="","",IF(COUNTIF(Emplacements!$A$2:$A$1001,I203)=0,"⚠ emplacement inconnu",IF(AND(H203&lt;&gt;"",LEFT(I203,1)&lt;&gt;H203),"⚠ mauvaise zone","OK")))</f>
        <v/>
      </c>
      <c r="K203" s="12"/>
      <c r="L203" s="12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7" t="str">
        <f aca="false">IF(B204="","",TRIM(B204&amp;" "&amp;C204&amp;" "&amp;D204))</f>
        <v/>
      </c>
      <c r="G204" s="12"/>
      <c r="H204" s="12"/>
      <c r="I204" s="12"/>
      <c r="J204" s="17" t="str">
        <f aca="false">IF(I204="","",IF(COUNTIF(Emplacements!$A$2:$A$1001,I204)=0,"⚠ emplacement inconnu",IF(AND(H204&lt;&gt;"",LEFT(I204,1)&lt;&gt;H204),"⚠ mauvaise zone","OK")))</f>
        <v/>
      </c>
      <c r="K204" s="12"/>
      <c r="L204" s="12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7" t="str">
        <f aca="false">IF(B205="","",TRIM(B205&amp;" "&amp;C205&amp;" "&amp;D205))</f>
        <v/>
      </c>
      <c r="G205" s="12"/>
      <c r="H205" s="12"/>
      <c r="I205" s="12"/>
      <c r="J205" s="17" t="str">
        <f aca="false">IF(I205="","",IF(COUNTIF(Emplacements!$A$2:$A$1001,I205)=0,"⚠ emplacement inconnu",IF(AND(H205&lt;&gt;"",LEFT(I205,1)&lt;&gt;H205),"⚠ mauvaise zone","OK")))</f>
        <v/>
      </c>
      <c r="K205" s="12"/>
      <c r="L205" s="12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7" t="str">
        <f aca="false">IF(B206="","",TRIM(B206&amp;" "&amp;C206&amp;" "&amp;D206))</f>
        <v/>
      </c>
      <c r="G206" s="12"/>
      <c r="H206" s="12"/>
      <c r="I206" s="12"/>
      <c r="J206" s="17" t="str">
        <f aca="false">IF(I206="","",IF(COUNTIF(Emplacements!$A$2:$A$1001,I206)=0,"⚠ emplacement inconnu",IF(AND(H206&lt;&gt;"",LEFT(I206,1)&lt;&gt;H206),"⚠ mauvaise zone","OK")))</f>
        <v/>
      </c>
      <c r="K206" s="12"/>
      <c r="L206" s="12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7" t="str">
        <f aca="false">IF(B207="","",TRIM(B207&amp;" "&amp;C207&amp;" "&amp;D207))</f>
        <v/>
      </c>
      <c r="G207" s="12"/>
      <c r="H207" s="12"/>
      <c r="I207" s="12"/>
      <c r="J207" s="17" t="str">
        <f aca="false">IF(I207="","",IF(COUNTIF(Emplacements!$A$2:$A$1001,I207)=0,"⚠ emplacement inconnu",IF(AND(H207&lt;&gt;"",LEFT(I207,1)&lt;&gt;H207),"⚠ mauvaise zone","OK")))</f>
        <v/>
      </c>
      <c r="K207" s="12"/>
      <c r="L207" s="12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7" t="str">
        <f aca="false">IF(B208="","",TRIM(B208&amp;" "&amp;C208&amp;" "&amp;D208))</f>
        <v/>
      </c>
      <c r="G208" s="12"/>
      <c r="H208" s="12"/>
      <c r="I208" s="12"/>
      <c r="J208" s="17" t="str">
        <f aca="false">IF(I208="","",IF(COUNTIF(Emplacements!$A$2:$A$1001,I208)=0,"⚠ emplacement inconnu",IF(AND(H208&lt;&gt;"",LEFT(I208,1)&lt;&gt;H208),"⚠ mauvaise zone","OK")))</f>
        <v/>
      </c>
      <c r="K208" s="12"/>
      <c r="L208" s="12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7" t="str">
        <f aca="false">IF(B209="","",TRIM(B209&amp;" "&amp;C209&amp;" "&amp;D209))</f>
        <v/>
      </c>
      <c r="G209" s="12"/>
      <c r="H209" s="12"/>
      <c r="I209" s="12"/>
      <c r="J209" s="17" t="str">
        <f aca="false">IF(I209="","",IF(COUNTIF(Emplacements!$A$2:$A$1001,I209)=0,"⚠ emplacement inconnu",IF(AND(H209&lt;&gt;"",LEFT(I209,1)&lt;&gt;H209),"⚠ mauvaise zone","OK")))</f>
        <v/>
      </c>
      <c r="K209" s="12"/>
      <c r="L209" s="12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7" t="str">
        <f aca="false">IF(B210="","",TRIM(B210&amp;" "&amp;C210&amp;" "&amp;D210))</f>
        <v/>
      </c>
      <c r="G210" s="12"/>
      <c r="H210" s="12"/>
      <c r="I210" s="12"/>
      <c r="J210" s="17" t="str">
        <f aca="false">IF(I210="","",IF(COUNTIF(Emplacements!$A$2:$A$1001,I210)=0,"⚠ emplacement inconnu",IF(AND(H210&lt;&gt;"",LEFT(I210,1)&lt;&gt;H210),"⚠ mauvaise zone","OK")))</f>
        <v/>
      </c>
      <c r="K210" s="12"/>
      <c r="L210" s="12"/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7" t="str">
        <f aca="false">IF(B211="","",TRIM(B211&amp;" "&amp;C211&amp;" "&amp;D211))</f>
        <v/>
      </c>
      <c r="G211" s="12"/>
      <c r="H211" s="12"/>
      <c r="I211" s="12"/>
      <c r="J211" s="17" t="str">
        <f aca="false">IF(I211="","",IF(COUNTIF(Emplacements!$A$2:$A$1001,I211)=0,"⚠ emplacement inconnu",IF(AND(H211&lt;&gt;"",LEFT(I211,1)&lt;&gt;H211),"⚠ mauvaise zone","OK")))</f>
        <v/>
      </c>
      <c r="K211" s="12"/>
      <c r="L211" s="12"/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7" t="str">
        <f aca="false">IF(B212="","",TRIM(B212&amp;" "&amp;C212&amp;" "&amp;D212))</f>
        <v/>
      </c>
      <c r="G212" s="12"/>
      <c r="H212" s="12"/>
      <c r="I212" s="12"/>
      <c r="J212" s="17" t="str">
        <f aca="false">IF(I212="","",IF(COUNTIF(Emplacements!$A$2:$A$1001,I212)=0,"⚠ emplacement inconnu",IF(AND(H212&lt;&gt;"",LEFT(I212,1)&lt;&gt;H212),"⚠ mauvaise zone","OK")))</f>
        <v/>
      </c>
      <c r="K212" s="12"/>
      <c r="L212" s="12"/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7" t="str">
        <f aca="false">IF(B213="","",TRIM(B213&amp;" "&amp;C213&amp;" "&amp;D213))</f>
        <v/>
      </c>
      <c r="G213" s="12"/>
      <c r="H213" s="12"/>
      <c r="I213" s="12"/>
      <c r="J213" s="17" t="str">
        <f aca="false">IF(I213="","",IF(COUNTIF(Emplacements!$A$2:$A$1001,I213)=0,"⚠ emplacement inconnu",IF(AND(H213&lt;&gt;"",LEFT(I213,1)&lt;&gt;H213),"⚠ mauvaise zone","OK")))</f>
        <v/>
      </c>
      <c r="K213" s="12"/>
      <c r="L213" s="12"/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7" t="str">
        <f aca="false">IF(B214="","",TRIM(B214&amp;" "&amp;C214&amp;" "&amp;D214))</f>
        <v/>
      </c>
      <c r="G214" s="12"/>
      <c r="H214" s="12"/>
      <c r="I214" s="12"/>
      <c r="J214" s="17" t="str">
        <f aca="false">IF(I214="","",IF(COUNTIF(Emplacements!$A$2:$A$1001,I214)=0,"⚠ emplacement inconnu",IF(AND(H214&lt;&gt;"",LEFT(I214,1)&lt;&gt;H214),"⚠ mauvaise zone","OK")))</f>
        <v/>
      </c>
      <c r="K214" s="12"/>
      <c r="L214" s="12"/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7" t="str">
        <f aca="false">IF(B215="","",TRIM(B215&amp;" "&amp;C215&amp;" "&amp;D215))</f>
        <v/>
      </c>
      <c r="G215" s="12"/>
      <c r="H215" s="12"/>
      <c r="I215" s="12"/>
      <c r="J215" s="17" t="str">
        <f aca="false">IF(I215="","",IF(COUNTIF(Emplacements!$A$2:$A$1001,I215)=0,"⚠ emplacement inconnu",IF(AND(H215&lt;&gt;"",LEFT(I215,1)&lt;&gt;H215),"⚠ mauvaise zone","OK")))</f>
        <v/>
      </c>
      <c r="K215" s="12"/>
      <c r="L215" s="12"/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7" t="str">
        <f aca="false">IF(B216="","",TRIM(B216&amp;" "&amp;C216&amp;" "&amp;D216))</f>
        <v/>
      </c>
      <c r="G216" s="12"/>
      <c r="H216" s="12"/>
      <c r="I216" s="12"/>
      <c r="J216" s="17" t="str">
        <f aca="false">IF(I216="","",IF(COUNTIF(Emplacements!$A$2:$A$1001,I216)=0,"⚠ emplacement inconnu",IF(AND(H216&lt;&gt;"",LEFT(I216,1)&lt;&gt;H216),"⚠ mauvaise zone","OK")))</f>
        <v/>
      </c>
      <c r="K216" s="12"/>
      <c r="L216" s="12"/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7" t="str">
        <f aca="false">IF(B217="","",TRIM(B217&amp;" "&amp;C217&amp;" "&amp;D217))</f>
        <v/>
      </c>
      <c r="G217" s="12"/>
      <c r="H217" s="12"/>
      <c r="I217" s="12"/>
      <c r="J217" s="17" t="str">
        <f aca="false">IF(I217="","",IF(COUNTIF(Emplacements!$A$2:$A$1001,I217)=0,"⚠ emplacement inconnu",IF(AND(H217&lt;&gt;"",LEFT(I217,1)&lt;&gt;H217),"⚠ mauvaise zone","OK")))</f>
        <v/>
      </c>
      <c r="K217" s="12"/>
      <c r="L217" s="12"/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7" t="str">
        <f aca="false">IF(B218="","",TRIM(B218&amp;" "&amp;C218&amp;" "&amp;D218))</f>
        <v/>
      </c>
      <c r="G218" s="12"/>
      <c r="H218" s="12"/>
      <c r="I218" s="12"/>
      <c r="J218" s="17" t="str">
        <f aca="false">IF(I218="","",IF(COUNTIF(Emplacements!$A$2:$A$1001,I218)=0,"⚠ emplacement inconnu",IF(AND(H218&lt;&gt;"",LEFT(I218,1)&lt;&gt;H218),"⚠ mauvaise zone","OK")))</f>
        <v/>
      </c>
      <c r="K218" s="12"/>
      <c r="L218" s="12"/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7" t="str">
        <f aca="false">IF(B219="","",TRIM(B219&amp;" "&amp;C219&amp;" "&amp;D219))</f>
        <v/>
      </c>
      <c r="G219" s="12"/>
      <c r="H219" s="12"/>
      <c r="I219" s="12"/>
      <c r="J219" s="17" t="str">
        <f aca="false">IF(I219="","",IF(COUNTIF(Emplacements!$A$2:$A$1001,I219)=0,"⚠ emplacement inconnu",IF(AND(H219&lt;&gt;"",LEFT(I219,1)&lt;&gt;H219),"⚠ mauvaise zone","OK")))</f>
        <v/>
      </c>
      <c r="K219" s="12"/>
      <c r="L219" s="12"/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7" t="str">
        <f aca="false">IF(B220="","",TRIM(B220&amp;" "&amp;C220&amp;" "&amp;D220))</f>
        <v/>
      </c>
      <c r="G220" s="12"/>
      <c r="H220" s="12"/>
      <c r="I220" s="12"/>
      <c r="J220" s="17" t="str">
        <f aca="false">IF(I220="","",IF(COUNTIF(Emplacements!$A$2:$A$1001,I220)=0,"⚠ emplacement inconnu",IF(AND(H220&lt;&gt;"",LEFT(I220,1)&lt;&gt;H220),"⚠ mauvaise zone","OK")))</f>
        <v/>
      </c>
      <c r="K220" s="12"/>
      <c r="L220" s="12"/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7" t="str">
        <f aca="false">IF(B221="","",TRIM(B221&amp;" "&amp;C221&amp;" "&amp;D221))</f>
        <v/>
      </c>
      <c r="G221" s="12"/>
      <c r="H221" s="12"/>
      <c r="I221" s="12"/>
      <c r="J221" s="17" t="str">
        <f aca="false">IF(I221="","",IF(COUNTIF(Emplacements!$A$2:$A$1001,I221)=0,"⚠ emplacement inconnu",IF(AND(H221&lt;&gt;"",LEFT(I221,1)&lt;&gt;H221),"⚠ mauvaise zone","OK")))</f>
        <v/>
      </c>
      <c r="K221" s="12"/>
      <c r="L221" s="12"/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7" t="str">
        <f aca="false">IF(B222="","",TRIM(B222&amp;" "&amp;C222&amp;" "&amp;D222))</f>
        <v/>
      </c>
      <c r="G222" s="12"/>
      <c r="H222" s="12"/>
      <c r="I222" s="12"/>
      <c r="J222" s="17" t="str">
        <f aca="false">IF(I222="","",IF(COUNTIF(Emplacements!$A$2:$A$1001,I222)=0,"⚠ emplacement inconnu",IF(AND(H222&lt;&gt;"",LEFT(I222,1)&lt;&gt;H222),"⚠ mauvaise zone","OK")))</f>
        <v/>
      </c>
      <c r="K222" s="12"/>
      <c r="L222" s="12"/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7" t="str">
        <f aca="false">IF(B223="","",TRIM(B223&amp;" "&amp;C223&amp;" "&amp;D223))</f>
        <v/>
      </c>
      <c r="G223" s="12"/>
      <c r="H223" s="12"/>
      <c r="I223" s="12"/>
      <c r="J223" s="17" t="str">
        <f aca="false">IF(I223="","",IF(COUNTIF(Emplacements!$A$2:$A$1001,I223)=0,"⚠ emplacement inconnu",IF(AND(H223&lt;&gt;"",LEFT(I223,1)&lt;&gt;H223),"⚠ mauvaise zone","OK")))</f>
        <v/>
      </c>
      <c r="K223" s="12"/>
      <c r="L223" s="12"/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7" t="str">
        <f aca="false">IF(B224="","",TRIM(B224&amp;" "&amp;C224&amp;" "&amp;D224))</f>
        <v/>
      </c>
      <c r="G224" s="12"/>
      <c r="H224" s="12"/>
      <c r="I224" s="12"/>
      <c r="J224" s="17" t="str">
        <f aca="false">IF(I224="","",IF(COUNTIF(Emplacements!$A$2:$A$1001,I224)=0,"⚠ emplacement inconnu",IF(AND(H224&lt;&gt;"",LEFT(I224,1)&lt;&gt;H224),"⚠ mauvaise zone","OK")))</f>
        <v/>
      </c>
      <c r="K224" s="12"/>
      <c r="L224" s="12"/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7" t="str">
        <f aca="false">IF(B225="","",TRIM(B225&amp;" "&amp;C225&amp;" "&amp;D225))</f>
        <v/>
      </c>
      <c r="G225" s="12"/>
      <c r="H225" s="12"/>
      <c r="I225" s="12"/>
      <c r="J225" s="17" t="str">
        <f aca="false">IF(I225="","",IF(COUNTIF(Emplacements!$A$2:$A$1001,I225)=0,"⚠ emplacement inconnu",IF(AND(H225&lt;&gt;"",LEFT(I225,1)&lt;&gt;H225),"⚠ mauvaise zone","OK")))</f>
        <v/>
      </c>
      <c r="K225" s="12"/>
      <c r="L225" s="12"/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7" t="str">
        <f aca="false">IF(B226="","",TRIM(B226&amp;" "&amp;C226&amp;" "&amp;D226))</f>
        <v/>
      </c>
      <c r="G226" s="12"/>
      <c r="H226" s="12"/>
      <c r="I226" s="12"/>
      <c r="J226" s="17" t="str">
        <f aca="false">IF(I226="","",IF(COUNTIF(Emplacements!$A$2:$A$1001,I226)=0,"⚠ emplacement inconnu",IF(AND(H226&lt;&gt;"",LEFT(I226,1)&lt;&gt;H226),"⚠ mauvaise zone","OK")))</f>
        <v/>
      </c>
      <c r="K226" s="12"/>
      <c r="L226" s="12"/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7" t="str">
        <f aca="false">IF(B227="","",TRIM(B227&amp;" "&amp;C227&amp;" "&amp;D227))</f>
        <v/>
      </c>
      <c r="G227" s="12"/>
      <c r="H227" s="12"/>
      <c r="I227" s="12"/>
      <c r="J227" s="17" t="str">
        <f aca="false">IF(I227="","",IF(COUNTIF(Emplacements!$A$2:$A$1001,I227)=0,"⚠ emplacement inconnu",IF(AND(H227&lt;&gt;"",LEFT(I227,1)&lt;&gt;H227),"⚠ mauvaise zone","OK")))</f>
        <v/>
      </c>
      <c r="K227" s="12"/>
      <c r="L227" s="12"/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7" t="str">
        <f aca="false">IF(B228="","",TRIM(B228&amp;" "&amp;C228&amp;" "&amp;D228))</f>
        <v/>
      </c>
      <c r="G228" s="12"/>
      <c r="H228" s="12"/>
      <c r="I228" s="12"/>
      <c r="J228" s="17" t="str">
        <f aca="false">IF(I228="","",IF(COUNTIF(Emplacements!$A$2:$A$1001,I228)=0,"⚠ emplacement inconnu",IF(AND(H228&lt;&gt;"",LEFT(I228,1)&lt;&gt;H228),"⚠ mauvaise zone","OK")))</f>
        <v/>
      </c>
      <c r="K228" s="12"/>
      <c r="L228" s="12"/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7" t="str">
        <f aca="false">IF(B229="","",TRIM(B229&amp;" "&amp;C229&amp;" "&amp;D229))</f>
        <v/>
      </c>
      <c r="G229" s="12"/>
      <c r="H229" s="12"/>
      <c r="I229" s="12"/>
      <c r="J229" s="17" t="str">
        <f aca="false">IF(I229="","",IF(COUNTIF(Emplacements!$A$2:$A$1001,I229)=0,"⚠ emplacement inconnu",IF(AND(H229&lt;&gt;"",LEFT(I229,1)&lt;&gt;H229),"⚠ mauvaise zone","OK")))</f>
        <v/>
      </c>
      <c r="K229" s="12"/>
      <c r="L229" s="12"/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7" t="str">
        <f aca="false">IF(B230="","",TRIM(B230&amp;" "&amp;C230&amp;" "&amp;D230))</f>
        <v/>
      </c>
      <c r="G230" s="12"/>
      <c r="H230" s="12"/>
      <c r="I230" s="12"/>
      <c r="J230" s="17" t="str">
        <f aca="false">IF(I230="","",IF(COUNTIF(Emplacements!$A$2:$A$1001,I230)=0,"⚠ emplacement inconnu",IF(AND(H230&lt;&gt;"",LEFT(I230,1)&lt;&gt;H230),"⚠ mauvaise zone","OK")))</f>
        <v/>
      </c>
      <c r="K230" s="12"/>
      <c r="L230" s="12"/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7" t="str">
        <f aca="false">IF(B231="","",TRIM(B231&amp;" "&amp;C231&amp;" "&amp;D231))</f>
        <v/>
      </c>
      <c r="G231" s="12"/>
      <c r="H231" s="12"/>
      <c r="I231" s="12"/>
      <c r="J231" s="17" t="str">
        <f aca="false">IF(I231="","",IF(COUNTIF(Emplacements!$A$2:$A$1001,I231)=0,"⚠ emplacement inconnu",IF(AND(H231&lt;&gt;"",LEFT(I231,1)&lt;&gt;H231),"⚠ mauvaise zone","OK")))</f>
        <v/>
      </c>
      <c r="K231" s="12"/>
      <c r="L231" s="12"/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7" t="str">
        <f aca="false">IF(B232="","",TRIM(B232&amp;" "&amp;C232&amp;" "&amp;D232))</f>
        <v/>
      </c>
      <c r="G232" s="12"/>
      <c r="H232" s="12"/>
      <c r="I232" s="12"/>
      <c r="J232" s="17" t="str">
        <f aca="false">IF(I232="","",IF(COUNTIF(Emplacements!$A$2:$A$1001,I232)=0,"⚠ emplacement inconnu",IF(AND(H232&lt;&gt;"",LEFT(I232,1)&lt;&gt;H232),"⚠ mauvaise zone","OK")))</f>
        <v/>
      </c>
      <c r="K232" s="12"/>
      <c r="L232" s="12"/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7" t="str">
        <f aca="false">IF(B233="","",TRIM(B233&amp;" "&amp;C233&amp;" "&amp;D233))</f>
        <v/>
      </c>
      <c r="G233" s="12"/>
      <c r="H233" s="12"/>
      <c r="I233" s="12"/>
      <c r="J233" s="17" t="str">
        <f aca="false">IF(I233="","",IF(COUNTIF(Emplacements!$A$2:$A$1001,I233)=0,"⚠ emplacement inconnu",IF(AND(H233&lt;&gt;"",LEFT(I233,1)&lt;&gt;H233),"⚠ mauvaise zone","OK")))</f>
        <v/>
      </c>
      <c r="K233" s="12"/>
      <c r="L233" s="12"/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7" t="str">
        <f aca="false">IF(B234="","",TRIM(B234&amp;" "&amp;C234&amp;" "&amp;D234))</f>
        <v/>
      </c>
      <c r="G234" s="12"/>
      <c r="H234" s="12"/>
      <c r="I234" s="12"/>
      <c r="J234" s="17" t="str">
        <f aca="false">IF(I234="","",IF(COUNTIF(Emplacements!$A$2:$A$1001,I234)=0,"⚠ emplacement inconnu",IF(AND(H234&lt;&gt;"",LEFT(I234,1)&lt;&gt;H234),"⚠ mauvaise zone","OK")))</f>
        <v/>
      </c>
      <c r="K234" s="12"/>
      <c r="L234" s="12"/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7" t="str">
        <f aca="false">IF(B235="","",TRIM(B235&amp;" "&amp;C235&amp;" "&amp;D235))</f>
        <v/>
      </c>
      <c r="G235" s="12"/>
      <c r="H235" s="12"/>
      <c r="I235" s="12"/>
      <c r="J235" s="17" t="str">
        <f aca="false">IF(I235="","",IF(COUNTIF(Emplacements!$A$2:$A$1001,I235)=0,"⚠ emplacement inconnu",IF(AND(H235&lt;&gt;"",LEFT(I235,1)&lt;&gt;H235),"⚠ mauvaise zone","OK")))</f>
        <v/>
      </c>
      <c r="K235" s="12"/>
      <c r="L235" s="12"/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7" t="str">
        <f aca="false">IF(B236="","",TRIM(B236&amp;" "&amp;C236&amp;" "&amp;D236))</f>
        <v/>
      </c>
      <c r="G236" s="12"/>
      <c r="H236" s="12"/>
      <c r="I236" s="12"/>
      <c r="J236" s="17" t="str">
        <f aca="false">IF(I236="","",IF(COUNTIF(Emplacements!$A$2:$A$1001,I236)=0,"⚠ emplacement inconnu",IF(AND(H236&lt;&gt;"",LEFT(I236,1)&lt;&gt;H236),"⚠ mauvaise zone","OK")))</f>
        <v/>
      </c>
      <c r="K236" s="12"/>
      <c r="L236" s="12"/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7" t="str">
        <f aca="false">IF(B237="","",TRIM(B237&amp;" "&amp;C237&amp;" "&amp;D237))</f>
        <v/>
      </c>
      <c r="G237" s="12"/>
      <c r="H237" s="12"/>
      <c r="I237" s="12"/>
      <c r="J237" s="17" t="str">
        <f aca="false">IF(I237="","",IF(COUNTIF(Emplacements!$A$2:$A$1001,I237)=0,"⚠ emplacement inconnu",IF(AND(H237&lt;&gt;"",LEFT(I237,1)&lt;&gt;H237),"⚠ mauvaise zone","OK")))</f>
        <v/>
      </c>
      <c r="K237" s="12"/>
      <c r="L237" s="12"/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7" t="str">
        <f aca="false">IF(B238="","",TRIM(B238&amp;" "&amp;C238&amp;" "&amp;D238))</f>
        <v/>
      </c>
      <c r="G238" s="12"/>
      <c r="H238" s="12"/>
      <c r="I238" s="12"/>
      <c r="J238" s="17" t="str">
        <f aca="false">IF(I238="","",IF(COUNTIF(Emplacements!$A$2:$A$1001,I238)=0,"⚠ emplacement inconnu",IF(AND(H238&lt;&gt;"",LEFT(I238,1)&lt;&gt;H238),"⚠ mauvaise zone","OK")))</f>
        <v/>
      </c>
      <c r="K238" s="12"/>
      <c r="L238" s="12"/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7" t="str">
        <f aca="false">IF(B239="","",TRIM(B239&amp;" "&amp;C239&amp;" "&amp;D239))</f>
        <v/>
      </c>
      <c r="G239" s="12"/>
      <c r="H239" s="12"/>
      <c r="I239" s="12"/>
      <c r="J239" s="17" t="str">
        <f aca="false">IF(I239="","",IF(COUNTIF(Emplacements!$A$2:$A$1001,I239)=0,"⚠ emplacement inconnu",IF(AND(H239&lt;&gt;"",LEFT(I239,1)&lt;&gt;H239),"⚠ mauvaise zone","OK")))</f>
        <v/>
      </c>
      <c r="K239" s="12"/>
      <c r="L239" s="12"/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7" t="str">
        <f aca="false">IF(B240="","",TRIM(B240&amp;" "&amp;C240&amp;" "&amp;D240))</f>
        <v/>
      </c>
      <c r="G240" s="12"/>
      <c r="H240" s="12"/>
      <c r="I240" s="12"/>
      <c r="J240" s="17" t="str">
        <f aca="false">IF(I240="","",IF(COUNTIF(Emplacements!$A$2:$A$1001,I240)=0,"⚠ emplacement inconnu",IF(AND(H240&lt;&gt;"",LEFT(I240,1)&lt;&gt;H240),"⚠ mauvaise zone","OK")))</f>
        <v/>
      </c>
      <c r="K240" s="12"/>
      <c r="L240" s="12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7" t="str">
        <f aca="false">IF(B241="","",TRIM(B241&amp;" "&amp;C241&amp;" "&amp;D241))</f>
        <v/>
      </c>
      <c r="G241" s="12"/>
      <c r="H241" s="12"/>
      <c r="I241" s="12"/>
      <c r="J241" s="17" t="str">
        <f aca="false">IF(I241="","",IF(COUNTIF(Emplacements!$A$2:$A$1001,I241)=0,"⚠ emplacement inconnu",IF(AND(H241&lt;&gt;"",LEFT(I241,1)&lt;&gt;H241),"⚠ mauvaise zone","OK")))</f>
        <v/>
      </c>
      <c r="K241" s="12"/>
      <c r="L241" s="12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7" t="str">
        <f aca="false">IF(B242="","",TRIM(B242&amp;" "&amp;C242&amp;" "&amp;D242))</f>
        <v/>
      </c>
      <c r="G242" s="12"/>
      <c r="H242" s="12"/>
      <c r="I242" s="12"/>
      <c r="J242" s="17" t="str">
        <f aca="false">IF(I242="","",IF(COUNTIF(Emplacements!$A$2:$A$1001,I242)=0,"⚠ emplacement inconnu",IF(AND(H242&lt;&gt;"",LEFT(I242,1)&lt;&gt;H242),"⚠ mauvaise zone","OK")))</f>
        <v/>
      </c>
      <c r="K242" s="12"/>
      <c r="L242" s="12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7" t="str">
        <f aca="false">IF(B243="","",TRIM(B243&amp;" "&amp;C243&amp;" "&amp;D243))</f>
        <v/>
      </c>
      <c r="G243" s="12"/>
      <c r="H243" s="12"/>
      <c r="I243" s="12"/>
      <c r="J243" s="17" t="str">
        <f aca="false">IF(I243="","",IF(COUNTIF(Emplacements!$A$2:$A$1001,I243)=0,"⚠ emplacement inconnu",IF(AND(H243&lt;&gt;"",LEFT(I243,1)&lt;&gt;H243),"⚠ mauvaise zone","OK")))</f>
        <v/>
      </c>
      <c r="K243" s="12"/>
      <c r="L243" s="12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7" t="str">
        <f aca="false">IF(B244="","",TRIM(B244&amp;" "&amp;C244&amp;" "&amp;D244))</f>
        <v/>
      </c>
      <c r="G244" s="12"/>
      <c r="H244" s="12"/>
      <c r="I244" s="12"/>
      <c r="J244" s="17" t="str">
        <f aca="false">IF(I244="","",IF(COUNTIF(Emplacements!$A$2:$A$1001,I244)=0,"⚠ emplacement inconnu",IF(AND(H244&lt;&gt;"",LEFT(I244,1)&lt;&gt;H244),"⚠ mauvaise zone","OK")))</f>
        <v/>
      </c>
      <c r="K244" s="12"/>
      <c r="L244" s="12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7" t="str">
        <f aca="false">IF(B245="","",TRIM(B245&amp;" "&amp;C245&amp;" "&amp;D245))</f>
        <v/>
      </c>
      <c r="G245" s="12"/>
      <c r="H245" s="12"/>
      <c r="I245" s="12"/>
      <c r="J245" s="17" t="str">
        <f aca="false">IF(I245="","",IF(COUNTIF(Emplacements!$A$2:$A$1001,I245)=0,"⚠ emplacement inconnu",IF(AND(H245&lt;&gt;"",LEFT(I245,1)&lt;&gt;H245),"⚠ mauvaise zone","OK")))</f>
        <v/>
      </c>
      <c r="K245" s="12"/>
      <c r="L245" s="12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7" t="str">
        <f aca="false">IF(B246="","",TRIM(B246&amp;" "&amp;C246&amp;" "&amp;D246))</f>
        <v/>
      </c>
      <c r="G246" s="12"/>
      <c r="H246" s="12"/>
      <c r="I246" s="12"/>
      <c r="J246" s="17" t="str">
        <f aca="false">IF(I246="","",IF(COUNTIF(Emplacements!$A$2:$A$1001,I246)=0,"⚠ emplacement inconnu",IF(AND(H246&lt;&gt;"",LEFT(I246,1)&lt;&gt;H246),"⚠ mauvaise zone","OK")))</f>
        <v/>
      </c>
      <c r="K246" s="12"/>
      <c r="L246" s="12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7" t="str">
        <f aca="false">IF(B247="","",TRIM(B247&amp;" "&amp;C247&amp;" "&amp;D247))</f>
        <v/>
      </c>
      <c r="G247" s="12"/>
      <c r="H247" s="12"/>
      <c r="I247" s="12"/>
      <c r="J247" s="17" t="str">
        <f aca="false">IF(I247="","",IF(COUNTIF(Emplacements!$A$2:$A$1001,I247)=0,"⚠ emplacement inconnu",IF(AND(H247&lt;&gt;"",LEFT(I247,1)&lt;&gt;H247),"⚠ mauvaise zone","OK")))</f>
        <v/>
      </c>
      <c r="K247" s="12"/>
      <c r="L247" s="12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7" t="str">
        <f aca="false">IF(B248="","",TRIM(B248&amp;" "&amp;C248&amp;" "&amp;D248))</f>
        <v/>
      </c>
      <c r="G248" s="12"/>
      <c r="H248" s="12"/>
      <c r="I248" s="12"/>
      <c r="J248" s="17" t="str">
        <f aca="false">IF(I248="","",IF(COUNTIF(Emplacements!$A$2:$A$1001,I248)=0,"⚠ emplacement inconnu",IF(AND(H248&lt;&gt;"",LEFT(I248,1)&lt;&gt;H248),"⚠ mauvaise zone","OK")))</f>
        <v/>
      </c>
      <c r="K248" s="12"/>
      <c r="L248" s="12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7" t="str">
        <f aca="false">IF(B249="","",TRIM(B249&amp;" "&amp;C249&amp;" "&amp;D249))</f>
        <v/>
      </c>
      <c r="G249" s="12"/>
      <c r="H249" s="12"/>
      <c r="I249" s="12"/>
      <c r="J249" s="17" t="str">
        <f aca="false">IF(I249="","",IF(COUNTIF(Emplacements!$A$2:$A$1001,I249)=0,"⚠ emplacement inconnu",IF(AND(H249&lt;&gt;"",LEFT(I249,1)&lt;&gt;H249),"⚠ mauvaise zone","OK")))</f>
        <v/>
      </c>
      <c r="K249" s="12"/>
      <c r="L249" s="12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7" t="str">
        <f aca="false">IF(B250="","",TRIM(B250&amp;" "&amp;C250&amp;" "&amp;D250))</f>
        <v/>
      </c>
      <c r="G250" s="12"/>
      <c r="H250" s="12"/>
      <c r="I250" s="12"/>
      <c r="J250" s="17" t="str">
        <f aca="false">IF(I250="","",IF(COUNTIF(Emplacements!$A$2:$A$1001,I250)=0,"⚠ emplacement inconnu",IF(AND(H250&lt;&gt;"",LEFT(I250,1)&lt;&gt;H250),"⚠ mauvaise zone","OK")))</f>
        <v/>
      </c>
      <c r="K250" s="12"/>
      <c r="L250" s="12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7" t="str">
        <f aca="false">IF(B251="","",TRIM(B251&amp;" "&amp;C251&amp;" "&amp;D251))</f>
        <v/>
      </c>
      <c r="G251" s="12"/>
      <c r="H251" s="12"/>
      <c r="I251" s="12"/>
      <c r="J251" s="17" t="str">
        <f aca="false">IF(I251="","",IF(COUNTIF(Emplacements!$A$2:$A$1001,I251)=0,"⚠ emplacement inconnu",IF(AND(H251&lt;&gt;"",LEFT(I251,1)&lt;&gt;H251),"⚠ mauvaise zone","OK")))</f>
        <v/>
      </c>
      <c r="K251" s="12"/>
      <c r="L251" s="12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7" t="str">
        <f aca="false">IF(B252="","",TRIM(B252&amp;" "&amp;C252&amp;" "&amp;D252))</f>
        <v/>
      </c>
      <c r="G252" s="12"/>
      <c r="H252" s="12"/>
      <c r="I252" s="12"/>
      <c r="J252" s="17" t="str">
        <f aca="false">IF(I252="","",IF(COUNTIF(Emplacements!$A$2:$A$1001,I252)=0,"⚠ emplacement inconnu",IF(AND(H252&lt;&gt;"",LEFT(I252,1)&lt;&gt;H252),"⚠ mauvaise zone","OK")))</f>
        <v/>
      </c>
      <c r="K252" s="12"/>
      <c r="L252" s="12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7" t="str">
        <f aca="false">IF(B253="","",TRIM(B253&amp;" "&amp;C253&amp;" "&amp;D253))</f>
        <v/>
      </c>
      <c r="G253" s="12"/>
      <c r="H253" s="12"/>
      <c r="I253" s="12"/>
      <c r="J253" s="17" t="str">
        <f aca="false">IF(I253="","",IF(COUNTIF(Emplacements!$A$2:$A$1001,I253)=0,"⚠ emplacement inconnu",IF(AND(H253&lt;&gt;"",LEFT(I253,1)&lt;&gt;H253),"⚠ mauvaise zone","OK")))</f>
        <v/>
      </c>
      <c r="K253" s="12"/>
      <c r="L253" s="12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7" t="str">
        <f aca="false">IF(B254="","",TRIM(B254&amp;" "&amp;C254&amp;" "&amp;D254))</f>
        <v/>
      </c>
      <c r="G254" s="12"/>
      <c r="H254" s="12"/>
      <c r="I254" s="12"/>
      <c r="J254" s="17" t="str">
        <f aca="false">IF(I254="","",IF(COUNTIF(Emplacements!$A$2:$A$1001,I254)=0,"⚠ emplacement inconnu",IF(AND(H254&lt;&gt;"",LEFT(I254,1)&lt;&gt;H254),"⚠ mauvaise zone","OK")))</f>
        <v/>
      </c>
      <c r="K254" s="12"/>
      <c r="L254" s="12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7" t="str">
        <f aca="false">IF(B255="","",TRIM(B255&amp;" "&amp;C255&amp;" "&amp;D255))</f>
        <v/>
      </c>
      <c r="G255" s="12"/>
      <c r="H255" s="12"/>
      <c r="I255" s="12"/>
      <c r="J255" s="17" t="str">
        <f aca="false">IF(I255="","",IF(COUNTIF(Emplacements!$A$2:$A$1001,I255)=0,"⚠ emplacement inconnu",IF(AND(H255&lt;&gt;"",LEFT(I255,1)&lt;&gt;H255),"⚠ mauvaise zone","OK")))</f>
        <v/>
      </c>
      <c r="K255" s="12"/>
      <c r="L255" s="12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7" t="str">
        <f aca="false">IF(B256="","",TRIM(B256&amp;" "&amp;C256&amp;" "&amp;D256))</f>
        <v/>
      </c>
      <c r="G256" s="12"/>
      <c r="H256" s="12"/>
      <c r="I256" s="12"/>
      <c r="J256" s="17" t="str">
        <f aca="false">IF(I256="","",IF(COUNTIF(Emplacements!$A$2:$A$1001,I256)=0,"⚠ emplacement inconnu",IF(AND(H256&lt;&gt;"",LEFT(I256,1)&lt;&gt;H256),"⚠ mauvaise zone","OK")))</f>
        <v/>
      </c>
      <c r="K256" s="12"/>
      <c r="L256" s="12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7" t="str">
        <f aca="false">IF(B257="","",TRIM(B257&amp;" "&amp;C257&amp;" "&amp;D257))</f>
        <v/>
      </c>
      <c r="G257" s="12"/>
      <c r="H257" s="12"/>
      <c r="I257" s="12"/>
      <c r="J257" s="17" t="str">
        <f aca="false">IF(I257="","",IF(COUNTIF(Emplacements!$A$2:$A$1001,I257)=0,"⚠ emplacement inconnu",IF(AND(H257&lt;&gt;"",LEFT(I257,1)&lt;&gt;H257),"⚠ mauvaise zone","OK")))</f>
        <v/>
      </c>
      <c r="K257" s="12"/>
      <c r="L257" s="12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7" t="str">
        <f aca="false">IF(B258="","",TRIM(B258&amp;" "&amp;C258&amp;" "&amp;D258))</f>
        <v/>
      </c>
      <c r="G258" s="12"/>
      <c r="H258" s="12"/>
      <c r="I258" s="12"/>
      <c r="J258" s="17" t="str">
        <f aca="false">IF(I258="","",IF(COUNTIF(Emplacements!$A$2:$A$1001,I258)=0,"⚠ emplacement inconnu",IF(AND(H258&lt;&gt;"",LEFT(I258,1)&lt;&gt;H258),"⚠ mauvaise zone","OK")))</f>
        <v/>
      </c>
      <c r="K258" s="12"/>
      <c r="L258" s="12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7" t="str">
        <f aca="false">IF(B259="","",TRIM(B259&amp;" "&amp;C259&amp;" "&amp;D259))</f>
        <v/>
      </c>
      <c r="G259" s="12"/>
      <c r="H259" s="12"/>
      <c r="I259" s="12"/>
      <c r="J259" s="17" t="str">
        <f aca="false">IF(I259="","",IF(COUNTIF(Emplacements!$A$2:$A$1001,I259)=0,"⚠ emplacement inconnu",IF(AND(H259&lt;&gt;"",LEFT(I259,1)&lt;&gt;H259),"⚠ mauvaise zone","OK")))</f>
        <v/>
      </c>
      <c r="K259" s="12"/>
      <c r="L259" s="12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7" t="str">
        <f aca="false">IF(B260="","",TRIM(B260&amp;" "&amp;C260&amp;" "&amp;D260))</f>
        <v/>
      </c>
      <c r="G260" s="12"/>
      <c r="H260" s="12"/>
      <c r="I260" s="12"/>
      <c r="J260" s="17" t="str">
        <f aca="false">IF(I260="","",IF(COUNTIF(Emplacements!$A$2:$A$1001,I260)=0,"⚠ emplacement inconnu",IF(AND(H260&lt;&gt;"",LEFT(I260,1)&lt;&gt;H260),"⚠ mauvaise zone","OK")))</f>
        <v/>
      </c>
      <c r="K260" s="12"/>
      <c r="L260" s="12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7" t="str">
        <f aca="false">IF(B261="","",TRIM(B261&amp;" "&amp;C261&amp;" "&amp;D261))</f>
        <v/>
      </c>
      <c r="G261" s="12"/>
      <c r="H261" s="12"/>
      <c r="I261" s="12"/>
      <c r="J261" s="17" t="str">
        <f aca="false">IF(I261="","",IF(COUNTIF(Emplacements!$A$2:$A$1001,I261)=0,"⚠ emplacement inconnu",IF(AND(H261&lt;&gt;"",LEFT(I261,1)&lt;&gt;H261),"⚠ mauvaise zone","OK")))</f>
        <v/>
      </c>
      <c r="K261" s="12"/>
      <c r="L261" s="12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7" t="str">
        <f aca="false">IF(B262="","",TRIM(B262&amp;" "&amp;C262&amp;" "&amp;D262))</f>
        <v/>
      </c>
      <c r="G262" s="12"/>
      <c r="H262" s="12"/>
      <c r="I262" s="12"/>
      <c r="J262" s="17" t="str">
        <f aca="false">IF(I262="","",IF(COUNTIF(Emplacements!$A$2:$A$1001,I262)=0,"⚠ emplacement inconnu",IF(AND(H262&lt;&gt;"",LEFT(I262,1)&lt;&gt;H262),"⚠ mauvaise zone","OK")))</f>
        <v/>
      </c>
      <c r="K262" s="12"/>
      <c r="L262" s="12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7" t="str">
        <f aca="false">IF(B263="","",TRIM(B263&amp;" "&amp;C263&amp;" "&amp;D263))</f>
        <v/>
      </c>
      <c r="G263" s="12"/>
      <c r="H263" s="12"/>
      <c r="I263" s="12"/>
      <c r="J263" s="17" t="str">
        <f aca="false">IF(I263="","",IF(COUNTIF(Emplacements!$A$2:$A$1001,I263)=0,"⚠ emplacement inconnu",IF(AND(H263&lt;&gt;"",LEFT(I263,1)&lt;&gt;H263),"⚠ mauvaise zone","OK")))</f>
        <v/>
      </c>
      <c r="K263" s="12"/>
      <c r="L263" s="12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7" t="str">
        <f aca="false">IF(B264="","",TRIM(B264&amp;" "&amp;C264&amp;" "&amp;D264))</f>
        <v/>
      </c>
      <c r="G264" s="12"/>
      <c r="H264" s="12"/>
      <c r="I264" s="12"/>
      <c r="J264" s="17" t="str">
        <f aca="false">IF(I264="","",IF(COUNTIF(Emplacements!$A$2:$A$1001,I264)=0,"⚠ emplacement inconnu",IF(AND(H264&lt;&gt;"",LEFT(I264,1)&lt;&gt;H264),"⚠ mauvaise zone","OK")))</f>
        <v/>
      </c>
      <c r="K264" s="12"/>
      <c r="L264" s="12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7" t="str">
        <f aca="false">IF(B265="","",TRIM(B265&amp;" "&amp;C265&amp;" "&amp;D265))</f>
        <v/>
      </c>
      <c r="G265" s="12"/>
      <c r="H265" s="12"/>
      <c r="I265" s="12"/>
      <c r="J265" s="17" t="str">
        <f aca="false">IF(I265="","",IF(COUNTIF(Emplacements!$A$2:$A$1001,I265)=0,"⚠ emplacement inconnu",IF(AND(H265&lt;&gt;"",LEFT(I265,1)&lt;&gt;H265),"⚠ mauvaise zone","OK")))</f>
        <v/>
      </c>
      <c r="K265" s="12"/>
      <c r="L265" s="12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7" t="str">
        <f aca="false">IF(B266="","",TRIM(B266&amp;" "&amp;C266&amp;" "&amp;D266))</f>
        <v/>
      </c>
      <c r="G266" s="12"/>
      <c r="H266" s="12"/>
      <c r="I266" s="12"/>
      <c r="J266" s="17" t="str">
        <f aca="false">IF(I266="","",IF(COUNTIF(Emplacements!$A$2:$A$1001,I266)=0,"⚠ emplacement inconnu",IF(AND(H266&lt;&gt;"",LEFT(I266,1)&lt;&gt;H266),"⚠ mauvaise zone","OK")))</f>
        <v/>
      </c>
      <c r="K266" s="12"/>
      <c r="L266" s="12"/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7" t="str">
        <f aca="false">IF(B267="","",TRIM(B267&amp;" "&amp;C267&amp;" "&amp;D267))</f>
        <v/>
      </c>
      <c r="G267" s="12"/>
      <c r="H267" s="12"/>
      <c r="I267" s="12"/>
      <c r="J267" s="17" t="str">
        <f aca="false">IF(I267="","",IF(COUNTIF(Emplacements!$A$2:$A$1001,I267)=0,"⚠ emplacement inconnu",IF(AND(H267&lt;&gt;"",LEFT(I267,1)&lt;&gt;H267),"⚠ mauvaise zone","OK")))</f>
        <v/>
      </c>
      <c r="K267" s="12"/>
      <c r="L267" s="12"/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7" t="str">
        <f aca="false">IF(B268="","",TRIM(B268&amp;" "&amp;C268&amp;" "&amp;D268))</f>
        <v/>
      </c>
      <c r="G268" s="12"/>
      <c r="H268" s="12"/>
      <c r="I268" s="12"/>
      <c r="J268" s="17" t="str">
        <f aca="false">IF(I268="","",IF(COUNTIF(Emplacements!$A$2:$A$1001,I268)=0,"⚠ emplacement inconnu",IF(AND(H268&lt;&gt;"",LEFT(I268,1)&lt;&gt;H268),"⚠ mauvaise zone","OK")))</f>
        <v/>
      </c>
      <c r="K268" s="12"/>
      <c r="L268" s="12"/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7" t="str">
        <f aca="false">IF(B269="","",TRIM(B269&amp;" "&amp;C269&amp;" "&amp;D269))</f>
        <v/>
      </c>
      <c r="G269" s="12"/>
      <c r="H269" s="12"/>
      <c r="I269" s="12"/>
      <c r="J269" s="17" t="str">
        <f aca="false">IF(I269="","",IF(COUNTIF(Emplacements!$A$2:$A$1001,I269)=0,"⚠ emplacement inconnu",IF(AND(H269&lt;&gt;"",LEFT(I269,1)&lt;&gt;H269),"⚠ mauvaise zone","OK")))</f>
        <v/>
      </c>
      <c r="K269" s="12"/>
      <c r="L269" s="12"/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7" t="str">
        <f aca="false">IF(B270="","",TRIM(B270&amp;" "&amp;C270&amp;" "&amp;D270))</f>
        <v/>
      </c>
      <c r="G270" s="12"/>
      <c r="H270" s="12"/>
      <c r="I270" s="12"/>
      <c r="J270" s="17" t="str">
        <f aca="false">IF(I270="","",IF(COUNTIF(Emplacements!$A$2:$A$1001,I270)=0,"⚠ emplacement inconnu",IF(AND(H270&lt;&gt;"",LEFT(I270,1)&lt;&gt;H270),"⚠ mauvaise zone","OK")))</f>
        <v/>
      </c>
      <c r="K270" s="12"/>
      <c r="L270" s="12"/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7" t="str">
        <f aca="false">IF(B271="","",TRIM(B271&amp;" "&amp;C271&amp;" "&amp;D271))</f>
        <v/>
      </c>
      <c r="G271" s="12"/>
      <c r="H271" s="12"/>
      <c r="I271" s="12"/>
      <c r="J271" s="17" t="str">
        <f aca="false">IF(I271="","",IF(COUNTIF(Emplacements!$A$2:$A$1001,I271)=0,"⚠ emplacement inconnu",IF(AND(H271&lt;&gt;"",LEFT(I271,1)&lt;&gt;H271),"⚠ mauvaise zone","OK")))</f>
        <v/>
      </c>
      <c r="K271" s="12"/>
      <c r="L271" s="12"/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7" t="str">
        <f aca="false">IF(B272="","",TRIM(B272&amp;" "&amp;C272&amp;" "&amp;D272))</f>
        <v/>
      </c>
      <c r="G272" s="12"/>
      <c r="H272" s="12"/>
      <c r="I272" s="12"/>
      <c r="J272" s="17" t="str">
        <f aca="false">IF(I272="","",IF(COUNTIF(Emplacements!$A$2:$A$1001,I272)=0,"⚠ emplacement inconnu",IF(AND(H272&lt;&gt;"",LEFT(I272,1)&lt;&gt;H272),"⚠ mauvaise zone","OK")))</f>
        <v/>
      </c>
      <c r="K272" s="12"/>
      <c r="L272" s="12"/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7" t="str">
        <f aca="false">IF(B273="","",TRIM(B273&amp;" "&amp;C273&amp;" "&amp;D273))</f>
        <v/>
      </c>
      <c r="G273" s="12"/>
      <c r="H273" s="12"/>
      <c r="I273" s="12"/>
      <c r="J273" s="17" t="str">
        <f aca="false">IF(I273="","",IF(COUNTIF(Emplacements!$A$2:$A$1001,I273)=0,"⚠ emplacement inconnu",IF(AND(H273&lt;&gt;"",LEFT(I273,1)&lt;&gt;H273),"⚠ mauvaise zone","OK")))</f>
        <v/>
      </c>
      <c r="K273" s="12"/>
      <c r="L273" s="12"/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7" t="str">
        <f aca="false">IF(B274="","",TRIM(B274&amp;" "&amp;C274&amp;" "&amp;D274))</f>
        <v/>
      </c>
      <c r="G274" s="12"/>
      <c r="H274" s="12"/>
      <c r="I274" s="12"/>
      <c r="J274" s="17" t="str">
        <f aca="false">IF(I274="","",IF(COUNTIF(Emplacements!$A$2:$A$1001,I274)=0,"⚠ emplacement inconnu",IF(AND(H274&lt;&gt;"",LEFT(I274,1)&lt;&gt;H274),"⚠ mauvaise zone","OK")))</f>
        <v/>
      </c>
      <c r="K274" s="12"/>
      <c r="L274" s="12"/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7" t="str">
        <f aca="false">IF(B275="","",TRIM(B275&amp;" "&amp;C275&amp;" "&amp;D275))</f>
        <v/>
      </c>
      <c r="G275" s="12"/>
      <c r="H275" s="12"/>
      <c r="I275" s="12"/>
      <c r="J275" s="17" t="str">
        <f aca="false">IF(I275="","",IF(COUNTIF(Emplacements!$A$2:$A$1001,I275)=0,"⚠ emplacement inconnu",IF(AND(H275&lt;&gt;"",LEFT(I275,1)&lt;&gt;H275),"⚠ mauvaise zone","OK")))</f>
        <v/>
      </c>
      <c r="K275" s="12"/>
      <c r="L275" s="12"/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7" t="str">
        <f aca="false">IF(B276="","",TRIM(B276&amp;" "&amp;C276&amp;" "&amp;D276))</f>
        <v/>
      </c>
      <c r="G276" s="12"/>
      <c r="H276" s="12"/>
      <c r="I276" s="12"/>
      <c r="J276" s="17" t="str">
        <f aca="false">IF(I276="","",IF(COUNTIF(Emplacements!$A$2:$A$1001,I276)=0,"⚠ emplacement inconnu",IF(AND(H276&lt;&gt;"",LEFT(I276,1)&lt;&gt;H276),"⚠ mauvaise zone","OK")))</f>
        <v/>
      </c>
      <c r="K276" s="12"/>
      <c r="L276" s="12"/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7" t="str">
        <f aca="false">IF(B277="","",TRIM(B277&amp;" "&amp;C277&amp;" "&amp;D277))</f>
        <v/>
      </c>
      <c r="G277" s="12"/>
      <c r="H277" s="12"/>
      <c r="I277" s="12"/>
      <c r="J277" s="17" t="str">
        <f aca="false">IF(I277="","",IF(COUNTIF(Emplacements!$A$2:$A$1001,I277)=0,"⚠ emplacement inconnu",IF(AND(H277&lt;&gt;"",LEFT(I277,1)&lt;&gt;H277),"⚠ mauvaise zone","OK")))</f>
        <v/>
      </c>
      <c r="K277" s="12"/>
      <c r="L277" s="12"/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7" t="str">
        <f aca="false">IF(B278="","",TRIM(B278&amp;" "&amp;C278&amp;" "&amp;D278))</f>
        <v/>
      </c>
      <c r="G278" s="12"/>
      <c r="H278" s="12"/>
      <c r="I278" s="12"/>
      <c r="J278" s="17" t="str">
        <f aca="false">IF(I278="","",IF(COUNTIF(Emplacements!$A$2:$A$1001,I278)=0,"⚠ emplacement inconnu",IF(AND(H278&lt;&gt;"",LEFT(I278,1)&lt;&gt;H278),"⚠ mauvaise zone","OK")))</f>
        <v/>
      </c>
      <c r="K278" s="12"/>
      <c r="L278" s="12"/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7" t="str">
        <f aca="false">IF(B279="","",TRIM(B279&amp;" "&amp;C279&amp;" "&amp;D279))</f>
        <v/>
      </c>
      <c r="G279" s="12"/>
      <c r="H279" s="12"/>
      <c r="I279" s="12"/>
      <c r="J279" s="17" t="str">
        <f aca="false">IF(I279="","",IF(COUNTIF(Emplacements!$A$2:$A$1001,I279)=0,"⚠ emplacement inconnu",IF(AND(H279&lt;&gt;"",LEFT(I279,1)&lt;&gt;H279),"⚠ mauvaise zone","OK")))</f>
        <v/>
      </c>
      <c r="K279" s="12"/>
      <c r="L279" s="12"/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7" t="str">
        <f aca="false">IF(B280="","",TRIM(B280&amp;" "&amp;C280&amp;" "&amp;D280))</f>
        <v/>
      </c>
      <c r="G280" s="12"/>
      <c r="H280" s="12"/>
      <c r="I280" s="12"/>
      <c r="J280" s="17" t="str">
        <f aca="false">IF(I280="","",IF(COUNTIF(Emplacements!$A$2:$A$1001,I280)=0,"⚠ emplacement inconnu",IF(AND(H280&lt;&gt;"",LEFT(I280,1)&lt;&gt;H280),"⚠ mauvaise zone","OK")))</f>
        <v/>
      </c>
      <c r="K280" s="12"/>
      <c r="L280" s="12"/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7" t="str">
        <f aca="false">IF(B281="","",TRIM(B281&amp;" "&amp;C281&amp;" "&amp;D281))</f>
        <v/>
      </c>
      <c r="G281" s="12"/>
      <c r="H281" s="12"/>
      <c r="I281" s="12"/>
      <c r="J281" s="17" t="str">
        <f aca="false">IF(I281="","",IF(COUNTIF(Emplacements!$A$2:$A$1001,I281)=0,"⚠ emplacement inconnu",IF(AND(H281&lt;&gt;"",LEFT(I281,1)&lt;&gt;H281),"⚠ mauvaise zone","OK")))</f>
        <v/>
      </c>
      <c r="K281" s="12"/>
      <c r="L281" s="12"/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7" t="str">
        <f aca="false">IF(B282="","",TRIM(B282&amp;" "&amp;C282&amp;" "&amp;D282))</f>
        <v/>
      </c>
      <c r="G282" s="12"/>
      <c r="H282" s="12"/>
      <c r="I282" s="12"/>
      <c r="J282" s="17" t="str">
        <f aca="false">IF(I282="","",IF(COUNTIF(Emplacements!$A$2:$A$1001,I282)=0,"⚠ emplacement inconnu",IF(AND(H282&lt;&gt;"",LEFT(I282,1)&lt;&gt;H282),"⚠ mauvaise zone","OK")))</f>
        <v/>
      </c>
      <c r="K282" s="12"/>
      <c r="L282" s="12"/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7" t="str">
        <f aca="false">IF(B283="","",TRIM(B283&amp;" "&amp;C283&amp;" "&amp;D283))</f>
        <v/>
      </c>
      <c r="G283" s="12"/>
      <c r="H283" s="12"/>
      <c r="I283" s="12"/>
      <c r="J283" s="17" t="str">
        <f aca="false">IF(I283="","",IF(COUNTIF(Emplacements!$A$2:$A$1001,I283)=0,"⚠ emplacement inconnu",IF(AND(H283&lt;&gt;"",LEFT(I283,1)&lt;&gt;H283),"⚠ mauvaise zone","OK")))</f>
        <v/>
      </c>
      <c r="K283" s="12"/>
      <c r="L283" s="12"/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7" t="str">
        <f aca="false">IF(B284="","",TRIM(B284&amp;" "&amp;C284&amp;" "&amp;D284))</f>
        <v/>
      </c>
      <c r="G284" s="12"/>
      <c r="H284" s="12"/>
      <c r="I284" s="12"/>
      <c r="J284" s="17" t="str">
        <f aca="false">IF(I284="","",IF(COUNTIF(Emplacements!$A$2:$A$1001,I284)=0,"⚠ emplacement inconnu",IF(AND(H284&lt;&gt;"",LEFT(I284,1)&lt;&gt;H284),"⚠ mauvaise zone","OK")))</f>
        <v/>
      </c>
      <c r="K284" s="12"/>
      <c r="L284" s="12"/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7" t="str">
        <f aca="false">IF(B285="","",TRIM(B285&amp;" "&amp;C285&amp;" "&amp;D285))</f>
        <v/>
      </c>
      <c r="G285" s="12"/>
      <c r="H285" s="12"/>
      <c r="I285" s="12"/>
      <c r="J285" s="17" t="str">
        <f aca="false">IF(I285="","",IF(COUNTIF(Emplacements!$A$2:$A$1001,I285)=0,"⚠ emplacement inconnu",IF(AND(H285&lt;&gt;"",LEFT(I285,1)&lt;&gt;H285),"⚠ mauvaise zone","OK")))</f>
        <v/>
      </c>
      <c r="K285" s="12"/>
      <c r="L285" s="12"/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7" t="str">
        <f aca="false">IF(B286="","",TRIM(B286&amp;" "&amp;C286&amp;" "&amp;D286))</f>
        <v/>
      </c>
      <c r="G286" s="12"/>
      <c r="H286" s="12"/>
      <c r="I286" s="12"/>
      <c r="J286" s="17" t="str">
        <f aca="false">IF(I286="","",IF(COUNTIF(Emplacements!$A$2:$A$1001,I286)=0,"⚠ emplacement inconnu",IF(AND(H286&lt;&gt;"",LEFT(I286,1)&lt;&gt;H286),"⚠ mauvaise zone","OK")))</f>
        <v/>
      </c>
      <c r="K286" s="12"/>
      <c r="L286" s="12"/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7" t="str">
        <f aca="false">IF(B287="","",TRIM(B287&amp;" "&amp;C287&amp;" "&amp;D287))</f>
        <v/>
      </c>
      <c r="G287" s="12"/>
      <c r="H287" s="12"/>
      <c r="I287" s="12"/>
      <c r="J287" s="17" t="str">
        <f aca="false">IF(I287="","",IF(COUNTIF(Emplacements!$A$2:$A$1001,I287)=0,"⚠ emplacement inconnu",IF(AND(H287&lt;&gt;"",LEFT(I287,1)&lt;&gt;H287),"⚠ mauvaise zone","OK")))</f>
        <v/>
      </c>
      <c r="K287" s="12"/>
      <c r="L287" s="12"/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7" t="str">
        <f aca="false">IF(B288="","",TRIM(B288&amp;" "&amp;C288&amp;" "&amp;D288))</f>
        <v/>
      </c>
      <c r="G288" s="12"/>
      <c r="H288" s="12"/>
      <c r="I288" s="12"/>
      <c r="J288" s="17" t="str">
        <f aca="false">IF(I288="","",IF(COUNTIF(Emplacements!$A$2:$A$1001,I288)=0,"⚠ emplacement inconnu",IF(AND(H288&lt;&gt;"",LEFT(I288,1)&lt;&gt;H288),"⚠ mauvaise zone","OK")))</f>
        <v/>
      </c>
      <c r="K288" s="12"/>
      <c r="L288" s="12"/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7" t="str">
        <f aca="false">IF(B289="","",TRIM(B289&amp;" "&amp;C289&amp;" "&amp;D289))</f>
        <v/>
      </c>
      <c r="G289" s="12"/>
      <c r="H289" s="12"/>
      <c r="I289" s="12"/>
      <c r="J289" s="17" t="str">
        <f aca="false">IF(I289="","",IF(COUNTIF(Emplacements!$A$2:$A$1001,I289)=0,"⚠ emplacement inconnu",IF(AND(H289&lt;&gt;"",LEFT(I289,1)&lt;&gt;H289),"⚠ mauvaise zone","OK")))</f>
        <v/>
      </c>
      <c r="K289" s="12"/>
      <c r="L289" s="12"/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7" t="str">
        <f aca="false">IF(B290="","",TRIM(B290&amp;" "&amp;C290&amp;" "&amp;D290))</f>
        <v/>
      </c>
      <c r="G290" s="12"/>
      <c r="H290" s="12"/>
      <c r="I290" s="12"/>
      <c r="J290" s="17" t="str">
        <f aca="false">IF(I290="","",IF(COUNTIF(Emplacements!$A$2:$A$1001,I290)=0,"⚠ emplacement inconnu",IF(AND(H290&lt;&gt;"",LEFT(I290,1)&lt;&gt;H290),"⚠ mauvaise zone","OK")))</f>
        <v/>
      </c>
      <c r="K290" s="12"/>
      <c r="L290" s="12"/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7" t="str">
        <f aca="false">IF(B291="","",TRIM(B291&amp;" "&amp;C291&amp;" "&amp;D291))</f>
        <v/>
      </c>
      <c r="G291" s="12"/>
      <c r="H291" s="12"/>
      <c r="I291" s="12"/>
      <c r="J291" s="17" t="str">
        <f aca="false">IF(I291="","",IF(COUNTIF(Emplacements!$A$2:$A$1001,I291)=0,"⚠ emplacement inconnu",IF(AND(H291&lt;&gt;"",LEFT(I291,1)&lt;&gt;H291),"⚠ mauvaise zone","OK")))</f>
        <v/>
      </c>
      <c r="K291" s="12"/>
      <c r="L291" s="12"/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7" t="str">
        <f aca="false">IF(B292="","",TRIM(B292&amp;" "&amp;C292&amp;" "&amp;D292))</f>
        <v/>
      </c>
      <c r="G292" s="12"/>
      <c r="H292" s="12"/>
      <c r="I292" s="12"/>
      <c r="J292" s="17" t="str">
        <f aca="false">IF(I292="","",IF(COUNTIF(Emplacements!$A$2:$A$1001,I292)=0,"⚠ emplacement inconnu",IF(AND(H292&lt;&gt;"",LEFT(I292,1)&lt;&gt;H292),"⚠ mauvaise zone","OK")))</f>
        <v/>
      </c>
      <c r="K292" s="12"/>
      <c r="L292" s="12"/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7" t="str">
        <f aca="false">IF(B293="","",TRIM(B293&amp;" "&amp;C293&amp;" "&amp;D293))</f>
        <v/>
      </c>
      <c r="G293" s="12"/>
      <c r="H293" s="12"/>
      <c r="I293" s="12"/>
      <c r="J293" s="17" t="str">
        <f aca="false">IF(I293="","",IF(COUNTIF(Emplacements!$A$2:$A$1001,I293)=0,"⚠ emplacement inconnu",IF(AND(H293&lt;&gt;"",LEFT(I293,1)&lt;&gt;H293),"⚠ mauvaise zone","OK")))</f>
        <v/>
      </c>
      <c r="K293" s="12"/>
      <c r="L293" s="12"/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7" t="str">
        <f aca="false">IF(B294="","",TRIM(B294&amp;" "&amp;C294&amp;" "&amp;D294))</f>
        <v/>
      </c>
      <c r="G294" s="12"/>
      <c r="H294" s="12"/>
      <c r="I294" s="12"/>
      <c r="J294" s="17" t="str">
        <f aca="false">IF(I294="","",IF(COUNTIF(Emplacements!$A$2:$A$1001,I294)=0,"⚠ emplacement inconnu",IF(AND(H294&lt;&gt;"",LEFT(I294,1)&lt;&gt;H294),"⚠ mauvaise zone","OK")))</f>
        <v/>
      </c>
      <c r="K294" s="12"/>
      <c r="L294" s="12"/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7" t="str">
        <f aca="false">IF(B295="","",TRIM(B295&amp;" "&amp;C295&amp;" "&amp;D295))</f>
        <v/>
      </c>
      <c r="G295" s="12"/>
      <c r="H295" s="12"/>
      <c r="I295" s="12"/>
      <c r="J295" s="17" t="str">
        <f aca="false">IF(I295="","",IF(COUNTIF(Emplacements!$A$2:$A$1001,I295)=0,"⚠ emplacement inconnu",IF(AND(H295&lt;&gt;"",LEFT(I295,1)&lt;&gt;H295),"⚠ mauvaise zone","OK")))</f>
        <v/>
      </c>
      <c r="K295" s="12"/>
      <c r="L295" s="12"/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7" t="str">
        <f aca="false">IF(B296="","",TRIM(B296&amp;" "&amp;C296&amp;" "&amp;D296))</f>
        <v/>
      </c>
      <c r="G296" s="12"/>
      <c r="H296" s="12"/>
      <c r="I296" s="12"/>
      <c r="J296" s="17" t="str">
        <f aca="false">IF(I296="","",IF(COUNTIF(Emplacements!$A$2:$A$1001,I296)=0,"⚠ emplacement inconnu",IF(AND(H296&lt;&gt;"",LEFT(I296,1)&lt;&gt;H296),"⚠ mauvaise zone","OK")))</f>
        <v/>
      </c>
      <c r="K296" s="12"/>
      <c r="L296" s="12"/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7" t="str">
        <f aca="false">IF(B297="","",TRIM(B297&amp;" "&amp;C297&amp;" "&amp;D297))</f>
        <v/>
      </c>
      <c r="G297" s="12"/>
      <c r="H297" s="12"/>
      <c r="I297" s="12"/>
      <c r="J297" s="17" t="str">
        <f aca="false">IF(I297="","",IF(COUNTIF(Emplacements!$A$2:$A$1001,I297)=0,"⚠ emplacement inconnu",IF(AND(H297&lt;&gt;"",LEFT(I297,1)&lt;&gt;H297),"⚠ mauvaise zone","OK")))</f>
        <v/>
      </c>
      <c r="K297" s="12"/>
      <c r="L297" s="12"/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7" t="str">
        <f aca="false">IF(B298="","",TRIM(B298&amp;" "&amp;C298&amp;" "&amp;D298))</f>
        <v/>
      </c>
      <c r="G298" s="12"/>
      <c r="H298" s="12"/>
      <c r="I298" s="12"/>
      <c r="J298" s="17" t="str">
        <f aca="false">IF(I298="","",IF(COUNTIF(Emplacements!$A$2:$A$1001,I298)=0,"⚠ emplacement inconnu",IF(AND(H298&lt;&gt;"",LEFT(I298,1)&lt;&gt;H298),"⚠ mauvaise zone","OK")))</f>
        <v/>
      </c>
      <c r="K298" s="12"/>
      <c r="L298" s="12"/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7" t="str">
        <f aca="false">IF(B299="","",TRIM(B299&amp;" "&amp;C299&amp;" "&amp;D299))</f>
        <v/>
      </c>
      <c r="G299" s="12"/>
      <c r="H299" s="12"/>
      <c r="I299" s="12"/>
      <c r="J299" s="17" t="str">
        <f aca="false">IF(I299="","",IF(COUNTIF(Emplacements!$A$2:$A$1001,I299)=0,"⚠ emplacement inconnu",IF(AND(H299&lt;&gt;"",LEFT(I299,1)&lt;&gt;H299),"⚠ mauvaise zone","OK")))</f>
        <v/>
      </c>
      <c r="K299" s="12"/>
      <c r="L299" s="12"/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7" t="str">
        <f aca="false">IF(B300="","",TRIM(B300&amp;" "&amp;C300&amp;" "&amp;D300))</f>
        <v/>
      </c>
      <c r="G300" s="12"/>
      <c r="H300" s="12"/>
      <c r="I300" s="12"/>
      <c r="J300" s="17" t="str">
        <f aca="false">IF(I300="","",IF(COUNTIF(Emplacements!$A$2:$A$1001,I300)=0,"⚠ emplacement inconnu",IF(AND(H300&lt;&gt;"",LEFT(I300,1)&lt;&gt;H300),"⚠ mauvaise zone","OK")))</f>
        <v/>
      </c>
      <c r="K300" s="12"/>
      <c r="L300" s="12"/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7" t="str">
        <f aca="false">IF(B301="","",TRIM(B301&amp;" "&amp;C301&amp;" "&amp;D301))</f>
        <v/>
      </c>
      <c r="G301" s="12"/>
      <c r="H301" s="12"/>
      <c r="I301" s="12"/>
      <c r="J301" s="17" t="str">
        <f aca="false">IF(I301="","",IF(COUNTIF(Emplacements!$A$2:$A$1001,I301)=0,"⚠ emplacement inconnu",IF(AND(H301&lt;&gt;"",LEFT(I301,1)&lt;&gt;H301),"⚠ mauvaise zone","OK")))</f>
        <v/>
      </c>
      <c r="K301" s="12"/>
      <c r="L301" s="12"/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7" t="str">
        <f aca="false">IF(B302="","",TRIM(B302&amp;" "&amp;C302&amp;" "&amp;D302))</f>
        <v/>
      </c>
      <c r="G302" s="12"/>
      <c r="H302" s="12"/>
      <c r="I302" s="12"/>
      <c r="J302" s="17" t="str">
        <f aca="false">IF(I302="","",IF(COUNTIF(Emplacements!$A$2:$A$1001,I302)=0,"⚠ emplacement inconnu",IF(AND(H302&lt;&gt;"",LEFT(I302,1)&lt;&gt;H302),"⚠ mauvaise zone","OK")))</f>
        <v/>
      </c>
      <c r="K302" s="12"/>
      <c r="L302" s="12"/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7" t="str">
        <f aca="false">IF(B303="","",TRIM(B303&amp;" "&amp;C303&amp;" "&amp;D303))</f>
        <v/>
      </c>
      <c r="G303" s="12"/>
      <c r="H303" s="12"/>
      <c r="I303" s="12"/>
      <c r="J303" s="17" t="str">
        <f aca="false">IF(I303="","",IF(COUNTIF(Emplacements!$A$2:$A$1001,I303)=0,"⚠ emplacement inconnu",IF(AND(H303&lt;&gt;"",LEFT(I303,1)&lt;&gt;H303),"⚠ mauvaise zone","OK")))</f>
        <v/>
      </c>
      <c r="K303" s="12"/>
      <c r="L303" s="12"/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7" t="str">
        <f aca="false">IF(B304="","",TRIM(B304&amp;" "&amp;C304&amp;" "&amp;D304))</f>
        <v/>
      </c>
      <c r="G304" s="12"/>
      <c r="H304" s="12"/>
      <c r="I304" s="12"/>
      <c r="J304" s="17" t="str">
        <f aca="false">IF(I304="","",IF(COUNTIF(Emplacements!$A$2:$A$1001,I304)=0,"⚠ emplacement inconnu",IF(AND(H304&lt;&gt;"",LEFT(I304,1)&lt;&gt;H304),"⚠ mauvaise zone","OK")))</f>
        <v/>
      </c>
      <c r="K304" s="12"/>
      <c r="L304" s="12"/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7" t="str">
        <f aca="false">IF(B305="","",TRIM(B305&amp;" "&amp;C305&amp;" "&amp;D305))</f>
        <v/>
      </c>
      <c r="G305" s="12"/>
      <c r="H305" s="12"/>
      <c r="I305" s="12"/>
      <c r="J305" s="17" t="str">
        <f aca="false">IF(I305="","",IF(COUNTIF(Emplacements!$A$2:$A$1001,I305)=0,"⚠ emplacement inconnu",IF(AND(H305&lt;&gt;"",LEFT(I305,1)&lt;&gt;H305),"⚠ mauvaise zone","OK")))</f>
        <v/>
      </c>
      <c r="K305" s="12"/>
      <c r="L305" s="12"/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7" t="str">
        <f aca="false">IF(B306="","",TRIM(B306&amp;" "&amp;C306&amp;" "&amp;D306))</f>
        <v/>
      </c>
      <c r="G306" s="12"/>
      <c r="H306" s="12"/>
      <c r="I306" s="12"/>
      <c r="J306" s="17" t="str">
        <f aca="false">IF(I306="","",IF(COUNTIF(Emplacements!$A$2:$A$1001,I306)=0,"⚠ emplacement inconnu",IF(AND(H306&lt;&gt;"",LEFT(I306,1)&lt;&gt;H306),"⚠ mauvaise zone","OK")))</f>
        <v/>
      </c>
      <c r="K306" s="12"/>
      <c r="L306" s="12"/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7" t="str">
        <f aca="false">IF(B307="","",TRIM(B307&amp;" "&amp;C307&amp;" "&amp;D307))</f>
        <v/>
      </c>
      <c r="G307" s="12"/>
      <c r="H307" s="12"/>
      <c r="I307" s="12"/>
      <c r="J307" s="17" t="str">
        <f aca="false">IF(I307="","",IF(COUNTIF(Emplacements!$A$2:$A$1001,I307)=0,"⚠ emplacement inconnu",IF(AND(H307&lt;&gt;"",LEFT(I307,1)&lt;&gt;H307),"⚠ mauvaise zone","OK")))</f>
        <v/>
      </c>
      <c r="K307" s="12"/>
      <c r="L307" s="12"/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7" t="str">
        <f aca="false">IF(B308="","",TRIM(B308&amp;" "&amp;C308&amp;" "&amp;D308))</f>
        <v/>
      </c>
      <c r="G308" s="12"/>
      <c r="H308" s="12"/>
      <c r="I308" s="12"/>
      <c r="J308" s="17" t="str">
        <f aca="false">IF(I308="","",IF(COUNTIF(Emplacements!$A$2:$A$1001,I308)=0,"⚠ emplacement inconnu",IF(AND(H308&lt;&gt;"",LEFT(I308,1)&lt;&gt;H308),"⚠ mauvaise zone","OK")))</f>
        <v/>
      </c>
      <c r="K308" s="12"/>
      <c r="L308" s="12"/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7" t="str">
        <f aca="false">IF(B309="","",TRIM(B309&amp;" "&amp;C309&amp;" "&amp;D309))</f>
        <v/>
      </c>
      <c r="G309" s="12"/>
      <c r="H309" s="12"/>
      <c r="I309" s="12"/>
      <c r="J309" s="17" t="str">
        <f aca="false">IF(I309="","",IF(COUNTIF(Emplacements!$A$2:$A$1001,I309)=0,"⚠ emplacement inconnu",IF(AND(H309&lt;&gt;"",LEFT(I309,1)&lt;&gt;H309),"⚠ mauvaise zone","OK")))</f>
        <v/>
      </c>
      <c r="K309" s="12"/>
      <c r="L309" s="12"/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7" t="str">
        <f aca="false">IF(B310="","",TRIM(B310&amp;" "&amp;C310&amp;" "&amp;D310))</f>
        <v/>
      </c>
      <c r="G310" s="12"/>
      <c r="H310" s="12"/>
      <c r="I310" s="12"/>
      <c r="J310" s="17" t="str">
        <f aca="false">IF(I310="","",IF(COUNTIF(Emplacements!$A$2:$A$1001,I310)=0,"⚠ emplacement inconnu",IF(AND(H310&lt;&gt;"",LEFT(I310,1)&lt;&gt;H310),"⚠ mauvaise zone","OK")))</f>
        <v/>
      </c>
      <c r="K310" s="12"/>
      <c r="L310" s="12"/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7" t="str">
        <f aca="false">IF(B311="","",TRIM(B311&amp;" "&amp;C311&amp;" "&amp;D311))</f>
        <v/>
      </c>
      <c r="G311" s="12"/>
      <c r="H311" s="12"/>
      <c r="I311" s="12"/>
      <c r="J311" s="17" t="str">
        <f aca="false">IF(I311="","",IF(COUNTIF(Emplacements!$A$2:$A$1001,I311)=0,"⚠ emplacement inconnu",IF(AND(H311&lt;&gt;"",LEFT(I311,1)&lt;&gt;H311),"⚠ mauvaise zone","OK")))</f>
        <v/>
      </c>
      <c r="K311" s="12"/>
      <c r="L311" s="12"/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7" t="str">
        <f aca="false">IF(B312="","",TRIM(B312&amp;" "&amp;C312&amp;" "&amp;D312))</f>
        <v/>
      </c>
      <c r="G312" s="12"/>
      <c r="H312" s="12"/>
      <c r="I312" s="12"/>
      <c r="J312" s="17" t="str">
        <f aca="false">IF(I312="","",IF(COUNTIF(Emplacements!$A$2:$A$1001,I312)=0,"⚠ emplacement inconnu",IF(AND(H312&lt;&gt;"",LEFT(I312,1)&lt;&gt;H312),"⚠ mauvaise zone","OK")))</f>
        <v/>
      </c>
      <c r="K312" s="12"/>
      <c r="L312" s="12"/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7" t="str">
        <f aca="false">IF(B313="","",TRIM(B313&amp;" "&amp;C313&amp;" "&amp;D313))</f>
        <v/>
      </c>
      <c r="G313" s="12"/>
      <c r="H313" s="12"/>
      <c r="I313" s="12"/>
      <c r="J313" s="17" t="str">
        <f aca="false">IF(I313="","",IF(COUNTIF(Emplacements!$A$2:$A$1001,I313)=0,"⚠ emplacement inconnu",IF(AND(H313&lt;&gt;"",LEFT(I313,1)&lt;&gt;H313),"⚠ mauvaise zone","OK")))</f>
        <v/>
      </c>
      <c r="K313" s="12"/>
      <c r="L313" s="12"/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7" t="str">
        <f aca="false">IF(B314="","",TRIM(B314&amp;" "&amp;C314&amp;" "&amp;D314))</f>
        <v/>
      </c>
      <c r="G314" s="12"/>
      <c r="H314" s="12"/>
      <c r="I314" s="12"/>
      <c r="J314" s="17" t="str">
        <f aca="false">IF(I314="","",IF(COUNTIF(Emplacements!$A$2:$A$1001,I314)=0,"⚠ emplacement inconnu",IF(AND(H314&lt;&gt;"",LEFT(I314,1)&lt;&gt;H314),"⚠ mauvaise zone","OK")))</f>
        <v/>
      </c>
      <c r="K314" s="12"/>
      <c r="L314" s="12"/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7" t="str">
        <f aca="false">IF(B315="","",TRIM(B315&amp;" "&amp;C315&amp;" "&amp;D315))</f>
        <v/>
      </c>
      <c r="G315" s="12"/>
      <c r="H315" s="12"/>
      <c r="I315" s="12"/>
      <c r="J315" s="17" t="str">
        <f aca="false">IF(I315="","",IF(COUNTIF(Emplacements!$A$2:$A$1001,I315)=0,"⚠ emplacement inconnu",IF(AND(H315&lt;&gt;"",LEFT(I315,1)&lt;&gt;H315),"⚠ mauvaise zone","OK")))</f>
        <v/>
      </c>
      <c r="K315" s="12"/>
      <c r="L315" s="12"/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7" t="str">
        <f aca="false">IF(B316="","",TRIM(B316&amp;" "&amp;C316&amp;" "&amp;D316))</f>
        <v/>
      </c>
      <c r="G316" s="12"/>
      <c r="H316" s="12"/>
      <c r="I316" s="12"/>
      <c r="J316" s="17" t="str">
        <f aca="false">IF(I316="","",IF(COUNTIF(Emplacements!$A$2:$A$1001,I316)=0,"⚠ emplacement inconnu",IF(AND(H316&lt;&gt;"",LEFT(I316,1)&lt;&gt;H316),"⚠ mauvaise zone","OK")))</f>
        <v/>
      </c>
      <c r="K316" s="12"/>
      <c r="L316" s="12"/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7" t="str">
        <f aca="false">IF(B317="","",TRIM(B317&amp;" "&amp;C317&amp;" "&amp;D317))</f>
        <v/>
      </c>
      <c r="G317" s="12"/>
      <c r="H317" s="12"/>
      <c r="I317" s="12"/>
      <c r="J317" s="17" t="str">
        <f aca="false">IF(I317="","",IF(COUNTIF(Emplacements!$A$2:$A$1001,I317)=0,"⚠ emplacement inconnu",IF(AND(H317&lt;&gt;"",LEFT(I317,1)&lt;&gt;H317),"⚠ mauvaise zone","OK")))</f>
        <v/>
      </c>
      <c r="K317" s="12"/>
      <c r="L317" s="12"/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7" t="str">
        <f aca="false">IF(B318="","",TRIM(B318&amp;" "&amp;C318&amp;" "&amp;D318))</f>
        <v/>
      </c>
      <c r="G318" s="12"/>
      <c r="H318" s="12"/>
      <c r="I318" s="12"/>
      <c r="J318" s="17" t="str">
        <f aca="false">IF(I318="","",IF(COUNTIF(Emplacements!$A$2:$A$1001,I318)=0,"⚠ emplacement inconnu",IF(AND(H318&lt;&gt;"",LEFT(I318,1)&lt;&gt;H318),"⚠ mauvaise zone","OK")))</f>
        <v/>
      </c>
      <c r="K318" s="12"/>
      <c r="L318" s="12"/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7" t="str">
        <f aca="false">IF(B319="","",TRIM(B319&amp;" "&amp;C319&amp;" "&amp;D319))</f>
        <v/>
      </c>
      <c r="G319" s="12"/>
      <c r="H319" s="12"/>
      <c r="I319" s="12"/>
      <c r="J319" s="17" t="str">
        <f aca="false">IF(I319="","",IF(COUNTIF(Emplacements!$A$2:$A$1001,I319)=0,"⚠ emplacement inconnu",IF(AND(H319&lt;&gt;"",LEFT(I319,1)&lt;&gt;H319),"⚠ mauvaise zone","OK")))</f>
        <v/>
      </c>
      <c r="K319" s="12"/>
      <c r="L319" s="12"/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7" t="str">
        <f aca="false">IF(B320="","",TRIM(B320&amp;" "&amp;C320&amp;" "&amp;D320))</f>
        <v/>
      </c>
      <c r="G320" s="12"/>
      <c r="H320" s="12"/>
      <c r="I320" s="12"/>
      <c r="J320" s="17" t="str">
        <f aca="false">IF(I320="","",IF(COUNTIF(Emplacements!$A$2:$A$1001,I320)=0,"⚠ emplacement inconnu",IF(AND(H320&lt;&gt;"",LEFT(I320,1)&lt;&gt;H320),"⚠ mauvaise zone","OK")))</f>
        <v/>
      </c>
      <c r="K320" s="12"/>
      <c r="L320" s="12"/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7" t="str">
        <f aca="false">IF(B321="","",TRIM(B321&amp;" "&amp;C321&amp;" "&amp;D321))</f>
        <v/>
      </c>
      <c r="G321" s="12"/>
      <c r="H321" s="12"/>
      <c r="I321" s="12"/>
      <c r="J321" s="17" t="str">
        <f aca="false">IF(I321="","",IF(COUNTIF(Emplacements!$A$2:$A$1001,I321)=0,"⚠ emplacement inconnu",IF(AND(H321&lt;&gt;"",LEFT(I321,1)&lt;&gt;H321),"⚠ mauvaise zone","OK")))</f>
        <v/>
      </c>
      <c r="K321" s="12"/>
      <c r="L321" s="12"/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7" t="str">
        <f aca="false">IF(B322="","",TRIM(B322&amp;" "&amp;C322&amp;" "&amp;D322))</f>
        <v/>
      </c>
      <c r="G322" s="12"/>
      <c r="H322" s="12"/>
      <c r="I322" s="12"/>
      <c r="J322" s="17" t="str">
        <f aca="false">IF(I322="","",IF(COUNTIF(Emplacements!$A$2:$A$1001,I322)=0,"⚠ emplacement inconnu",IF(AND(H322&lt;&gt;"",LEFT(I322,1)&lt;&gt;H322),"⚠ mauvaise zone","OK")))</f>
        <v/>
      </c>
      <c r="K322" s="12"/>
      <c r="L322" s="12"/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7" t="str">
        <f aca="false">IF(B323="","",TRIM(B323&amp;" "&amp;C323&amp;" "&amp;D323))</f>
        <v/>
      </c>
      <c r="G323" s="12"/>
      <c r="H323" s="12"/>
      <c r="I323" s="12"/>
      <c r="J323" s="17" t="str">
        <f aca="false">IF(I323="","",IF(COUNTIF(Emplacements!$A$2:$A$1001,I323)=0,"⚠ emplacement inconnu",IF(AND(H323&lt;&gt;"",LEFT(I323,1)&lt;&gt;H323),"⚠ mauvaise zone","OK")))</f>
        <v/>
      </c>
      <c r="K323" s="12"/>
      <c r="L323" s="12"/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7" t="str">
        <f aca="false">IF(B324="","",TRIM(B324&amp;" "&amp;C324&amp;" "&amp;D324))</f>
        <v/>
      </c>
      <c r="G324" s="12"/>
      <c r="H324" s="12"/>
      <c r="I324" s="12"/>
      <c r="J324" s="17" t="str">
        <f aca="false">IF(I324="","",IF(COUNTIF(Emplacements!$A$2:$A$1001,I324)=0,"⚠ emplacement inconnu",IF(AND(H324&lt;&gt;"",LEFT(I324,1)&lt;&gt;H324),"⚠ mauvaise zone","OK")))</f>
        <v/>
      </c>
      <c r="K324" s="12"/>
      <c r="L324" s="12"/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7" t="str">
        <f aca="false">IF(B325="","",TRIM(B325&amp;" "&amp;C325&amp;" "&amp;D325))</f>
        <v/>
      </c>
      <c r="G325" s="12"/>
      <c r="H325" s="12"/>
      <c r="I325" s="12"/>
      <c r="J325" s="17" t="str">
        <f aca="false">IF(I325="","",IF(COUNTIF(Emplacements!$A$2:$A$1001,I325)=0,"⚠ emplacement inconnu",IF(AND(H325&lt;&gt;"",LEFT(I325,1)&lt;&gt;H325),"⚠ mauvaise zone","OK")))</f>
        <v/>
      </c>
      <c r="K325" s="12"/>
      <c r="L325" s="12"/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7" t="str">
        <f aca="false">IF(B326="","",TRIM(B326&amp;" "&amp;C326&amp;" "&amp;D326))</f>
        <v/>
      </c>
      <c r="G326" s="12"/>
      <c r="H326" s="12"/>
      <c r="I326" s="12"/>
      <c r="J326" s="17" t="str">
        <f aca="false">IF(I326="","",IF(COUNTIF(Emplacements!$A$2:$A$1001,I326)=0,"⚠ emplacement inconnu",IF(AND(H326&lt;&gt;"",LEFT(I326,1)&lt;&gt;H326),"⚠ mauvaise zone","OK")))</f>
        <v/>
      </c>
      <c r="K326" s="12"/>
      <c r="L326" s="12"/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7" t="str">
        <f aca="false">IF(B327="","",TRIM(B327&amp;" "&amp;C327&amp;" "&amp;D327))</f>
        <v/>
      </c>
      <c r="G327" s="12"/>
      <c r="H327" s="12"/>
      <c r="I327" s="12"/>
      <c r="J327" s="17" t="str">
        <f aca="false">IF(I327="","",IF(COUNTIF(Emplacements!$A$2:$A$1001,I327)=0,"⚠ emplacement inconnu",IF(AND(H327&lt;&gt;"",LEFT(I327,1)&lt;&gt;H327),"⚠ mauvaise zone","OK")))</f>
        <v/>
      </c>
      <c r="K327" s="12"/>
      <c r="L327" s="12"/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7" t="str">
        <f aca="false">IF(B328="","",TRIM(B328&amp;" "&amp;C328&amp;" "&amp;D328))</f>
        <v/>
      </c>
      <c r="G328" s="12"/>
      <c r="H328" s="12"/>
      <c r="I328" s="12"/>
      <c r="J328" s="17" t="str">
        <f aca="false">IF(I328="","",IF(COUNTIF(Emplacements!$A$2:$A$1001,I328)=0,"⚠ emplacement inconnu",IF(AND(H328&lt;&gt;"",LEFT(I328,1)&lt;&gt;H328),"⚠ mauvaise zone","OK")))</f>
        <v/>
      </c>
      <c r="K328" s="12"/>
      <c r="L328" s="12"/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7" t="str">
        <f aca="false">IF(B329="","",TRIM(B329&amp;" "&amp;C329&amp;" "&amp;D329))</f>
        <v/>
      </c>
      <c r="G329" s="12"/>
      <c r="H329" s="12"/>
      <c r="I329" s="12"/>
      <c r="J329" s="17" t="str">
        <f aca="false">IF(I329="","",IF(COUNTIF(Emplacements!$A$2:$A$1001,I329)=0,"⚠ emplacement inconnu",IF(AND(H329&lt;&gt;"",LEFT(I329,1)&lt;&gt;H329),"⚠ mauvaise zone","OK")))</f>
        <v/>
      </c>
      <c r="K329" s="12"/>
      <c r="L329" s="12"/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7" t="str">
        <f aca="false">IF(B330="","",TRIM(B330&amp;" "&amp;C330&amp;" "&amp;D330))</f>
        <v/>
      </c>
      <c r="G330" s="12"/>
      <c r="H330" s="12"/>
      <c r="I330" s="12"/>
      <c r="J330" s="17" t="str">
        <f aca="false">IF(I330="","",IF(COUNTIF(Emplacements!$A$2:$A$1001,I330)=0,"⚠ emplacement inconnu",IF(AND(H330&lt;&gt;"",LEFT(I330,1)&lt;&gt;H330),"⚠ mauvaise zone","OK")))</f>
        <v/>
      </c>
      <c r="K330" s="12"/>
      <c r="L330" s="12"/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7" t="str">
        <f aca="false">IF(B331="","",TRIM(B331&amp;" "&amp;C331&amp;" "&amp;D331))</f>
        <v/>
      </c>
      <c r="G331" s="12"/>
      <c r="H331" s="12"/>
      <c r="I331" s="12"/>
      <c r="J331" s="17" t="str">
        <f aca="false">IF(I331="","",IF(COUNTIF(Emplacements!$A$2:$A$1001,I331)=0,"⚠ emplacement inconnu",IF(AND(H331&lt;&gt;"",LEFT(I331,1)&lt;&gt;H331),"⚠ mauvaise zone","OK")))</f>
        <v/>
      </c>
      <c r="K331" s="12"/>
      <c r="L331" s="12"/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7" t="str">
        <f aca="false">IF(B332="","",TRIM(B332&amp;" "&amp;C332&amp;" "&amp;D332))</f>
        <v/>
      </c>
      <c r="G332" s="12"/>
      <c r="H332" s="12"/>
      <c r="I332" s="12"/>
      <c r="J332" s="17" t="str">
        <f aca="false">IF(I332="","",IF(COUNTIF(Emplacements!$A$2:$A$1001,I332)=0,"⚠ emplacement inconnu",IF(AND(H332&lt;&gt;"",LEFT(I332,1)&lt;&gt;H332),"⚠ mauvaise zone","OK")))</f>
        <v/>
      </c>
      <c r="K332" s="12"/>
      <c r="L332" s="12"/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7" t="str">
        <f aca="false">IF(B333="","",TRIM(B333&amp;" "&amp;C333&amp;" "&amp;D333))</f>
        <v/>
      </c>
      <c r="G333" s="12"/>
      <c r="H333" s="12"/>
      <c r="I333" s="12"/>
      <c r="J333" s="17" t="str">
        <f aca="false">IF(I333="","",IF(COUNTIF(Emplacements!$A$2:$A$1001,I333)=0,"⚠ emplacement inconnu",IF(AND(H333&lt;&gt;"",LEFT(I333,1)&lt;&gt;H333),"⚠ mauvaise zone","OK")))</f>
        <v/>
      </c>
      <c r="K333" s="12"/>
      <c r="L333" s="12"/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7" t="str">
        <f aca="false">IF(B334="","",TRIM(B334&amp;" "&amp;C334&amp;" "&amp;D334))</f>
        <v/>
      </c>
      <c r="G334" s="12"/>
      <c r="H334" s="12"/>
      <c r="I334" s="12"/>
      <c r="J334" s="17" t="str">
        <f aca="false">IF(I334="","",IF(COUNTIF(Emplacements!$A$2:$A$1001,I334)=0,"⚠ emplacement inconnu",IF(AND(H334&lt;&gt;"",LEFT(I334,1)&lt;&gt;H334),"⚠ mauvaise zone","OK")))</f>
        <v/>
      </c>
      <c r="K334" s="12"/>
      <c r="L334" s="12"/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7" t="str">
        <f aca="false">IF(B335="","",TRIM(B335&amp;" "&amp;C335&amp;" "&amp;D335))</f>
        <v/>
      </c>
      <c r="G335" s="12"/>
      <c r="H335" s="12"/>
      <c r="I335" s="12"/>
      <c r="J335" s="17" t="str">
        <f aca="false">IF(I335="","",IF(COUNTIF(Emplacements!$A$2:$A$1001,I335)=0,"⚠ emplacement inconnu",IF(AND(H335&lt;&gt;"",LEFT(I335,1)&lt;&gt;H335),"⚠ mauvaise zone","OK")))</f>
        <v/>
      </c>
      <c r="K335" s="12"/>
      <c r="L335" s="12"/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7" t="str">
        <f aca="false">IF(B336="","",TRIM(B336&amp;" "&amp;C336&amp;" "&amp;D336))</f>
        <v/>
      </c>
      <c r="G336" s="12"/>
      <c r="H336" s="12"/>
      <c r="I336" s="12"/>
      <c r="J336" s="17" t="str">
        <f aca="false">IF(I336="","",IF(COUNTIF(Emplacements!$A$2:$A$1001,I336)=0,"⚠ emplacement inconnu",IF(AND(H336&lt;&gt;"",LEFT(I336,1)&lt;&gt;H336),"⚠ mauvaise zone","OK")))</f>
        <v/>
      </c>
      <c r="K336" s="12"/>
      <c r="L336" s="12"/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7" t="str">
        <f aca="false">IF(B337="","",TRIM(B337&amp;" "&amp;C337&amp;" "&amp;D337))</f>
        <v/>
      </c>
      <c r="G337" s="12"/>
      <c r="H337" s="12"/>
      <c r="I337" s="12"/>
      <c r="J337" s="17" t="str">
        <f aca="false">IF(I337="","",IF(COUNTIF(Emplacements!$A$2:$A$1001,I337)=0,"⚠ emplacement inconnu",IF(AND(H337&lt;&gt;"",LEFT(I337,1)&lt;&gt;H337),"⚠ mauvaise zone","OK")))</f>
        <v/>
      </c>
      <c r="K337" s="12"/>
      <c r="L337" s="12"/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7" t="str">
        <f aca="false">IF(B338="","",TRIM(B338&amp;" "&amp;C338&amp;" "&amp;D338))</f>
        <v/>
      </c>
      <c r="G338" s="12"/>
      <c r="H338" s="12"/>
      <c r="I338" s="12"/>
      <c r="J338" s="17" t="str">
        <f aca="false">IF(I338="","",IF(COUNTIF(Emplacements!$A$2:$A$1001,I338)=0,"⚠ emplacement inconnu",IF(AND(H338&lt;&gt;"",LEFT(I338,1)&lt;&gt;H338),"⚠ mauvaise zone","OK")))</f>
        <v/>
      </c>
      <c r="K338" s="12"/>
      <c r="L338" s="12"/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7" t="str">
        <f aca="false">IF(B339="","",TRIM(B339&amp;" "&amp;C339&amp;" "&amp;D339))</f>
        <v/>
      </c>
      <c r="G339" s="12"/>
      <c r="H339" s="12"/>
      <c r="I339" s="12"/>
      <c r="J339" s="17" t="str">
        <f aca="false">IF(I339="","",IF(COUNTIF(Emplacements!$A$2:$A$1001,I339)=0,"⚠ emplacement inconnu",IF(AND(H339&lt;&gt;"",LEFT(I339,1)&lt;&gt;H339),"⚠ mauvaise zone","OK")))</f>
        <v/>
      </c>
      <c r="K339" s="12"/>
      <c r="L339" s="12"/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7" t="str">
        <f aca="false">IF(B340="","",TRIM(B340&amp;" "&amp;C340&amp;" "&amp;D340))</f>
        <v/>
      </c>
      <c r="G340" s="12"/>
      <c r="H340" s="12"/>
      <c r="I340" s="12"/>
      <c r="J340" s="17" t="str">
        <f aca="false">IF(I340="","",IF(COUNTIF(Emplacements!$A$2:$A$1001,I340)=0,"⚠ emplacement inconnu",IF(AND(H340&lt;&gt;"",LEFT(I340,1)&lt;&gt;H340),"⚠ mauvaise zone","OK")))</f>
        <v/>
      </c>
      <c r="K340" s="12"/>
      <c r="L340" s="12"/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7" t="str">
        <f aca="false">IF(B341="","",TRIM(B341&amp;" "&amp;C341&amp;" "&amp;D341))</f>
        <v/>
      </c>
      <c r="G341" s="12"/>
      <c r="H341" s="12"/>
      <c r="I341" s="12"/>
      <c r="J341" s="17" t="str">
        <f aca="false">IF(I341="","",IF(COUNTIF(Emplacements!$A$2:$A$1001,I341)=0,"⚠ emplacement inconnu",IF(AND(H341&lt;&gt;"",LEFT(I341,1)&lt;&gt;H341),"⚠ mauvaise zone","OK")))</f>
        <v/>
      </c>
      <c r="K341" s="12"/>
      <c r="L341" s="12"/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7" t="str">
        <f aca="false">IF(B342="","",TRIM(B342&amp;" "&amp;C342&amp;" "&amp;D342))</f>
        <v/>
      </c>
      <c r="G342" s="12"/>
      <c r="H342" s="12"/>
      <c r="I342" s="12"/>
      <c r="J342" s="17" t="str">
        <f aca="false">IF(I342="","",IF(COUNTIF(Emplacements!$A$2:$A$1001,I342)=0,"⚠ emplacement inconnu",IF(AND(H342&lt;&gt;"",LEFT(I342,1)&lt;&gt;H342),"⚠ mauvaise zone","OK")))</f>
        <v/>
      </c>
      <c r="K342" s="12"/>
      <c r="L342" s="12"/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7" t="str">
        <f aca="false">IF(B343="","",TRIM(B343&amp;" "&amp;C343&amp;" "&amp;D343))</f>
        <v/>
      </c>
      <c r="G343" s="12"/>
      <c r="H343" s="12"/>
      <c r="I343" s="12"/>
      <c r="J343" s="17" t="str">
        <f aca="false">IF(I343="","",IF(COUNTIF(Emplacements!$A$2:$A$1001,I343)=0,"⚠ emplacement inconnu",IF(AND(H343&lt;&gt;"",LEFT(I343,1)&lt;&gt;H343),"⚠ mauvaise zone","OK")))</f>
        <v/>
      </c>
      <c r="K343" s="12"/>
      <c r="L343" s="12"/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7" t="str">
        <f aca="false">IF(B344="","",TRIM(B344&amp;" "&amp;C344&amp;" "&amp;D344))</f>
        <v/>
      </c>
      <c r="G344" s="12"/>
      <c r="H344" s="12"/>
      <c r="I344" s="12"/>
      <c r="J344" s="17" t="str">
        <f aca="false">IF(I344="","",IF(COUNTIF(Emplacements!$A$2:$A$1001,I344)=0,"⚠ emplacement inconnu",IF(AND(H344&lt;&gt;"",LEFT(I344,1)&lt;&gt;H344),"⚠ mauvaise zone","OK")))</f>
        <v/>
      </c>
      <c r="K344" s="12"/>
      <c r="L344" s="12"/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7" t="str">
        <f aca="false">IF(B345="","",TRIM(B345&amp;" "&amp;C345&amp;" "&amp;D345))</f>
        <v/>
      </c>
      <c r="G345" s="12"/>
      <c r="H345" s="12"/>
      <c r="I345" s="12"/>
      <c r="J345" s="17" t="str">
        <f aca="false">IF(I345="","",IF(COUNTIF(Emplacements!$A$2:$A$1001,I345)=0,"⚠ emplacement inconnu",IF(AND(H345&lt;&gt;"",LEFT(I345,1)&lt;&gt;H345),"⚠ mauvaise zone","OK")))</f>
        <v/>
      </c>
      <c r="K345" s="12"/>
      <c r="L345" s="12"/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7" t="str">
        <f aca="false">IF(B346="","",TRIM(B346&amp;" "&amp;C346&amp;" "&amp;D346))</f>
        <v/>
      </c>
      <c r="G346" s="12"/>
      <c r="H346" s="12"/>
      <c r="I346" s="12"/>
      <c r="J346" s="17" t="str">
        <f aca="false">IF(I346="","",IF(COUNTIF(Emplacements!$A$2:$A$1001,I346)=0,"⚠ emplacement inconnu",IF(AND(H346&lt;&gt;"",LEFT(I346,1)&lt;&gt;H346),"⚠ mauvaise zone","OK")))</f>
        <v/>
      </c>
      <c r="K346" s="12"/>
      <c r="L346" s="12"/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7" t="str">
        <f aca="false">IF(B347="","",TRIM(B347&amp;" "&amp;C347&amp;" "&amp;D347))</f>
        <v/>
      </c>
      <c r="G347" s="12"/>
      <c r="H347" s="12"/>
      <c r="I347" s="12"/>
      <c r="J347" s="17" t="str">
        <f aca="false">IF(I347="","",IF(COUNTIF(Emplacements!$A$2:$A$1001,I347)=0,"⚠ emplacement inconnu",IF(AND(H347&lt;&gt;"",LEFT(I347,1)&lt;&gt;H347),"⚠ mauvaise zone","OK")))</f>
        <v/>
      </c>
      <c r="K347" s="12"/>
      <c r="L347" s="12"/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7" t="str">
        <f aca="false">IF(B348="","",TRIM(B348&amp;" "&amp;C348&amp;" "&amp;D348))</f>
        <v/>
      </c>
      <c r="G348" s="12"/>
      <c r="H348" s="12"/>
      <c r="I348" s="12"/>
      <c r="J348" s="17" t="str">
        <f aca="false">IF(I348="","",IF(COUNTIF(Emplacements!$A$2:$A$1001,I348)=0,"⚠ emplacement inconnu",IF(AND(H348&lt;&gt;"",LEFT(I348,1)&lt;&gt;H348),"⚠ mauvaise zone","OK")))</f>
        <v/>
      </c>
      <c r="K348" s="12"/>
      <c r="L348" s="12"/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7" t="str">
        <f aca="false">IF(B349="","",TRIM(B349&amp;" "&amp;C349&amp;" "&amp;D349))</f>
        <v/>
      </c>
      <c r="G349" s="12"/>
      <c r="H349" s="12"/>
      <c r="I349" s="12"/>
      <c r="J349" s="17" t="str">
        <f aca="false">IF(I349="","",IF(COUNTIF(Emplacements!$A$2:$A$1001,I349)=0,"⚠ emplacement inconnu",IF(AND(H349&lt;&gt;"",LEFT(I349,1)&lt;&gt;H349),"⚠ mauvaise zone","OK")))</f>
        <v/>
      </c>
      <c r="K349" s="12"/>
      <c r="L349" s="12"/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7" t="str">
        <f aca="false">IF(B350="","",TRIM(B350&amp;" "&amp;C350&amp;" "&amp;D350))</f>
        <v/>
      </c>
      <c r="G350" s="12"/>
      <c r="H350" s="12"/>
      <c r="I350" s="12"/>
      <c r="J350" s="17" t="str">
        <f aca="false">IF(I350="","",IF(COUNTIF(Emplacements!$A$2:$A$1001,I350)=0,"⚠ emplacement inconnu",IF(AND(H350&lt;&gt;"",LEFT(I350,1)&lt;&gt;H350),"⚠ mauvaise zone","OK")))</f>
        <v/>
      </c>
      <c r="K350" s="12"/>
      <c r="L350" s="12"/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7" t="str">
        <f aca="false">IF(B351="","",TRIM(B351&amp;" "&amp;C351&amp;" "&amp;D351))</f>
        <v/>
      </c>
      <c r="G351" s="12"/>
      <c r="H351" s="12"/>
      <c r="I351" s="12"/>
      <c r="J351" s="17" t="str">
        <f aca="false">IF(I351="","",IF(COUNTIF(Emplacements!$A$2:$A$1001,I351)=0,"⚠ emplacement inconnu",IF(AND(H351&lt;&gt;"",LEFT(I351,1)&lt;&gt;H351),"⚠ mauvaise zone","OK")))</f>
        <v/>
      </c>
      <c r="K351" s="12"/>
      <c r="L351" s="12"/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7" t="str">
        <f aca="false">IF(B352="","",TRIM(B352&amp;" "&amp;C352&amp;" "&amp;D352))</f>
        <v/>
      </c>
      <c r="G352" s="12"/>
      <c r="H352" s="12"/>
      <c r="I352" s="12"/>
      <c r="J352" s="17" t="str">
        <f aca="false">IF(I352="","",IF(COUNTIF(Emplacements!$A$2:$A$1001,I352)=0,"⚠ emplacement inconnu",IF(AND(H352&lt;&gt;"",LEFT(I352,1)&lt;&gt;H352),"⚠ mauvaise zone","OK")))</f>
        <v/>
      </c>
      <c r="K352" s="12"/>
      <c r="L352" s="12"/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7" t="str">
        <f aca="false">IF(B353="","",TRIM(B353&amp;" "&amp;C353&amp;" "&amp;D353))</f>
        <v/>
      </c>
      <c r="G353" s="12"/>
      <c r="H353" s="12"/>
      <c r="I353" s="12"/>
      <c r="J353" s="17" t="str">
        <f aca="false">IF(I353="","",IF(COUNTIF(Emplacements!$A$2:$A$1001,I353)=0,"⚠ emplacement inconnu",IF(AND(H353&lt;&gt;"",LEFT(I353,1)&lt;&gt;H353),"⚠ mauvaise zone","OK")))</f>
        <v/>
      </c>
      <c r="K353" s="12"/>
      <c r="L353" s="12"/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7" t="str">
        <f aca="false">IF(B354="","",TRIM(B354&amp;" "&amp;C354&amp;" "&amp;D354))</f>
        <v/>
      </c>
      <c r="G354" s="12"/>
      <c r="H354" s="12"/>
      <c r="I354" s="12"/>
      <c r="J354" s="17" t="str">
        <f aca="false">IF(I354="","",IF(COUNTIF(Emplacements!$A$2:$A$1001,I354)=0,"⚠ emplacement inconnu",IF(AND(H354&lt;&gt;"",LEFT(I354,1)&lt;&gt;H354),"⚠ mauvaise zone","OK")))</f>
        <v/>
      </c>
      <c r="K354" s="12"/>
      <c r="L354" s="12"/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7" t="str">
        <f aca="false">IF(B355="","",TRIM(B355&amp;" "&amp;C355&amp;" "&amp;D355))</f>
        <v/>
      </c>
      <c r="G355" s="12"/>
      <c r="H355" s="12"/>
      <c r="I355" s="12"/>
      <c r="J355" s="17" t="str">
        <f aca="false">IF(I355="","",IF(COUNTIF(Emplacements!$A$2:$A$1001,I355)=0,"⚠ emplacement inconnu",IF(AND(H355&lt;&gt;"",LEFT(I355,1)&lt;&gt;H355),"⚠ mauvaise zone","OK")))</f>
        <v/>
      </c>
      <c r="K355" s="12"/>
      <c r="L355" s="12"/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7" t="str">
        <f aca="false">IF(B356="","",TRIM(B356&amp;" "&amp;C356&amp;" "&amp;D356))</f>
        <v/>
      </c>
      <c r="G356" s="12"/>
      <c r="H356" s="12"/>
      <c r="I356" s="12"/>
      <c r="J356" s="17" t="str">
        <f aca="false">IF(I356="","",IF(COUNTIF(Emplacements!$A$2:$A$1001,I356)=0,"⚠ emplacement inconnu",IF(AND(H356&lt;&gt;"",LEFT(I356,1)&lt;&gt;H356),"⚠ mauvaise zone","OK")))</f>
        <v/>
      </c>
      <c r="K356" s="12"/>
      <c r="L356" s="12"/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7" t="str">
        <f aca="false">IF(B357="","",TRIM(B357&amp;" "&amp;C357&amp;" "&amp;D357))</f>
        <v/>
      </c>
      <c r="G357" s="12"/>
      <c r="H357" s="12"/>
      <c r="I357" s="12"/>
      <c r="J357" s="17" t="str">
        <f aca="false">IF(I357="","",IF(COUNTIF(Emplacements!$A$2:$A$1001,I357)=0,"⚠ emplacement inconnu",IF(AND(H357&lt;&gt;"",LEFT(I357,1)&lt;&gt;H357),"⚠ mauvaise zone","OK")))</f>
        <v/>
      </c>
      <c r="K357" s="12"/>
      <c r="L357" s="12"/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7" t="str">
        <f aca="false">IF(B358="","",TRIM(B358&amp;" "&amp;C358&amp;" "&amp;D358))</f>
        <v/>
      </c>
      <c r="G358" s="12"/>
      <c r="H358" s="12"/>
      <c r="I358" s="12"/>
      <c r="J358" s="17" t="str">
        <f aca="false">IF(I358="","",IF(COUNTIF(Emplacements!$A$2:$A$1001,I358)=0,"⚠ emplacement inconnu",IF(AND(H358&lt;&gt;"",LEFT(I358,1)&lt;&gt;H358),"⚠ mauvaise zone","OK")))</f>
        <v/>
      </c>
      <c r="K358" s="12"/>
      <c r="L358" s="12"/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7" t="str">
        <f aca="false">IF(B359="","",TRIM(B359&amp;" "&amp;C359&amp;" "&amp;D359))</f>
        <v/>
      </c>
      <c r="G359" s="12"/>
      <c r="H359" s="12"/>
      <c r="I359" s="12"/>
      <c r="J359" s="17" t="str">
        <f aca="false">IF(I359="","",IF(COUNTIF(Emplacements!$A$2:$A$1001,I359)=0,"⚠ emplacement inconnu",IF(AND(H359&lt;&gt;"",LEFT(I359,1)&lt;&gt;H359),"⚠ mauvaise zone","OK")))</f>
        <v/>
      </c>
      <c r="K359" s="12"/>
      <c r="L359" s="12"/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7" t="str">
        <f aca="false">IF(B360="","",TRIM(B360&amp;" "&amp;C360&amp;" "&amp;D360))</f>
        <v/>
      </c>
      <c r="G360" s="12"/>
      <c r="H360" s="12"/>
      <c r="I360" s="12"/>
      <c r="J360" s="17" t="str">
        <f aca="false">IF(I360="","",IF(COUNTIF(Emplacements!$A$2:$A$1001,I360)=0,"⚠ emplacement inconnu",IF(AND(H360&lt;&gt;"",LEFT(I360,1)&lt;&gt;H360),"⚠ mauvaise zone","OK")))</f>
        <v/>
      </c>
      <c r="K360" s="12"/>
      <c r="L360" s="12"/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7" t="str">
        <f aca="false">IF(B361="","",TRIM(B361&amp;" "&amp;C361&amp;" "&amp;D361))</f>
        <v/>
      </c>
      <c r="G361" s="12"/>
      <c r="H361" s="12"/>
      <c r="I361" s="12"/>
      <c r="J361" s="17" t="str">
        <f aca="false">IF(I361="","",IF(COUNTIF(Emplacements!$A$2:$A$1001,I361)=0,"⚠ emplacement inconnu",IF(AND(H361&lt;&gt;"",LEFT(I361,1)&lt;&gt;H361),"⚠ mauvaise zone","OK")))</f>
        <v/>
      </c>
      <c r="K361" s="12"/>
      <c r="L361" s="12"/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7" t="str">
        <f aca="false">IF(B362="","",TRIM(B362&amp;" "&amp;C362&amp;" "&amp;D362))</f>
        <v/>
      </c>
      <c r="G362" s="12"/>
      <c r="H362" s="12"/>
      <c r="I362" s="12"/>
      <c r="J362" s="17" t="str">
        <f aca="false">IF(I362="","",IF(COUNTIF(Emplacements!$A$2:$A$1001,I362)=0,"⚠ emplacement inconnu",IF(AND(H362&lt;&gt;"",LEFT(I362,1)&lt;&gt;H362),"⚠ mauvaise zone","OK")))</f>
        <v/>
      </c>
      <c r="K362" s="12"/>
      <c r="L362" s="12"/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7" t="str">
        <f aca="false">IF(B363="","",TRIM(B363&amp;" "&amp;C363&amp;" "&amp;D363))</f>
        <v/>
      </c>
      <c r="G363" s="12"/>
      <c r="H363" s="12"/>
      <c r="I363" s="12"/>
      <c r="J363" s="17" t="str">
        <f aca="false">IF(I363="","",IF(COUNTIF(Emplacements!$A$2:$A$1001,I363)=0,"⚠ emplacement inconnu",IF(AND(H363&lt;&gt;"",LEFT(I363,1)&lt;&gt;H363),"⚠ mauvaise zone","OK")))</f>
        <v/>
      </c>
      <c r="K363" s="12"/>
      <c r="L363" s="12"/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7" t="str">
        <f aca="false">IF(B364="","",TRIM(B364&amp;" "&amp;C364&amp;" "&amp;D364))</f>
        <v/>
      </c>
      <c r="G364" s="12"/>
      <c r="H364" s="12"/>
      <c r="I364" s="12"/>
      <c r="J364" s="17" t="str">
        <f aca="false">IF(I364="","",IF(COUNTIF(Emplacements!$A$2:$A$1001,I364)=0,"⚠ emplacement inconnu",IF(AND(H364&lt;&gt;"",LEFT(I364,1)&lt;&gt;H364),"⚠ mauvaise zone","OK")))</f>
        <v/>
      </c>
      <c r="K364" s="12"/>
      <c r="L364" s="12"/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7" t="str">
        <f aca="false">IF(B365="","",TRIM(B365&amp;" "&amp;C365&amp;" "&amp;D365))</f>
        <v/>
      </c>
      <c r="G365" s="12"/>
      <c r="H365" s="12"/>
      <c r="I365" s="12"/>
      <c r="J365" s="17" t="str">
        <f aca="false">IF(I365="","",IF(COUNTIF(Emplacements!$A$2:$A$1001,I365)=0,"⚠ emplacement inconnu",IF(AND(H365&lt;&gt;"",LEFT(I365,1)&lt;&gt;H365),"⚠ mauvaise zone","OK")))</f>
        <v/>
      </c>
      <c r="K365" s="12"/>
      <c r="L365" s="12"/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7" t="str">
        <f aca="false">IF(B366="","",TRIM(B366&amp;" "&amp;C366&amp;" "&amp;D366))</f>
        <v/>
      </c>
      <c r="G366" s="12"/>
      <c r="H366" s="12"/>
      <c r="I366" s="12"/>
      <c r="J366" s="17" t="str">
        <f aca="false">IF(I366="","",IF(COUNTIF(Emplacements!$A$2:$A$1001,I366)=0,"⚠ emplacement inconnu",IF(AND(H366&lt;&gt;"",LEFT(I366,1)&lt;&gt;H366),"⚠ mauvaise zone","OK")))</f>
        <v/>
      </c>
      <c r="K366" s="12"/>
      <c r="L366" s="12"/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7" t="str">
        <f aca="false">IF(B367="","",TRIM(B367&amp;" "&amp;C367&amp;" "&amp;D367))</f>
        <v/>
      </c>
      <c r="G367" s="12"/>
      <c r="H367" s="12"/>
      <c r="I367" s="12"/>
      <c r="J367" s="17" t="str">
        <f aca="false">IF(I367="","",IF(COUNTIF(Emplacements!$A$2:$A$1001,I367)=0,"⚠ emplacement inconnu",IF(AND(H367&lt;&gt;"",LEFT(I367,1)&lt;&gt;H367),"⚠ mauvaise zone","OK")))</f>
        <v/>
      </c>
      <c r="K367" s="12"/>
      <c r="L367" s="12"/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7" t="str">
        <f aca="false">IF(B368="","",TRIM(B368&amp;" "&amp;C368&amp;" "&amp;D368))</f>
        <v/>
      </c>
      <c r="G368" s="12"/>
      <c r="H368" s="12"/>
      <c r="I368" s="12"/>
      <c r="J368" s="17" t="str">
        <f aca="false">IF(I368="","",IF(COUNTIF(Emplacements!$A$2:$A$1001,I368)=0,"⚠ emplacement inconnu",IF(AND(H368&lt;&gt;"",LEFT(I368,1)&lt;&gt;H368),"⚠ mauvaise zone","OK")))</f>
        <v/>
      </c>
      <c r="K368" s="12"/>
      <c r="L368" s="12"/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7" t="str">
        <f aca="false">IF(B369="","",TRIM(B369&amp;" "&amp;C369&amp;" "&amp;D369))</f>
        <v/>
      </c>
      <c r="G369" s="12"/>
      <c r="H369" s="12"/>
      <c r="I369" s="12"/>
      <c r="J369" s="17" t="str">
        <f aca="false">IF(I369="","",IF(COUNTIF(Emplacements!$A$2:$A$1001,I369)=0,"⚠ emplacement inconnu",IF(AND(H369&lt;&gt;"",LEFT(I369,1)&lt;&gt;H369),"⚠ mauvaise zone","OK")))</f>
        <v/>
      </c>
      <c r="K369" s="12"/>
      <c r="L369" s="12"/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7" t="str">
        <f aca="false">IF(B370="","",TRIM(B370&amp;" "&amp;C370&amp;" "&amp;D370))</f>
        <v/>
      </c>
      <c r="G370" s="12"/>
      <c r="H370" s="12"/>
      <c r="I370" s="12"/>
      <c r="J370" s="17" t="str">
        <f aca="false">IF(I370="","",IF(COUNTIF(Emplacements!$A$2:$A$1001,I370)=0,"⚠ emplacement inconnu",IF(AND(H370&lt;&gt;"",LEFT(I370,1)&lt;&gt;H370),"⚠ mauvaise zone","OK")))</f>
        <v/>
      </c>
      <c r="K370" s="12"/>
      <c r="L370" s="12"/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7" t="str">
        <f aca="false">IF(B371="","",TRIM(B371&amp;" "&amp;C371&amp;" "&amp;D371))</f>
        <v/>
      </c>
      <c r="G371" s="12"/>
      <c r="H371" s="12"/>
      <c r="I371" s="12"/>
      <c r="J371" s="17" t="str">
        <f aca="false">IF(I371="","",IF(COUNTIF(Emplacements!$A$2:$A$1001,I371)=0,"⚠ emplacement inconnu",IF(AND(H371&lt;&gt;"",LEFT(I371,1)&lt;&gt;H371),"⚠ mauvaise zone","OK")))</f>
        <v/>
      </c>
      <c r="K371" s="12"/>
      <c r="L371" s="12"/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7" t="str">
        <f aca="false">IF(B372="","",TRIM(B372&amp;" "&amp;C372&amp;" "&amp;D372))</f>
        <v/>
      </c>
      <c r="G372" s="12"/>
      <c r="H372" s="12"/>
      <c r="I372" s="12"/>
      <c r="J372" s="17" t="str">
        <f aca="false">IF(I372="","",IF(COUNTIF(Emplacements!$A$2:$A$1001,I372)=0,"⚠ emplacement inconnu",IF(AND(H372&lt;&gt;"",LEFT(I372,1)&lt;&gt;H372),"⚠ mauvaise zone","OK")))</f>
        <v/>
      </c>
      <c r="K372" s="12"/>
      <c r="L372" s="12"/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7" t="str">
        <f aca="false">IF(B373="","",TRIM(B373&amp;" "&amp;C373&amp;" "&amp;D373))</f>
        <v/>
      </c>
      <c r="G373" s="12"/>
      <c r="H373" s="12"/>
      <c r="I373" s="12"/>
      <c r="J373" s="17" t="str">
        <f aca="false">IF(I373="","",IF(COUNTIF(Emplacements!$A$2:$A$1001,I373)=0,"⚠ emplacement inconnu",IF(AND(H373&lt;&gt;"",LEFT(I373,1)&lt;&gt;H373),"⚠ mauvaise zone","OK")))</f>
        <v/>
      </c>
      <c r="K373" s="12"/>
      <c r="L373" s="12"/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7" t="str">
        <f aca="false">IF(B374="","",TRIM(B374&amp;" "&amp;C374&amp;" "&amp;D374))</f>
        <v/>
      </c>
      <c r="G374" s="12"/>
      <c r="H374" s="12"/>
      <c r="I374" s="12"/>
      <c r="J374" s="17" t="str">
        <f aca="false">IF(I374="","",IF(COUNTIF(Emplacements!$A$2:$A$1001,I374)=0,"⚠ emplacement inconnu",IF(AND(H374&lt;&gt;"",LEFT(I374,1)&lt;&gt;H374),"⚠ mauvaise zone","OK")))</f>
        <v/>
      </c>
      <c r="K374" s="12"/>
      <c r="L374" s="12"/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7" t="str">
        <f aca="false">IF(B375="","",TRIM(B375&amp;" "&amp;C375&amp;" "&amp;D375))</f>
        <v/>
      </c>
      <c r="G375" s="12"/>
      <c r="H375" s="12"/>
      <c r="I375" s="12"/>
      <c r="J375" s="17" t="str">
        <f aca="false">IF(I375="","",IF(COUNTIF(Emplacements!$A$2:$A$1001,I375)=0,"⚠ emplacement inconnu",IF(AND(H375&lt;&gt;"",LEFT(I375,1)&lt;&gt;H375),"⚠ mauvaise zone","OK")))</f>
        <v/>
      </c>
      <c r="K375" s="12"/>
      <c r="L375" s="12"/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7" t="str">
        <f aca="false">IF(B376="","",TRIM(B376&amp;" "&amp;C376&amp;" "&amp;D376))</f>
        <v/>
      </c>
      <c r="G376" s="12"/>
      <c r="H376" s="12"/>
      <c r="I376" s="12"/>
      <c r="J376" s="17" t="str">
        <f aca="false">IF(I376="","",IF(COUNTIF(Emplacements!$A$2:$A$1001,I376)=0,"⚠ emplacement inconnu",IF(AND(H376&lt;&gt;"",LEFT(I376,1)&lt;&gt;H376),"⚠ mauvaise zone","OK")))</f>
        <v/>
      </c>
      <c r="K376" s="12"/>
      <c r="L376" s="12"/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7" t="str">
        <f aca="false">IF(B377="","",TRIM(B377&amp;" "&amp;C377&amp;" "&amp;D377))</f>
        <v/>
      </c>
      <c r="G377" s="12"/>
      <c r="H377" s="12"/>
      <c r="I377" s="12"/>
      <c r="J377" s="17" t="str">
        <f aca="false">IF(I377="","",IF(COUNTIF(Emplacements!$A$2:$A$1001,I377)=0,"⚠ emplacement inconnu",IF(AND(H377&lt;&gt;"",LEFT(I377,1)&lt;&gt;H377),"⚠ mauvaise zone","OK")))</f>
        <v/>
      </c>
      <c r="K377" s="12"/>
      <c r="L377" s="12"/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7" t="str">
        <f aca="false">IF(B378="","",TRIM(B378&amp;" "&amp;C378&amp;" "&amp;D378))</f>
        <v/>
      </c>
      <c r="G378" s="12"/>
      <c r="H378" s="12"/>
      <c r="I378" s="12"/>
      <c r="J378" s="17" t="str">
        <f aca="false">IF(I378="","",IF(COUNTIF(Emplacements!$A$2:$A$1001,I378)=0,"⚠ emplacement inconnu",IF(AND(H378&lt;&gt;"",LEFT(I378,1)&lt;&gt;H378),"⚠ mauvaise zone","OK")))</f>
        <v/>
      </c>
      <c r="K378" s="12"/>
      <c r="L378" s="12"/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7" t="str">
        <f aca="false">IF(B379="","",TRIM(B379&amp;" "&amp;C379&amp;" "&amp;D379))</f>
        <v/>
      </c>
      <c r="G379" s="12"/>
      <c r="H379" s="12"/>
      <c r="I379" s="12"/>
      <c r="J379" s="17" t="str">
        <f aca="false">IF(I379="","",IF(COUNTIF(Emplacements!$A$2:$A$1001,I379)=0,"⚠ emplacement inconnu",IF(AND(H379&lt;&gt;"",LEFT(I379,1)&lt;&gt;H379),"⚠ mauvaise zone","OK")))</f>
        <v/>
      </c>
      <c r="K379" s="12"/>
      <c r="L379" s="12"/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7" t="str">
        <f aca="false">IF(B380="","",TRIM(B380&amp;" "&amp;C380&amp;" "&amp;D380))</f>
        <v/>
      </c>
      <c r="G380" s="12"/>
      <c r="H380" s="12"/>
      <c r="I380" s="12"/>
      <c r="J380" s="17" t="str">
        <f aca="false">IF(I380="","",IF(COUNTIF(Emplacements!$A$2:$A$1001,I380)=0,"⚠ emplacement inconnu",IF(AND(H380&lt;&gt;"",LEFT(I380,1)&lt;&gt;H380),"⚠ mauvaise zone","OK")))</f>
        <v/>
      </c>
      <c r="K380" s="12"/>
      <c r="L380" s="12"/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7" t="str">
        <f aca="false">IF(B381="","",TRIM(B381&amp;" "&amp;C381&amp;" "&amp;D381))</f>
        <v/>
      </c>
      <c r="G381" s="12"/>
      <c r="H381" s="12"/>
      <c r="I381" s="12"/>
      <c r="J381" s="17" t="str">
        <f aca="false">IF(I381="","",IF(COUNTIF(Emplacements!$A$2:$A$1001,I381)=0,"⚠ emplacement inconnu",IF(AND(H381&lt;&gt;"",LEFT(I381,1)&lt;&gt;H381),"⚠ mauvaise zone","OK")))</f>
        <v/>
      </c>
      <c r="K381" s="12"/>
      <c r="L381" s="12"/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7" t="str">
        <f aca="false">IF(B382="","",TRIM(B382&amp;" "&amp;C382&amp;" "&amp;D382))</f>
        <v/>
      </c>
      <c r="G382" s="12"/>
      <c r="H382" s="12"/>
      <c r="I382" s="12"/>
      <c r="J382" s="17" t="str">
        <f aca="false">IF(I382="","",IF(COUNTIF(Emplacements!$A$2:$A$1001,I382)=0,"⚠ emplacement inconnu",IF(AND(H382&lt;&gt;"",LEFT(I382,1)&lt;&gt;H382),"⚠ mauvaise zone","OK")))</f>
        <v/>
      </c>
      <c r="K382" s="12"/>
      <c r="L382" s="12"/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7" t="str">
        <f aca="false">IF(B383="","",TRIM(B383&amp;" "&amp;C383&amp;" "&amp;D383))</f>
        <v/>
      </c>
      <c r="G383" s="12"/>
      <c r="H383" s="12"/>
      <c r="I383" s="12"/>
      <c r="J383" s="17" t="str">
        <f aca="false">IF(I383="","",IF(COUNTIF(Emplacements!$A$2:$A$1001,I383)=0,"⚠ emplacement inconnu",IF(AND(H383&lt;&gt;"",LEFT(I383,1)&lt;&gt;H383),"⚠ mauvaise zone","OK")))</f>
        <v/>
      </c>
      <c r="K383" s="12"/>
      <c r="L383" s="12"/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7" t="str">
        <f aca="false">IF(B384="","",TRIM(B384&amp;" "&amp;C384&amp;" "&amp;D384))</f>
        <v/>
      </c>
      <c r="G384" s="12"/>
      <c r="H384" s="12"/>
      <c r="I384" s="12"/>
      <c r="J384" s="17" t="str">
        <f aca="false">IF(I384="","",IF(COUNTIF(Emplacements!$A$2:$A$1001,I384)=0,"⚠ emplacement inconnu",IF(AND(H384&lt;&gt;"",LEFT(I384,1)&lt;&gt;H384),"⚠ mauvaise zone","OK")))</f>
        <v/>
      </c>
      <c r="K384" s="12"/>
      <c r="L384" s="12"/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7" t="str">
        <f aca="false">IF(B385="","",TRIM(B385&amp;" "&amp;C385&amp;" "&amp;D385))</f>
        <v/>
      </c>
      <c r="G385" s="12"/>
      <c r="H385" s="12"/>
      <c r="I385" s="12"/>
      <c r="J385" s="17" t="str">
        <f aca="false">IF(I385="","",IF(COUNTIF(Emplacements!$A$2:$A$1001,I385)=0,"⚠ emplacement inconnu",IF(AND(H385&lt;&gt;"",LEFT(I385,1)&lt;&gt;H385),"⚠ mauvaise zone","OK")))</f>
        <v/>
      </c>
      <c r="K385" s="12"/>
      <c r="L385" s="12"/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7" t="str">
        <f aca="false">IF(B386="","",TRIM(B386&amp;" "&amp;C386&amp;" "&amp;D386))</f>
        <v/>
      </c>
      <c r="G386" s="12"/>
      <c r="H386" s="12"/>
      <c r="I386" s="12"/>
      <c r="J386" s="17" t="str">
        <f aca="false">IF(I386="","",IF(COUNTIF(Emplacements!$A$2:$A$1001,I386)=0,"⚠ emplacement inconnu",IF(AND(H386&lt;&gt;"",LEFT(I386,1)&lt;&gt;H386),"⚠ mauvaise zone","OK")))</f>
        <v/>
      </c>
      <c r="K386" s="12"/>
      <c r="L386" s="12"/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7" t="str">
        <f aca="false">IF(B387="","",TRIM(B387&amp;" "&amp;C387&amp;" "&amp;D387))</f>
        <v/>
      </c>
      <c r="G387" s="12"/>
      <c r="H387" s="12"/>
      <c r="I387" s="12"/>
      <c r="J387" s="17" t="str">
        <f aca="false">IF(I387="","",IF(COUNTIF(Emplacements!$A$2:$A$1001,I387)=0,"⚠ emplacement inconnu",IF(AND(H387&lt;&gt;"",LEFT(I387,1)&lt;&gt;H387),"⚠ mauvaise zone","OK")))</f>
        <v/>
      </c>
      <c r="K387" s="12"/>
      <c r="L387" s="12"/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7" t="str">
        <f aca="false">IF(B388="","",TRIM(B388&amp;" "&amp;C388&amp;" "&amp;D388))</f>
        <v/>
      </c>
      <c r="G388" s="12"/>
      <c r="H388" s="12"/>
      <c r="I388" s="12"/>
      <c r="J388" s="17" t="str">
        <f aca="false">IF(I388="","",IF(COUNTIF(Emplacements!$A$2:$A$1001,I388)=0,"⚠ emplacement inconnu",IF(AND(H388&lt;&gt;"",LEFT(I388,1)&lt;&gt;H388),"⚠ mauvaise zone","OK")))</f>
        <v/>
      </c>
      <c r="K388" s="12"/>
      <c r="L388" s="12"/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7" t="str">
        <f aca="false">IF(B389="","",TRIM(B389&amp;" "&amp;C389&amp;" "&amp;D389))</f>
        <v/>
      </c>
      <c r="G389" s="12"/>
      <c r="H389" s="12"/>
      <c r="I389" s="12"/>
      <c r="J389" s="17" t="str">
        <f aca="false">IF(I389="","",IF(COUNTIF(Emplacements!$A$2:$A$1001,I389)=0,"⚠ emplacement inconnu",IF(AND(H389&lt;&gt;"",LEFT(I389,1)&lt;&gt;H389),"⚠ mauvaise zone","OK")))</f>
        <v/>
      </c>
      <c r="K389" s="12"/>
      <c r="L389" s="12"/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7" t="str">
        <f aca="false">IF(B390="","",TRIM(B390&amp;" "&amp;C390&amp;" "&amp;D390))</f>
        <v/>
      </c>
      <c r="G390" s="12"/>
      <c r="H390" s="12"/>
      <c r="I390" s="12"/>
      <c r="J390" s="17" t="str">
        <f aca="false">IF(I390="","",IF(COUNTIF(Emplacements!$A$2:$A$1001,I390)=0,"⚠ emplacement inconnu",IF(AND(H390&lt;&gt;"",LEFT(I390,1)&lt;&gt;H390),"⚠ mauvaise zone","OK")))</f>
        <v/>
      </c>
      <c r="K390" s="12"/>
      <c r="L390" s="12"/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7" t="str">
        <f aca="false">IF(B391="","",TRIM(B391&amp;" "&amp;C391&amp;" "&amp;D391))</f>
        <v/>
      </c>
      <c r="G391" s="12"/>
      <c r="H391" s="12"/>
      <c r="I391" s="12"/>
      <c r="J391" s="17" t="str">
        <f aca="false">IF(I391="","",IF(COUNTIF(Emplacements!$A$2:$A$1001,I391)=0,"⚠ emplacement inconnu",IF(AND(H391&lt;&gt;"",LEFT(I391,1)&lt;&gt;H391),"⚠ mauvaise zone","OK")))</f>
        <v/>
      </c>
      <c r="K391" s="12"/>
      <c r="L391" s="12"/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7" t="str">
        <f aca="false">IF(B392="","",TRIM(B392&amp;" "&amp;C392&amp;" "&amp;D392))</f>
        <v/>
      </c>
      <c r="G392" s="12"/>
      <c r="H392" s="12"/>
      <c r="I392" s="12"/>
      <c r="J392" s="17" t="str">
        <f aca="false">IF(I392="","",IF(COUNTIF(Emplacements!$A$2:$A$1001,I392)=0,"⚠ emplacement inconnu",IF(AND(H392&lt;&gt;"",LEFT(I392,1)&lt;&gt;H392),"⚠ mauvaise zone","OK")))</f>
        <v/>
      </c>
      <c r="K392" s="12"/>
      <c r="L392" s="12"/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7" t="str">
        <f aca="false">IF(B393="","",TRIM(B393&amp;" "&amp;C393&amp;" "&amp;D393))</f>
        <v/>
      </c>
      <c r="G393" s="12"/>
      <c r="H393" s="12"/>
      <c r="I393" s="12"/>
      <c r="J393" s="17" t="str">
        <f aca="false">IF(I393="","",IF(COUNTIF(Emplacements!$A$2:$A$1001,I393)=0,"⚠ emplacement inconnu",IF(AND(H393&lt;&gt;"",LEFT(I393,1)&lt;&gt;H393),"⚠ mauvaise zone","OK")))</f>
        <v/>
      </c>
      <c r="K393" s="12"/>
      <c r="L393" s="12"/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7" t="str">
        <f aca="false">IF(B394="","",TRIM(B394&amp;" "&amp;C394&amp;" "&amp;D394))</f>
        <v/>
      </c>
      <c r="G394" s="12"/>
      <c r="H394" s="12"/>
      <c r="I394" s="12"/>
      <c r="J394" s="17" t="str">
        <f aca="false">IF(I394="","",IF(COUNTIF(Emplacements!$A$2:$A$1001,I394)=0,"⚠ emplacement inconnu",IF(AND(H394&lt;&gt;"",LEFT(I394,1)&lt;&gt;H394),"⚠ mauvaise zone","OK")))</f>
        <v/>
      </c>
      <c r="K394" s="12"/>
      <c r="L394" s="12"/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7" t="str">
        <f aca="false">IF(B395="","",TRIM(B395&amp;" "&amp;C395&amp;" "&amp;D395))</f>
        <v/>
      </c>
      <c r="G395" s="12"/>
      <c r="H395" s="12"/>
      <c r="I395" s="12"/>
      <c r="J395" s="17" t="str">
        <f aca="false">IF(I395="","",IF(COUNTIF(Emplacements!$A$2:$A$1001,I395)=0,"⚠ emplacement inconnu",IF(AND(H395&lt;&gt;"",LEFT(I395,1)&lt;&gt;H395),"⚠ mauvaise zone","OK")))</f>
        <v/>
      </c>
      <c r="K395" s="12"/>
      <c r="L395" s="12"/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7" t="str">
        <f aca="false">IF(B396="","",TRIM(B396&amp;" "&amp;C396&amp;" "&amp;D396))</f>
        <v/>
      </c>
      <c r="G396" s="12"/>
      <c r="H396" s="12"/>
      <c r="I396" s="12"/>
      <c r="J396" s="17" t="str">
        <f aca="false">IF(I396="","",IF(COUNTIF(Emplacements!$A$2:$A$1001,I396)=0,"⚠ emplacement inconnu",IF(AND(H396&lt;&gt;"",LEFT(I396,1)&lt;&gt;H396),"⚠ mauvaise zone","OK")))</f>
        <v/>
      </c>
      <c r="K396" s="12"/>
      <c r="L396" s="12"/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7" t="str">
        <f aca="false">IF(B397="","",TRIM(B397&amp;" "&amp;C397&amp;" "&amp;D397))</f>
        <v/>
      </c>
      <c r="G397" s="12"/>
      <c r="H397" s="12"/>
      <c r="I397" s="12"/>
      <c r="J397" s="17" t="str">
        <f aca="false">IF(I397="","",IF(COUNTIF(Emplacements!$A$2:$A$1001,I397)=0,"⚠ emplacement inconnu",IF(AND(H397&lt;&gt;"",LEFT(I397,1)&lt;&gt;H397),"⚠ mauvaise zone","OK")))</f>
        <v/>
      </c>
      <c r="K397" s="12"/>
      <c r="L397" s="12"/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7" t="str">
        <f aca="false">IF(B398="","",TRIM(B398&amp;" "&amp;C398&amp;" "&amp;D398))</f>
        <v/>
      </c>
      <c r="G398" s="12"/>
      <c r="H398" s="12"/>
      <c r="I398" s="12"/>
      <c r="J398" s="17" t="str">
        <f aca="false">IF(I398="","",IF(COUNTIF(Emplacements!$A$2:$A$1001,I398)=0,"⚠ emplacement inconnu",IF(AND(H398&lt;&gt;"",LEFT(I398,1)&lt;&gt;H398),"⚠ mauvaise zone","OK")))</f>
        <v/>
      </c>
      <c r="K398" s="12"/>
      <c r="L398" s="12"/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7" t="str">
        <f aca="false">IF(B399="","",TRIM(B399&amp;" "&amp;C399&amp;" "&amp;D399))</f>
        <v/>
      </c>
      <c r="G399" s="12"/>
      <c r="H399" s="12"/>
      <c r="I399" s="12"/>
      <c r="J399" s="17" t="str">
        <f aca="false">IF(I399="","",IF(COUNTIF(Emplacements!$A$2:$A$1001,I399)=0,"⚠ emplacement inconnu",IF(AND(H399&lt;&gt;"",LEFT(I399,1)&lt;&gt;H399),"⚠ mauvaise zone","OK")))</f>
        <v/>
      </c>
      <c r="K399" s="12"/>
      <c r="L399" s="12"/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7" t="str">
        <f aca="false">IF(B400="","",TRIM(B400&amp;" "&amp;C400&amp;" "&amp;D400))</f>
        <v/>
      </c>
      <c r="G400" s="12"/>
      <c r="H400" s="12"/>
      <c r="I400" s="12"/>
      <c r="J400" s="17" t="str">
        <f aca="false">IF(I400="","",IF(COUNTIF(Emplacements!$A$2:$A$1001,I400)=0,"⚠ emplacement inconnu",IF(AND(H400&lt;&gt;"",LEFT(I400,1)&lt;&gt;H400),"⚠ mauvaise zone","OK")))</f>
        <v/>
      </c>
      <c r="K400" s="12"/>
      <c r="L400" s="12"/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7" t="str">
        <f aca="false">IF(B401="","",TRIM(B401&amp;" "&amp;C401&amp;" "&amp;D401))</f>
        <v/>
      </c>
      <c r="G401" s="12"/>
      <c r="H401" s="12"/>
      <c r="I401" s="12"/>
      <c r="J401" s="17" t="str">
        <f aca="false">IF(I401="","",IF(COUNTIF(Emplacements!$A$2:$A$1001,I401)=0,"⚠ emplacement inconnu",IF(AND(H401&lt;&gt;"",LEFT(I401,1)&lt;&gt;H401),"⚠ mauvaise zone","OK")))</f>
        <v/>
      </c>
      <c r="K401" s="12"/>
      <c r="L401" s="12"/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7" t="str">
        <f aca="false">IF(B402="","",TRIM(B402&amp;" "&amp;C402&amp;" "&amp;D402))</f>
        <v/>
      </c>
      <c r="G402" s="12"/>
      <c r="H402" s="12"/>
      <c r="I402" s="12"/>
      <c r="J402" s="17" t="str">
        <f aca="false">IF(I402="","",IF(COUNTIF(Emplacements!$A$2:$A$1001,I402)=0,"⚠ emplacement inconnu",IF(AND(H402&lt;&gt;"",LEFT(I402,1)&lt;&gt;H402),"⚠ mauvaise zone","OK")))</f>
        <v/>
      </c>
      <c r="K402" s="12"/>
      <c r="L402" s="12"/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7" t="str">
        <f aca="false">IF(B403="","",TRIM(B403&amp;" "&amp;C403&amp;" "&amp;D403))</f>
        <v/>
      </c>
      <c r="G403" s="12"/>
      <c r="H403" s="12"/>
      <c r="I403" s="12"/>
      <c r="J403" s="17" t="str">
        <f aca="false">IF(I403="","",IF(COUNTIF(Emplacements!$A$2:$A$1001,I403)=0,"⚠ emplacement inconnu",IF(AND(H403&lt;&gt;"",LEFT(I403,1)&lt;&gt;H403),"⚠ mauvaise zone","OK")))</f>
        <v/>
      </c>
      <c r="K403" s="12"/>
      <c r="L403" s="12"/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7" t="str">
        <f aca="false">IF(B404="","",TRIM(B404&amp;" "&amp;C404&amp;" "&amp;D404))</f>
        <v/>
      </c>
      <c r="G404" s="12"/>
      <c r="H404" s="12"/>
      <c r="I404" s="12"/>
      <c r="J404" s="17" t="str">
        <f aca="false">IF(I404="","",IF(COUNTIF(Emplacements!$A$2:$A$1001,I404)=0,"⚠ emplacement inconnu",IF(AND(H404&lt;&gt;"",LEFT(I404,1)&lt;&gt;H404),"⚠ mauvaise zone","OK")))</f>
        <v/>
      </c>
      <c r="K404" s="12"/>
      <c r="L404" s="12"/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7" t="str">
        <f aca="false">IF(B405="","",TRIM(B405&amp;" "&amp;C405&amp;" "&amp;D405))</f>
        <v/>
      </c>
      <c r="G405" s="12"/>
      <c r="H405" s="12"/>
      <c r="I405" s="12"/>
      <c r="J405" s="17" t="str">
        <f aca="false">IF(I405="","",IF(COUNTIF(Emplacements!$A$2:$A$1001,I405)=0,"⚠ emplacement inconnu",IF(AND(H405&lt;&gt;"",LEFT(I405,1)&lt;&gt;H405),"⚠ mauvaise zone","OK")))</f>
        <v/>
      </c>
      <c r="K405" s="12"/>
      <c r="L405" s="12"/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7" t="str">
        <f aca="false">IF(B406="","",TRIM(B406&amp;" "&amp;C406&amp;" "&amp;D406))</f>
        <v/>
      </c>
      <c r="G406" s="12"/>
      <c r="H406" s="12"/>
      <c r="I406" s="12"/>
      <c r="J406" s="17" t="str">
        <f aca="false">IF(I406="","",IF(COUNTIF(Emplacements!$A$2:$A$1001,I406)=0,"⚠ emplacement inconnu",IF(AND(H406&lt;&gt;"",LEFT(I406,1)&lt;&gt;H406),"⚠ mauvaise zone","OK")))</f>
        <v/>
      </c>
      <c r="K406" s="12"/>
      <c r="L406" s="12"/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7" t="str">
        <f aca="false">IF(B407="","",TRIM(B407&amp;" "&amp;C407&amp;" "&amp;D407))</f>
        <v/>
      </c>
      <c r="G407" s="12"/>
      <c r="H407" s="12"/>
      <c r="I407" s="12"/>
      <c r="J407" s="17" t="str">
        <f aca="false">IF(I407="","",IF(COUNTIF(Emplacements!$A$2:$A$1001,I407)=0,"⚠ emplacement inconnu",IF(AND(H407&lt;&gt;"",LEFT(I407,1)&lt;&gt;H407),"⚠ mauvaise zone","OK")))</f>
        <v/>
      </c>
      <c r="K407" s="12"/>
      <c r="L407" s="12"/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7" t="str">
        <f aca="false">IF(B408="","",TRIM(B408&amp;" "&amp;C408&amp;" "&amp;D408))</f>
        <v/>
      </c>
      <c r="G408" s="12"/>
      <c r="H408" s="12"/>
      <c r="I408" s="12"/>
      <c r="J408" s="17" t="str">
        <f aca="false">IF(I408="","",IF(COUNTIF(Emplacements!$A$2:$A$1001,I408)=0,"⚠ emplacement inconnu",IF(AND(H408&lt;&gt;"",LEFT(I408,1)&lt;&gt;H408),"⚠ mauvaise zone","OK")))</f>
        <v/>
      </c>
      <c r="K408" s="12"/>
      <c r="L408" s="12"/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7" t="str">
        <f aca="false">IF(B409="","",TRIM(B409&amp;" "&amp;C409&amp;" "&amp;D409))</f>
        <v/>
      </c>
      <c r="G409" s="12"/>
      <c r="H409" s="12"/>
      <c r="I409" s="12"/>
      <c r="J409" s="17" t="str">
        <f aca="false">IF(I409="","",IF(COUNTIF(Emplacements!$A$2:$A$1001,I409)=0,"⚠ emplacement inconnu",IF(AND(H409&lt;&gt;"",LEFT(I409,1)&lt;&gt;H409),"⚠ mauvaise zone","OK")))</f>
        <v/>
      </c>
      <c r="K409" s="12"/>
      <c r="L409" s="12"/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7" t="str">
        <f aca="false">IF(B410="","",TRIM(B410&amp;" "&amp;C410&amp;" "&amp;D410))</f>
        <v/>
      </c>
      <c r="G410" s="12"/>
      <c r="H410" s="12"/>
      <c r="I410" s="12"/>
      <c r="J410" s="17" t="str">
        <f aca="false">IF(I410="","",IF(COUNTIF(Emplacements!$A$2:$A$1001,I410)=0,"⚠ emplacement inconnu",IF(AND(H410&lt;&gt;"",LEFT(I410,1)&lt;&gt;H410),"⚠ mauvaise zone","OK")))</f>
        <v/>
      </c>
      <c r="K410" s="12"/>
      <c r="L410" s="12"/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7" t="str">
        <f aca="false">IF(B411="","",TRIM(B411&amp;" "&amp;C411&amp;" "&amp;D411))</f>
        <v/>
      </c>
      <c r="G411" s="12"/>
      <c r="H411" s="12"/>
      <c r="I411" s="12"/>
      <c r="J411" s="17" t="str">
        <f aca="false">IF(I411="","",IF(COUNTIF(Emplacements!$A$2:$A$1001,I411)=0,"⚠ emplacement inconnu",IF(AND(H411&lt;&gt;"",LEFT(I411,1)&lt;&gt;H411),"⚠ mauvaise zone","OK")))</f>
        <v/>
      </c>
      <c r="K411" s="12"/>
      <c r="L411" s="12"/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7" t="str">
        <f aca="false">IF(B412="","",TRIM(B412&amp;" "&amp;C412&amp;" "&amp;D412))</f>
        <v/>
      </c>
      <c r="G412" s="12"/>
      <c r="H412" s="12"/>
      <c r="I412" s="12"/>
      <c r="J412" s="17" t="str">
        <f aca="false">IF(I412="","",IF(COUNTIF(Emplacements!$A$2:$A$1001,I412)=0,"⚠ emplacement inconnu",IF(AND(H412&lt;&gt;"",LEFT(I412,1)&lt;&gt;H412),"⚠ mauvaise zone","OK")))</f>
        <v/>
      </c>
      <c r="K412" s="12"/>
      <c r="L412" s="12"/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7" t="str">
        <f aca="false">IF(B413="","",TRIM(B413&amp;" "&amp;C413&amp;" "&amp;D413))</f>
        <v/>
      </c>
      <c r="G413" s="12"/>
      <c r="H413" s="12"/>
      <c r="I413" s="12"/>
      <c r="J413" s="17" t="str">
        <f aca="false">IF(I413="","",IF(COUNTIF(Emplacements!$A$2:$A$1001,I413)=0,"⚠ emplacement inconnu",IF(AND(H413&lt;&gt;"",LEFT(I413,1)&lt;&gt;H413),"⚠ mauvaise zone","OK")))</f>
        <v/>
      </c>
      <c r="K413" s="12"/>
      <c r="L413" s="12"/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7" t="str">
        <f aca="false">IF(B414="","",TRIM(B414&amp;" "&amp;C414&amp;" "&amp;D414))</f>
        <v/>
      </c>
      <c r="G414" s="12"/>
      <c r="H414" s="12"/>
      <c r="I414" s="12"/>
      <c r="J414" s="17" t="str">
        <f aca="false">IF(I414="","",IF(COUNTIF(Emplacements!$A$2:$A$1001,I414)=0,"⚠ emplacement inconnu",IF(AND(H414&lt;&gt;"",LEFT(I414,1)&lt;&gt;H414),"⚠ mauvaise zone","OK")))</f>
        <v/>
      </c>
      <c r="K414" s="12"/>
      <c r="L414" s="12"/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7" t="str">
        <f aca="false">IF(B415="","",TRIM(B415&amp;" "&amp;C415&amp;" "&amp;D415))</f>
        <v/>
      </c>
      <c r="G415" s="12"/>
      <c r="H415" s="12"/>
      <c r="I415" s="12"/>
      <c r="J415" s="17" t="str">
        <f aca="false">IF(I415="","",IF(COUNTIF(Emplacements!$A$2:$A$1001,I415)=0,"⚠ emplacement inconnu",IF(AND(H415&lt;&gt;"",LEFT(I415,1)&lt;&gt;H415),"⚠ mauvaise zone","OK")))</f>
        <v/>
      </c>
      <c r="K415" s="12"/>
      <c r="L415" s="12"/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7" t="str">
        <f aca="false">IF(B416="","",TRIM(B416&amp;" "&amp;C416&amp;" "&amp;D416))</f>
        <v/>
      </c>
      <c r="G416" s="12"/>
      <c r="H416" s="12"/>
      <c r="I416" s="12"/>
      <c r="J416" s="17" t="str">
        <f aca="false">IF(I416="","",IF(COUNTIF(Emplacements!$A$2:$A$1001,I416)=0,"⚠ emplacement inconnu",IF(AND(H416&lt;&gt;"",LEFT(I416,1)&lt;&gt;H416),"⚠ mauvaise zone","OK")))</f>
        <v/>
      </c>
      <c r="K416" s="12"/>
      <c r="L416" s="12"/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7" t="str">
        <f aca="false">IF(B417="","",TRIM(B417&amp;" "&amp;C417&amp;" "&amp;D417))</f>
        <v/>
      </c>
      <c r="G417" s="12"/>
      <c r="H417" s="12"/>
      <c r="I417" s="12"/>
      <c r="J417" s="17" t="str">
        <f aca="false">IF(I417="","",IF(COUNTIF(Emplacements!$A$2:$A$1001,I417)=0,"⚠ emplacement inconnu",IF(AND(H417&lt;&gt;"",LEFT(I417,1)&lt;&gt;H417),"⚠ mauvaise zone","OK")))</f>
        <v/>
      </c>
      <c r="K417" s="12"/>
      <c r="L417" s="12"/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7" t="str">
        <f aca="false">IF(B418="","",TRIM(B418&amp;" "&amp;C418&amp;" "&amp;D418))</f>
        <v/>
      </c>
      <c r="G418" s="12"/>
      <c r="H418" s="12"/>
      <c r="I418" s="12"/>
      <c r="J418" s="17" t="str">
        <f aca="false">IF(I418="","",IF(COUNTIF(Emplacements!$A$2:$A$1001,I418)=0,"⚠ emplacement inconnu",IF(AND(H418&lt;&gt;"",LEFT(I418,1)&lt;&gt;H418),"⚠ mauvaise zone","OK")))</f>
        <v/>
      </c>
      <c r="K418" s="12"/>
      <c r="L418" s="12"/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7" t="str">
        <f aca="false">IF(B419="","",TRIM(B419&amp;" "&amp;C419&amp;" "&amp;D419))</f>
        <v/>
      </c>
      <c r="G419" s="12"/>
      <c r="H419" s="12"/>
      <c r="I419" s="12"/>
      <c r="J419" s="17" t="str">
        <f aca="false">IF(I419="","",IF(COUNTIF(Emplacements!$A$2:$A$1001,I419)=0,"⚠ emplacement inconnu",IF(AND(H419&lt;&gt;"",LEFT(I419,1)&lt;&gt;H419),"⚠ mauvaise zone","OK")))</f>
        <v/>
      </c>
      <c r="K419" s="12"/>
      <c r="L419" s="12"/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7" t="str">
        <f aca="false">IF(B420="","",TRIM(B420&amp;" "&amp;C420&amp;" "&amp;D420))</f>
        <v/>
      </c>
      <c r="G420" s="12"/>
      <c r="H420" s="12"/>
      <c r="I420" s="12"/>
      <c r="J420" s="17" t="str">
        <f aca="false">IF(I420="","",IF(COUNTIF(Emplacements!$A$2:$A$1001,I420)=0,"⚠ emplacement inconnu",IF(AND(H420&lt;&gt;"",LEFT(I420,1)&lt;&gt;H420),"⚠ mauvaise zone","OK")))</f>
        <v/>
      </c>
      <c r="K420" s="12"/>
      <c r="L420" s="12"/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7" t="str">
        <f aca="false">IF(B421="","",TRIM(B421&amp;" "&amp;C421&amp;" "&amp;D421))</f>
        <v/>
      </c>
      <c r="G421" s="12"/>
      <c r="H421" s="12"/>
      <c r="I421" s="12"/>
      <c r="J421" s="17" t="str">
        <f aca="false">IF(I421="","",IF(COUNTIF(Emplacements!$A$2:$A$1001,I421)=0,"⚠ emplacement inconnu",IF(AND(H421&lt;&gt;"",LEFT(I421,1)&lt;&gt;H421),"⚠ mauvaise zone","OK")))</f>
        <v/>
      </c>
      <c r="K421" s="12"/>
      <c r="L421" s="12"/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7" t="str">
        <f aca="false">IF(B422="","",TRIM(B422&amp;" "&amp;C422&amp;" "&amp;D422))</f>
        <v/>
      </c>
      <c r="G422" s="12"/>
      <c r="H422" s="12"/>
      <c r="I422" s="12"/>
      <c r="J422" s="17" t="str">
        <f aca="false">IF(I422="","",IF(COUNTIF(Emplacements!$A$2:$A$1001,I422)=0,"⚠ emplacement inconnu",IF(AND(H422&lt;&gt;"",LEFT(I422,1)&lt;&gt;H422),"⚠ mauvaise zone","OK")))</f>
        <v/>
      </c>
      <c r="K422" s="12"/>
      <c r="L422" s="12"/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7" t="str">
        <f aca="false">IF(B423="","",TRIM(B423&amp;" "&amp;C423&amp;" "&amp;D423))</f>
        <v/>
      </c>
      <c r="G423" s="12"/>
      <c r="H423" s="12"/>
      <c r="I423" s="12"/>
      <c r="J423" s="17" t="str">
        <f aca="false">IF(I423="","",IF(COUNTIF(Emplacements!$A$2:$A$1001,I423)=0,"⚠ emplacement inconnu",IF(AND(H423&lt;&gt;"",LEFT(I423,1)&lt;&gt;H423),"⚠ mauvaise zone","OK")))</f>
        <v/>
      </c>
      <c r="K423" s="12"/>
      <c r="L423" s="12"/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7" t="str">
        <f aca="false">IF(B424="","",TRIM(B424&amp;" "&amp;C424&amp;" "&amp;D424))</f>
        <v/>
      </c>
      <c r="G424" s="12"/>
      <c r="H424" s="12"/>
      <c r="I424" s="12"/>
      <c r="J424" s="17" t="str">
        <f aca="false">IF(I424="","",IF(COUNTIF(Emplacements!$A$2:$A$1001,I424)=0,"⚠ emplacement inconnu",IF(AND(H424&lt;&gt;"",LEFT(I424,1)&lt;&gt;H424),"⚠ mauvaise zone","OK")))</f>
        <v/>
      </c>
      <c r="K424" s="12"/>
      <c r="L424" s="12"/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7" t="str">
        <f aca="false">IF(B425="","",TRIM(B425&amp;" "&amp;C425&amp;" "&amp;D425))</f>
        <v/>
      </c>
      <c r="G425" s="12"/>
      <c r="H425" s="12"/>
      <c r="I425" s="12"/>
      <c r="J425" s="17" t="str">
        <f aca="false">IF(I425="","",IF(COUNTIF(Emplacements!$A$2:$A$1001,I425)=0,"⚠ emplacement inconnu",IF(AND(H425&lt;&gt;"",LEFT(I425,1)&lt;&gt;H425),"⚠ mauvaise zone","OK")))</f>
        <v/>
      </c>
      <c r="K425" s="12"/>
      <c r="L425" s="12"/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7" t="str">
        <f aca="false">IF(B426="","",TRIM(B426&amp;" "&amp;C426&amp;" "&amp;D426))</f>
        <v/>
      </c>
      <c r="G426" s="12"/>
      <c r="H426" s="12"/>
      <c r="I426" s="12"/>
      <c r="J426" s="17" t="str">
        <f aca="false">IF(I426="","",IF(COUNTIF(Emplacements!$A$2:$A$1001,I426)=0,"⚠ emplacement inconnu",IF(AND(H426&lt;&gt;"",LEFT(I426,1)&lt;&gt;H426),"⚠ mauvaise zone","OK")))</f>
        <v/>
      </c>
      <c r="K426" s="12"/>
      <c r="L426" s="12"/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7" t="str">
        <f aca="false">IF(B427="","",TRIM(B427&amp;" "&amp;C427&amp;" "&amp;D427))</f>
        <v/>
      </c>
      <c r="G427" s="12"/>
      <c r="H427" s="12"/>
      <c r="I427" s="12"/>
      <c r="J427" s="17" t="str">
        <f aca="false">IF(I427="","",IF(COUNTIF(Emplacements!$A$2:$A$1001,I427)=0,"⚠ emplacement inconnu",IF(AND(H427&lt;&gt;"",LEFT(I427,1)&lt;&gt;H427),"⚠ mauvaise zone","OK")))</f>
        <v/>
      </c>
      <c r="K427" s="12"/>
      <c r="L427" s="12"/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7" t="str">
        <f aca="false">IF(B428="","",TRIM(B428&amp;" "&amp;C428&amp;" "&amp;D428))</f>
        <v/>
      </c>
      <c r="G428" s="12"/>
      <c r="H428" s="12"/>
      <c r="I428" s="12"/>
      <c r="J428" s="17" t="str">
        <f aca="false">IF(I428="","",IF(COUNTIF(Emplacements!$A$2:$A$1001,I428)=0,"⚠ emplacement inconnu",IF(AND(H428&lt;&gt;"",LEFT(I428,1)&lt;&gt;H428),"⚠ mauvaise zone","OK")))</f>
        <v/>
      </c>
      <c r="K428" s="12"/>
      <c r="L428" s="12"/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7" t="str">
        <f aca="false">IF(B429="","",TRIM(B429&amp;" "&amp;C429&amp;" "&amp;D429))</f>
        <v/>
      </c>
      <c r="G429" s="12"/>
      <c r="H429" s="12"/>
      <c r="I429" s="12"/>
      <c r="J429" s="17" t="str">
        <f aca="false">IF(I429="","",IF(COUNTIF(Emplacements!$A$2:$A$1001,I429)=0,"⚠ emplacement inconnu",IF(AND(H429&lt;&gt;"",LEFT(I429,1)&lt;&gt;H429),"⚠ mauvaise zone","OK")))</f>
        <v/>
      </c>
      <c r="K429" s="12"/>
      <c r="L429" s="12"/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7" t="str">
        <f aca="false">IF(B430="","",TRIM(B430&amp;" "&amp;C430&amp;" "&amp;D430))</f>
        <v/>
      </c>
      <c r="G430" s="12"/>
      <c r="H430" s="12"/>
      <c r="I430" s="12"/>
      <c r="J430" s="17" t="str">
        <f aca="false">IF(I430="","",IF(COUNTIF(Emplacements!$A$2:$A$1001,I430)=0,"⚠ emplacement inconnu",IF(AND(H430&lt;&gt;"",LEFT(I430,1)&lt;&gt;H430),"⚠ mauvaise zone","OK")))</f>
        <v/>
      </c>
      <c r="K430" s="12"/>
      <c r="L430" s="12"/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7" t="str">
        <f aca="false">IF(B431="","",TRIM(B431&amp;" "&amp;C431&amp;" "&amp;D431))</f>
        <v/>
      </c>
      <c r="G431" s="12"/>
      <c r="H431" s="12"/>
      <c r="I431" s="12"/>
      <c r="J431" s="17" t="str">
        <f aca="false">IF(I431="","",IF(COUNTIF(Emplacements!$A$2:$A$1001,I431)=0,"⚠ emplacement inconnu",IF(AND(H431&lt;&gt;"",LEFT(I431,1)&lt;&gt;H431),"⚠ mauvaise zone","OK")))</f>
        <v/>
      </c>
      <c r="K431" s="12"/>
      <c r="L431" s="12"/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7" t="str">
        <f aca="false">IF(B432="","",TRIM(B432&amp;" "&amp;C432&amp;" "&amp;D432))</f>
        <v/>
      </c>
      <c r="G432" s="12"/>
      <c r="H432" s="12"/>
      <c r="I432" s="12"/>
      <c r="J432" s="17" t="str">
        <f aca="false">IF(I432="","",IF(COUNTIF(Emplacements!$A$2:$A$1001,I432)=0,"⚠ emplacement inconnu",IF(AND(H432&lt;&gt;"",LEFT(I432,1)&lt;&gt;H432),"⚠ mauvaise zone","OK")))</f>
        <v/>
      </c>
      <c r="K432" s="12"/>
      <c r="L432" s="12"/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7" t="str">
        <f aca="false">IF(B433="","",TRIM(B433&amp;" "&amp;C433&amp;" "&amp;D433))</f>
        <v/>
      </c>
      <c r="G433" s="12"/>
      <c r="H433" s="12"/>
      <c r="I433" s="12"/>
      <c r="J433" s="17" t="str">
        <f aca="false">IF(I433="","",IF(COUNTIF(Emplacements!$A$2:$A$1001,I433)=0,"⚠ emplacement inconnu",IF(AND(H433&lt;&gt;"",LEFT(I433,1)&lt;&gt;H433),"⚠ mauvaise zone","OK")))</f>
        <v/>
      </c>
      <c r="K433" s="12"/>
      <c r="L433" s="12"/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7" t="str">
        <f aca="false">IF(B434="","",TRIM(B434&amp;" "&amp;C434&amp;" "&amp;D434))</f>
        <v/>
      </c>
      <c r="G434" s="12"/>
      <c r="H434" s="12"/>
      <c r="I434" s="12"/>
      <c r="J434" s="17" t="str">
        <f aca="false">IF(I434="","",IF(COUNTIF(Emplacements!$A$2:$A$1001,I434)=0,"⚠ emplacement inconnu",IF(AND(H434&lt;&gt;"",LEFT(I434,1)&lt;&gt;H434),"⚠ mauvaise zone","OK")))</f>
        <v/>
      </c>
      <c r="K434" s="12"/>
      <c r="L434" s="12"/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7" t="str">
        <f aca="false">IF(B435="","",TRIM(B435&amp;" "&amp;C435&amp;" "&amp;D435))</f>
        <v/>
      </c>
      <c r="G435" s="12"/>
      <c r="H435" s="12"/>
      <c r="I435" s="12"/>
      <c r="J435" s="17" t="str">
        <f aca="false">IF(I435="","",IF(COUNTIF(Emplacements!$A$2:$A$1001,I435)=0,"⚠ emplacement inconnu",IF(AND(H435&lt;&gt;"",LEFT(I435,1)&lt;&gt;H435),"⚠ mauvaise zone","OK")))</f>
        <v/>
      </c>
      <c r="K435" s="12"/>
      <c r="L435" s="12"/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7" t="str">
        <f aca="false">IF(B436="","",TRIM(B436&amp;" "&amp;C436&amp;" "&amp;D436))</f>
        <v/>
      </c>
      <c r="G436" s="12"/>
      <c r="H436" s="12"/>
      <c r="I436" s="12"/>
      <c r="J436" s="17" t="str">
        <f aca="false">IF(I436="","",IF(COUNTIF(Emplacements!$A$2:$A$1001,I436)=0,"⚠ emplacement inconnu",IF(AND(H436&lt;&gt;"",LEFT(I436,1)&lt;&gt;H436),"⚠ mauvaise zone","OK")))</f>
        <v/>
      </c>
      <c r="K436" s="12"/>
      <c r="L436" s="12"/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7" t="str">
        <f aca="false">IF(B437="","",TRIM(B437&amp;" "&amp;C437&amp;" "&amp;D437))</f>
        <v/>
      </c>
      <c r="G437" s="12"/>
      <c r="H437" s="12"/>
      <c r="I437" s="12"/>
      <c r="J437" s="17" t="str">
        <f aca="false">IF(I437="","",IF(COUNTIF(Emplacements!$A$2:$A$1001,I437)=0,"⚠ emplacement inconnu",IF(AND(H437&lt;&gt;"",LEFT(I437,1)&lt;&gt;H437),"⚠ mauvaise zone","OK")))</f>
        <v/>
      </c>
      <c r="K437" s="12"/>
      <c r="L437" s="12"/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7" t="str">
        <f aca="false">IF(B438="","",TRIM(B438&amp;" "&amp;C438&amp;" "&amp;D438))</f>
        <v/>
      </c>
      <c r="G438" s="12"/>
      <c r="H438" s="12"/>
      <c r="I438" s="12"/>
      <c r="J438" s="17" t="str">
        <f aca="false">IF(I438="","",IF(COUNTIF(Emplacements!$A$2:$A$1001,I438)=0,"⚠ emplacement inconnu",IF(AND(H438&lt;&gt;"",LEFT(I438,1)&lt;&gt;H438),"⚠ mauvaise zone","OK")))</f>
        <v/>
      </c>
      <c r="K438" s="12"/>
      <c r="L438" s="12"/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7" t="str">
        <f aca="false">IF(B439="","",TRIM(B439&amp;" "&amp;C439&amp;" "&amp;D439))</f>
        <v/>
      </c>
      <c r="G439" s="12"/>
      <c r="H439" s="12"/>
      <c r="I439" s="12"/>
      <c r="J439" s="17" t="str">
        <f aca="false">IF(I439="","",IF(COUNTIF(Emplacements!$A$2:$A$1001,I439)=0,"⚠ emplacement inconnu",IF(AND(H439&lt;&gt;"",LEFT(I439,1)&lt;&gt;H439),"⚠ mauvaise zone","OK")))</f>
        <v/>
      </c>
      <c r="K439" s="12"/>
      <c r="L439" s="12"/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7" t="str">
        <f aca="false">IF(B440="","",TRIM(B440&amp;" "&amp;C440&amp;" "&amp;D440))</f>
        <v/>
      </c>
      <c r="G440" s="12"/>
      <c r="H440" s="12"/>
      <c r="I440" s="12"/>
      <c r="J440" s="17" t="str">
        <f aca="false">IF(I440="","",IF(COUNTIF(Emplacements!$A$2:$A$1001,I440)=0,"⚠ emplacement inconnu",IF(AND(H440&lt;&gt;"",LEFT(I440,1)&lt;&gt;H440),"⚠ mauvaise zone","OK")))</f>
        <v/>
      </c>
      <c r="K440" s="12"/>
      <c r="L440" s="12"/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7" t="str">
        <f aca="false">IF(B441="","",TRIM(B441&amp;" "&amp;C441&amp;" "&amp;D441))</f>
        <v/>
      </c>
      <c r="G441" s="12"/>
      <c r="H441" s="12"/>
      <c r="I441" s="12"/>
      <c r="J441" s="17" t="str">
        <f aca="false">IF(I441="","",IF(COUNTIF(Emplacements!$A$2:$A$1001,I441)=0,"⚠ emplacement inconnu",IF(AND(H441&lt;&gt;"",LEFT(I441,1)&lt;&gt;H441),"⚠ mauvaise zone","OK")))</f>
        <v/>
      </c>
      <c r="K441" s="12"/>
      <c r="L441" s="12"/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7" t="str">
        <f aca="false">IF(B442="","",TRIM(B442&amp;" "&amp;C442&amp;" "&amp;D442))</f>
        <v/>
      </c>
      <c r="G442" s="12"/>
      <c r="H442" s="12"/>
      <c r="I442" s="12"/>
      <c r="J442" s="17" t="str">
        <f aca="false">IF(I442="","",IF(COUNTIF(Emplacements!$A$2:$A$1001,I442)=0,"⚠ emplacement inconnu",IF(AND(H442&lt;&gt;"",LEFT(I442,1)&lt;&gt;H442),"⚠ mauvaise zone","OK")))</f>
        <v/>
      </c>
      <c r="K442" s="12"/>
      <c r="L442" s="12"/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7" t="str">
        <f aca="false">IF(B443="","",TRIM(B443&amp;" "&amp;C443&amp;" "&amp;D443))</f>
        <v/>
      </c>
      <c r="G443" s="12"/>
      <c r="H443" s="12"/>
      <c r="I443" s="12"/>
      <c r="J443" s="17" t="str">
        <f aca="false">IF(I443="","",IF(COUNTIF(Emplacements!$A$2:$A$1001,I443)=0,"⚠ emplacement inconnu",IF(AND(H443&lt;&gt;"",LEFT(I443,1)&lt;&gt;H443),"⚠ mauvaise zone","OK")))</f>
        <v/>
      </c>
      <c r="K443" s="12"/>
      <c r="L443" s="12"/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7" t="str">
        <f aca="false">IF(B444="","",TRIM(B444&amp;" "&amp;C444&amp;" "&amp;D444))</f>
        <v/>
      </c>
      <c r="G444" s="12"/>
      <c r="H444" s="12"/>
      <c r="I444" s="12"/>
      <c r="J444" s="17" t="str">
        <f aca="false">IF(I444="","",IF(COUNTIF(Emplacements!$A$2:$A$1001,I444)=0,"⚠ emplacement inconnu",IF(AND(H444&lt;&gt;"",LEFT(I444,1)&lt;&gt;H444),"⚠ mauvaise zone","OK")))</f>
        <v/>
      </c>
      <c r="K444" s="12"/>
      <c r="L444" s="12"/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7" t="str">
        <f aca="false">IF(B445="","",TRIM(B445&amp;" "&amp;C445&amp;" "&amp;D445))</f>
        <v/>
      </c>
      <c r="G445" s="12"/>
      <c r="H445" s="12"/>
      <c r="I445" s="12"/>
      <c r="J445" s="17" t="str">
        <f aca="false">IF(I445="","",IF(COUNTIF(Emplacements!$A$2:$A$1001,I445)=0,"⚠ emplacement inconnu",IF(AND(H445&lt;&gt;"",LEFT(I445,1)&lt;&gt;H445),"⚠ mauvaise zone","OK")))</f>
        <v/>
      </c>
      <c r="K445" s="12"/>
      <c r="L445" s="12"/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7" t="str">
        <f aca="false">IF(B446="","",TRIM(B446&amp;" "&amp;C446&amp;" "&amp;D446))</f>
        <v/>
      </c>
      <c r="G446" s="12"/>
      <c r="H446" s="12"/>
      <c r="I446" s="12"/>
      <c r="J446" s="17" t="str">
        <f aca="false">IF(I446="","",IF(COUNTIF(Emplacements!$A$2:$A$1001,I446)=0,"⚠ emplacement inconnu",IF(AND(H446&lt;&gt;"",LEFT(I446,1)&lt;&gt;H446),"⚠ mauvaise zone","OK")))</f>
        <v/>
      </c>
      <c r="K446" s="12"/>
      <c r="L446" s="12"/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7" t="str">
        <f aca="false">IF(B447="","",TRIM(B447&amp;" "&amp;C447&amp;" "&amp;D447))</f>
        <v/>
      </c>
      <c r="G447" s="12"/>
      <c r="H447" s="12"/>
      <c r="I447" s="12"/>
      <c r="J447" s="17" t="str">
        <f aca="false">IF(I447="","",IF(COUNTIF(Emplacements!$A$2:$A$1001,I447)=0,"⚠ emplacement inconnu",IF(AND(H447&lt;&gt;"",LEFT(I447,1)&lt;&gt;H447),"⚠ mauvaise zone","OK")))</f>
        <v/>
      </c>
      <c r="K447" s="12"/>
      <c r="L447" s="12"/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7" t="str">
        <f aca="false">IF(B448="","",TRIM(B448&amp;" "&amp;C448&amp;" "&amp;D448))</f>
        <v/>
      </c>
      <c r="G448" s="12"/>
      <c r="H448" s="12"/>
      <c r="I448" s="12"/>
      <c r="J448" s="17" t="str">
        <f aca="false">IF(I448="","",IF(COUNTIF(Emplacements!$A$2:$A$1001,I448)=0,"⚠ emplacement inconnu",IF(AND(H448&lt;&gt;"",LEFT(I448,1)&lt;&gt;H448),"⚠ mauvaise zone","OK")))</f>
        <v/>
      </c>
      <c r="K448" s="12"/>
      <c r="L448" s="12"/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7" t="str">
        <f aca="false">IF(B449="","",TRIM(B449&amp;" "&amp;C449&amp;" "&amp;D449))</f>
        <v/>
      </c>
      <c r="G449" s="12"/>
      <c r="H449" s="12"/>
      <c r="I449" s="12"/>
      <c r="J449" s="17" t="str">
        <f aca="false">IF(I449="","",IF(COUNTIF(Emplacements!$A$2:$A$1001,I449)=0,"⚠ emplacement inconnu",IF(AND(H449&lt;&gt;"",LEFT(I449,1)&lt;&gt;H449),"⚠ mauvaise zone","OK")))</f>
        <v/>
      </c>
      <c r="K449" s="12"/>
      <c r="L449" s="12"/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7" t="str">
        <f aca="false">IF(B450="","",TRIM(B450&amp;" "&amp;C450&amp;" "&amp;D450))</f>
        <v/>
      </c>
      <c r="G450" s="12"/>
      <c r="H450" s="12"/>
      <c r="I450" s="12"/>
      <c r="J450" s="17" t="str">
        <f aca="false">IF(I450="","",IF(COUNTIF(Emplacements!$A$2:$A$1001,I450)=0,"⚠ emplacement inconnu",IF(AND(H450&lt;&gt;"",LEFT(I450,1)&lt;&gt;H450),"⚠ mauvaise zone","OK")))</f>
        <v/>
      </c>
      <c r="K450" s="12"/>
      <c r="L450" s="12"/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7" t="str">
        <f aca="false">IF(B451="","",TRIM(B451&amp;" "&amp;C451&amp;" "&amp;D451))</f>
        <v/>
      </c>
      <c r="G451" s="12"/>
      <c r="H451" s="12"/>
      <c r="I451" s="12"/>
      <c r="J451" s="17" t="str">
        <f aca="false">IF(I451="","",IF(COUNTIF(Emplacements!$A$2:$A$1001,I451)=0,"⚠ emplacement inconnu",IF(AND(H451&lt;&gt;"",LEFT(I451,1)&lt;&gt;H451),"⚠ mauvaise zone","OK")))</f>
        <v/>
      </c>
      <c r="K451" s="12"/>
      <c r="L451" s="12"/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7" t="str">
        <f aca="false">IF(B452="","",TRIM(B452&amp;" "&amp;C452&amp;" "&amp;D452))</f>
        <v/>
      </c>
      <c r="G452" s="12"/>
      <c r="H452" s="12"/>
      <c r="I452" s="12"/>
      <c r="J452" s="17" t="str">
        <f aca="false">IF(I452="","",IF(COUNTIF(Emplacements!$A$2:$A$1001,I452)=0,"⚠ emplacement inconnu",IF(AND(H452&lt;&gt;"",LEFT(I452,1)&lt;&gt;H452),"⚠ mauvaise zone","OK")))</f>
        <v/>
      </c>
      <c r="K452" s="12"/>
      <c r="L452" s="12"/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7" t="str">
        <f aca="false">IF(B453="","",TRIM(B453&amp;" "&amp;C453&amp;" "&amp;D453))</f>
        <v/>
      </c>
      <c r="G453" s="12"/>
      <c r="H453" s="12"/>
      <c r="I453" s="12"/>
      <c r="J453" s="17" t="str">
        <f aca="false">IF(I453="","",IF(COUNTIF(Emplacements!$A$2:$A$1001,I453)=0,"⚠ emplacement inconnu",IF(AND(H453&lt;&gt;"",LEFT(I453,1)&lt;&gt;H453),"⚠ mauvaise zone","OK")))</f>
        <v/>
      </c>
      <c r="K453" s="12"/>
      <c r="L453" s="12"/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7" t="str">
        <f aca="false">IF(B454="","",TRIM(B454&amp;" "&amp;C454&amp;" "&amp;D454))</f>
        <v/>
      </c>
      <c r="G454" s="12"/>
      <c r="H454" s="12"/>
      <c r="I454" s="12"/>
      <c r="J454" s="17" t="str">
        <f aca="false">IF(I454="","",IF(COUNTIF(Emplacements!$A$2:$A$1001,I454)=0,"⚠ emplacement inconnu",IF(AND(H454&lt;&gt;"",LEFT(I454,1)&lt;&gt;H454),"⚠ mauvaise zone","OK")))</f>
        <v/>
      </c>
      <c r="K454" s="12"/>
      <c r="L454" s="12"/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7" t="str">
        <f aca="false">IF(B455="","",TRIM(B455&amp;" "&amp;C455&amp;" "&amp;D455))</f>
        <v/>
      </c>
      <c r="G455" s="12"/>
      <c r="H455" s="12"/>
      <c r="I455" s="12"/>
      <c r="J455" s="17" t="str">
        <f aca="false">IF(I455="","",IF(COUNTIF(Emplacements!$A$2:$A$1001,I455)=0,"⚠ emplacement inconnu",IF(AND(H455&lt;&gt;"",LEFT(I455,1)&lt;&gt;H455),"⚠ mauvaise zone","OK")))</f>
        <v/>
      </c>
      <c r="K455" s="12"/>
      <c r="L455" s="12"/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7" t="str">
        <f aca="false">IF(B456="","",TRIM(B456&amp;" "&amp;C456&amp;" "&amp;D456))</f>
        <v/>
      </c>
      <c r="G456" s="12"/>
      <c r="H456" s="12"/>
      <c r="I456" s="12"/>
      <c r="J456" s="17" t="str">
        <f aca="false">IF(I456="","",IF(COUNTIF(Emplacements!$A$2:$A$1001,I456)=0,"⚠ emplacement inconnu",IF(AND(H456&lt;&gt;"",LEFT(I456,1)&lt;&gt;H456),"⚠ mauvaise zone","OK")))</f>
        <v/>
      </c>
      <c r="K456" s="12"/>
      <c r="L456" s="12"/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7" t="str">
        <f aca="false">IF(B457="","",TRIM(B457&amp;" "&amp;C457&amp;" "&amp;D457))</f>
        <v/>
      </c>
      <c r="G457" s="12"/>
      <c r="H457" s="12"/>
      <c r="I457" s="12"/>
      <c r="J457" s="17" t="str">
        <f aca="false">IF(I457="","",IF(COUNTIF(Emplacements!$A$2:$A$1001,I457)=0,"⚠ emplacement inconnu",IF(AND(H457&lt;&gt;"",LEFT(I457,1)&lt;&gt;H457),"⚠ mauvaise zone","OK")))</f>
        <v/>
      </c>
      <c r="K457" s="12"/>
      <c r="L457" s="12"/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7" t="str">
        <f aca="false">IF(B458="","",TRIM(B458&amp;" "&amp;C458&amp;" "&amp;D458))</f>
        <v/>
      </c>
      <c r="G458" s="12"/>
      <c r="H458" s="12"/>
      <c r="I458" s="12"/>
      <c r="J458" s="17" t="str">
        <f aca="false">IF(I458="","",IF(COUNTIF(Emplacements!$A$2:$A$1001,I458)=0,"⚠ emplacement inconnu",IF(AND(H458&lt;&gt;"",LEFT(I458,1)&lt;&gt;H458),"⚠ mauvaise zone","OK")))</f>
        <v/>
      </c>
      <c r="K458" s="12"/>
      <c r="L458" s="12"/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7" t="str">
        <f aca="false">IF(B459="","",TRIM(B459&amp;" "&amp;C459&amp;" "&amp;D459))</f>
        <v/>
      </c>
      <c r="G459" s="12"/>
      <c r="H459" s="12"/>
      <c r="I459" s="12"/>
      <c r="J459" s="17" t="str">
        <f aca="false">IF(I459="","",IF(COUNTIF(Emplacements!$A$2:$A$1001,I459)=0,"⚠ emplacement inconnu",IF(AND(H459&lt;&gt;"",LEFT(I459,1)&lt;&gt;H459),"⚠ mauvaise zone","OK")))</f>
        <v/>
      </c>
      <c r="K459" s="12"/>
      <c r="L459" s="12"/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7" t="str">
        <f aca="false">IF(B460="","",TRIM(B460&amp;" "&amp;C460&amp;" "&amp;D460))</f>
        <v/>
      </c>
      <c r="G460" s="12"/>
      <c r="H460" s="12"/>
      <c r="I460" s="12"/>
      <c r="J460" s="17" t="str">
        <f aca="false">IF(I460="","",IF(COUNTIF(Emplacements!$A$2:$A$1001,I460)=0,"⚠ emplacement inconnu",IF(AND(H460&lt;&gt;"",LEFT(I460,1)&lt;&gt;H460),"⚠ mauvaise zone","OK")))</f>
        <v/>
      </c>
      <c r="K460" s="12"/>
      <c r="L460" s="12"/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7" t="str">
        <f aca="false">IF(B461="","",TRIM(B461&amp;" "&amp;C461&amp;" "&amp;D461))</f>
        <v/>
      </c>
      <c r="G461" s="12"/>
      <c r="H461" s="12"/>
      <c r="I461" s="12"/>
      <c r="J461" s="17" t="str">
        <f aca="false">IF(I461="","",IF(COUNTIF(Emplacements!$A$2:$A$1001,I461)=0,"⚠ emplacement inconnu",IF(AND(H461&lt;&gt;"",LEFT(I461,1)&lt;&gt;H461),"⚠ mauvaise zone","OK")))</f>
        <v/>
      </c>
      <c r="K461" s="12"/>
      <c r="L461" s="12"/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7" t="str">
        <f aca="false">IF(B462="","",TRIM(B462&amp;" "&amp;C462&amp;" "&amp;D462))</f>
        <v/>
      </c>
      <c r="G462" s="12"/>
      <c r="H462" s="12"/>
      <c r="I462" s="12"/>
      <c r="J462" s="17" t="str">
        <f aca="false">IF(I462="","",IF(COUNTIF(Emplacements!$A$2:$A$1001,I462)=0,"⚠ emplacement inconnu",IF(AND(H462&lt;&gt;"",LEFT(I462,1)&lt;&gt;H462),"⚠ mauvaise zone","OK")))</f>
        <v/>
      </c>
      <c r="K462" s="12"/>
      <c r="L462" s="12"/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7" t="str">
        <f aca="false">IF(B463="","",TRIM(B463&amp;" "&amp;C463&amp;" "&amp;D463))</f>
        <v/>
      </c>
      <c r="G463" s="12"/>
      <c r="H463" s="12"/>
      <c r="I463" s="12"/>
      <c r="J463" s="17" t="str">
        <f aca="false">IF(I463="","",IF(COUNTIF(Emplacements!$A$2:$A$1001,I463)=0,"⚠ emplacement inconnu",IF(AND(H463&lt;&gt;"",LEFT(I463,1)&lt;&gt;H463),"⚠ mauvaise zone","OK")))</f>
        <v/>
      </c>
      <c r="K463" s="12"/>
      <c r="L463" s="12"/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7" t="str">
        <f aca="false">IF(B464="","",TRIM(B464&amp;" "&amp;C464&amp;" "&amp;D464))</f>
        <v/>
      </c>
      <c r="G464" s="12"/>
      <c r="H464" s="12"/>
      <c r="I464" s="12"/>
      <c r="J464" s="17" t="str">
        <f aca="false">IF(I464="","",IF(COUNTIF(Emplacements!$A$2:$A$1001,I464)=0,"⚠ emplacement inconnu",IF(AND(H464&lt;&gt;"",LEFT(I464,1)&lt;&gt;H464),"⚠ mauvaise zone","OK")))</f>
        <v/>
      </c>
      <c r="K464" s="12"/>
      <c r="L464" s="12"/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7" t="str">
        <f aca="false">IF(B465="","",TRIM(B465&amp;" "&amp;C465&amp;" "&amp;D465))</f>
        <v/>
      </c>
      <c r="G465" s="12"/>
      <c r="H465" s="12"/>
      <c r="I465" s="12"/>
      <c r="J465" s="17" t="str">
        <f aca="false">IF(I465="","",IF(COUNTIF(Emplacements!$A$2:$A$1001,I465)=0,"⚠ emplacement inconnu",IF(AND(H465&lt;&gt;"",LEFT(I465,1)&lt;&gt;H465),"⚠ mauvaise zone","OK")))</f>
        <v/>
      </c>
      <c r="K465" s="12"/>
      <c r="L465" s="12"/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7" t="str">
        <f aca="false">IF(B466="","",TRIM(B466&amp;" "&amp;C466&amp;" "&amp;D466))</f>
        <v/>
      </c>
      <c r="G466" s="12"/>
      <c r="H466" s="12"/>
      <c r="I466" s="12"/>
      <c r="J466" s="17" t="str">
        <f aca="false">IF(I466="","",IF(COUNTIF(Emplacements!$A$2:$A$1001,I466)=0,"⚠ emplacement inconnu",IF(AND(H466&lt;&gt;"",LEFT(I466,1)&lt;&gt;H466),"⚠ mauvaise zone","OK")))</f>
        <v/>
      </c>
      <c r="K466" s="12"/>
      <c r="L466" s="12"/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7" t="str">
        <f aca="false">IF(B467="","",TRIM(B467&amp;" "&amp;C467&amp;" "&amp;D467))</f>
        <v/>
      </c>
      <c r="G467" s="12"/>
      <c r="H467" s="12"/>
      <c r="I467" s="12"/>
      <c r="J467" s="17" t="str">
        <f aca="false">IF(I467="","",IF(COUNTIF(Emplacements!$A$2:$A$1001,I467)=0,"⚠ emplacement inconnu",IF(AND(H467&lt;&gt;"",LEFT(I467,1)&lt;&gt;H467),"⚠ mauvaise zone","OK")))</f>
        <v/>
      </c>
      <c r="K467" s="12"/>
      <c r="L467" s="12"/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7" t="str">
        <f aca="false">IF(B468="","",TRIM(B468&amp;" "&amp;C468&amp;" "&amp;D468))</f>
        <v/>
      </c>
      <c r="G468" s="12"/>
      <c r="H468" s="12"/>
      <c r="I468" s="12"/>
      <c r="J468" s="17" t="str">
        <f aca="false">IF(I468="","",IF(COUNTIF(Emplacements!$A$2:$A$1001,I468)=0,"⚠ emplacement inconnu",IF(AND(H468&lt;&gt;"",LEFT(I468,1)&lt;&gt;H468),"⚠ mauvaise zone","OK")))</f>
        <v/>
      </c>
      <c r="K468" s="12"/>
      <c r="L468" s="12"/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7" t="str">
        <f aca="false">IF(B469="","",TRIM(B469&amp;" "&amp;C469&amp;" "&amp;D469))</f>
        <v/>
      </c>
      <c r="G469" s="12"/>
      <c r="H469" s="12"/>
      <c r="I469" s="12"/>
      <c r="J469" s="17" t="str">
        <f aca="false">IF(I469="","",IF(COUNTIF(Emplacements!$A$2:$A$1001,I469)=0,"⚠ emplacement inconnu",IF(AND(H469&lt;&gt;"",LEFT(I469,1)&lt;&gt;H469),"⚠ mauvaise zone","OK")))</f>
        <v/>
      </c>
      <c r="K469" s="12"/>
      <c r="L469" s="12"/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7" t="str">
        <f aca="false">IF(B470="","",TRIM(B470&amp;" "&amp;C470&amp;" "&amp;D470))</f>
        <v/>
      </c>
      <c r="G470" s="12"/>
      <c r="H470" s="12"/>
      <c r="I470" s="12"/>
      <c r="J470" s="17" t="str">
        <f aca="false">IF(I470="","",IF(COUNTIF(Emplacements!$A$2:$A$1001,I470)=0,"⚠ emplacement inconnu",IF(AND(H470&lt;&gt;"",LEFT(I470,1)&lt;&gt;H470),"⚠ mauvaise zone","OK")))</f>
        <v/>
      </c>
      <c r="K470" s="12"/>
      <c r="L470" s="12"/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7" t="str">
        <f aca="false">IF(B471="","",TRIM(B471&amp;" "&amp;C471&amp;" "&amp;D471))</f>
        <v/>
      </c>
      <c r="G471" s="12"/>
      <c r="H471" s="12"/>
      <c r="I471" s="12"/>
      <c r="J471" s="17" t="str">
        <f aca="false">IF(I471="","",IF(COUNTIF(Emplacements!$A$2:$A$1001,I471)=0,"⚠ emplacement inconnu",IF(AND(H471&lt;&gt;"",LEFT(I471,1)&lt;&gt;H471),"⚠ mauvaise zone","OK")))</f>
        <v/>
      </c>
      <c r="K471" s="12"/>
      <c r="L471" s="12"/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7" t="str">
        <f aca="false">IF(B472="","",TRIM(B472&amp;" "&amp;C472&amp;" "&amp;D472))</f>
        <v/>
      </c>
      <c r="G472" s="12"/>
      <c r="H472" s="12"/>
      <c r="I472" s="12"/>
      <c r="J472" s="17" t="str">
        <f aca="false">IF(I472="","",IF(COUNTIF(Emplacements!$A$2:$A$1001,I472)=0,"⚠ emplacement inconnu",IF(AND(H472&lt;&gt;"",LEFT(I472,1)&lt;&gt;H472),"⚠ mauvaise zone","OK")))</f>
        <v/>
      </c>
      <c r="K472" s="12"/>
      <c r="L472" s="12"/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7" t="str">
        <f aca="false">IF(B473="","",TRIM(B473&amp;" "&amp;C473&amp;" "&amp;D473))</f>
        <v/>
      </c>
      <c r="G473" s="12"/>
      <c r="H473" s="12"/>
      <c r="I473" s="12"/>
      <c r="J473" s="17" t="str">
        <f aca="false">IF(I473="","",IF(COUNTIF(Emplacements!$A$2:$A$1001,I473)=0,"⚠ emplacement inconnu",IF(AND(H473&lt;&gt;"",LEFT(I473,1)&lt;&gt;H473),"⚠ mauvaise zone","OK")))</f>
        <v/>
      </c>
      <c r="K473" s="12"/>
      <c r="L473" s="12"/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7" t="str">
        <f aca="false">IF(B474="","",TRIM(B474&amp;" "&amp;C474&amp;" "&amp;D474))</f>
        <v/>
      </c>
      <c r="G474" s="12"/>
      <c r="H474" s="12"/>
      <c r="I474" s="12"/>
      <c r="J474" s="17" t="str">
        <f aca="false">IF(I474="","",IF(COUNTIF(Emplacements!$A$2:$A$1001,I474)=0,"⚠ emplacement inconnu",IF(AND(H474&lt;&gt;"",LEFT(I474,1)&lt;&gt;H474),"⚠ mauvaise zone","OK")))</f>
        <v/>
      </c>
      <c r="K474" s="12"/>
      <c r="L474" s="12"/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7" t="str">
        <f aca="false">IF(B475="","",TRIM(B475&amp;" "&amp;C475&amp;" "&amp;D475))</f>
        <v/>
      </c>
      <c r="G475" s="12"/>
      <c r="H475" s="12"/>
      <c r="I475" s="12"/>
      <c r="J475" s="17" t="str">
        <f aca="false">IF(I475="","",IF(COUNTIF(Emplacements!$A$2:$A$1001,I475)=0,"⚠ emplacement inconnu",IF(AND(H475&lt;&gt;"",LEFT(I475,1)&lt;&gt;H475),"⚠ mauvaise zone","OK")))</f>
        <v/>
      </c>
      <c r="K475" s="12"/>
      <c r="L475" s="12"/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7" t="str">
        <f aca="false">IF(B476="","",TRIM(B476&amp;" "&amp;C476&amp;" "&amp;D476))</f>
        <v/>
      </c>
      <c r="G476" s="12"/>
      <c r="H476" s="12"/>
      <c r="I476" s="12"/>
      <c r="J476" s="17" t="str">
        <f aca="false">IF(I476="","",IF(COUNTIF(Emplacements!$A$2:$A$1001,I476)=0,"⚠ emplacement inconnu",IF(AND(H476&lt;&gt;"",LEFT(I476,1)&lt;&gt;H476),"⚠ mauvaise zone","OK")))</f>
        <v/>
      </c>
      <c r="K476" s="12"/>
      <c r="L476" s="12"/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7" t="str">
        <f aca="false">IF(B477="","",TRIM(B477&amp;" "&amp;C477&amp;" "&amp;D477))</f>
        <v/>
      </c>
      <c r="G477" s="12"/>
      <c r="H477" s="12"/>
      <c r="I477" s="12"/>
      <c r="J477" s="17" t="str">
        <f aca="false">IF(I477="","",IF(COUNTIF(Emplacements!$A$2:$A$1001,I477)=0,"⚠ emplacement inconnu",IF(AND(H477&lt;&gt;"",LEFT(I477,1)&lt;&gt;H477),"⚠ mauvaise zone","OK")))</f>
        <v/>
      </c>
      <c r="K477" s="12"/>
      <c r="L477" s="12"/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7" t="str">
        <f aca="false">IF(B478="","",TRIM(B478&amp;" "&amp;C478&amp;" "&amp;D478))</f>
        <v/>
      </c>
      <c r="G478" s="12"/>
      <c r="H478" s="12"/>
      <c r="I478" s="12"/>
      <c r="J478" s="17" t="str">
        <f aca="false">IF(I478="","",IF(COUNTIF(Emplacements!$A$2:$A$1001,I478)=0,"⚠ emplacement inconnu",IF(AND(H478&lt;&gt;"",LEFT(I478,1)&lt;&gt;H478),"⚠ mauvaise zone","OK")))</f>
        <v/>
      </c>
      <c r="K478" s="12"/>
      <c r="L478" s="12"/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7" t="str">
        <f aca="false">IF(B479="","",TRIM(B479&amp;" "&amp;C479&amp;" "&amp;D479))</f>
        <v/>
      </c>
      <c r="G479" s="12"/>
      <c r="H479" s="12"/>
      <c r="I479" s="12"/>
      <c r="J479" s="17" t="str">
        <f aca="false">IF(I479="","",IF(COUNTIF(Emplacements!$A$2:$A$1001,I479)=0,"⚠ emplacement inconnu",IF(AND(H479&lt;&gt;"",LEFT(I479,1)&lt;&gt;H479),"⚠ mauvaise zone","OK")))</f>
        <v/>
      </c>
      <c r="K479" s="12"/>
      <c r="L479" s="12"/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7" t="str">
        <f aca="false">IF(B480="","",TRIM(B480&amp;" "&amp;C480&amp;" "&amp;D480))</f>
        <v/>
      </c>
      <c r="G480" s="12"/>
      <c r="H480" s="12"/>
      <c r="I480" s="12"/>
      <c r="J480" s="17" t="str">
        <f aca="false">IF(I480="","",IF(COUNTIF(Emplacements!$A$2:$A$1001,I480)=0,"⚠ emplacement inconnu",IF(AND(H480&lt;&gt;"",LEFT(I480,1)&lt;&gt;H480),"⚠ mauvaise zone","OK")))</f>
        <v/>
      </c>
      <c r="K480" s="12"/>
      <c r="L480" s="12"/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7" t="str">
        <f aca="false">IF(B481="","",TRIM(B481&amp;" "&amp;C481&amp;" "&amp;D481))</f>
        <v/>
      </c>
      <c r="G481" s="12"/>
      <c r="H481" s="12"/>
      <c r="I481" s="12"/>
      <c r="J481" s="17" t="str">
        <f aca="false">IF(I481="","",IF(COUNTIF(Emplacements!$A$2:$A$1001,I481)=0,"⚠ emplacement inconnu",IF(AND(H481&lt;&gt;"",LEFT(I481,1)&lt;&gt;H481),"⚠ mauvaise zone","OK")))</f>
        <v/>
      </c>
      <c r="K481" s="12"/>
      <c r="L481" s="12"/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7" t="str">
        <f aca="false">IF(B482="","",TRIM(B482&amp;" "&amp;C482&amp;" "&amp;D482))</f>
        <v/>
      </c>
      <c r="G482" s="12"/>
      <c r="H482" s="12"/>
      <c r="I482" s="12"/>
      <c r="J482" s="17" t="str">
        <f aca="false">IF(I482="","",IF(COUNTIF(Emplacements!$A$2:$A$1001,I482)=0,"⚠ emplacement inconnu",IF(AND(H482&lt;&gt;"",LEFT(I482,1)&lt;&gt;H482),"⚠ mauvaise zone","OK")))</f>
        <v/>
      </c>
      <c r="K482" s="12"/>
      <c r="L482" s="12"/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7" t="str">
        <f aca="false">IF(B483="","",TRIM(B483&amp;" "&amp;C483&amp;" "&amp;D483))</f>
        <v/>
      </c>
      <c r="G483" s="12"/>
      <c r="H483" s="12"/>
      <c r="I483" s="12"/>
      <c r="J483" s="17" t="str">
        <f aca="false">IF(I483="","",IF(COUNTIF(Emplacements!$A$2:$A$1001,I483)=0,"⚠ emplacement inconnu",IF(AND(H483&lt;&gt;"",LEFT(I483,1)&lt;&gt;H483),"⚠ mauvaise zone","OK")))</f>
        <v/>
      </c>
      <c r="K483" s="12"/>
      <c r="L483" s="12"/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7" t="str">
        <f aca="false">IF(B484="","",TRIM(B484&amp;" "&amp;C484&amp;" "&amp;D484))</f>
        <v/>
      </c>
      <c r="G484" s="12"/>
      <c r="H484" s="12"/>
      <c r="I484" s="12"/>
      <c r="J484" s="17" t="str">
        <f aca="false">IF(I484="","",IF(COUNTIF(Emplacements!$A$2:$A$1001,I484)=0,"⚠ emplacement inconnu",IF(AND(H484&lt;&gt;"",LEFT(I484,1)&lt;&gt;H484),"⚠ mauvaise zone","OK")))</f>
        <v/>
      </c>
      <c r="K484" s="12"/>
      <c r="L484" s="12"/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7" t="str">
        <f aca="false">IF(B485="","",TRIM(B485&amp;" "&amp;C485&amp;" "&amp;D485))</f>
        <v/>
      </c>
      <c r="G485" s="12"/>
      <c r="H485" s="12"/>
      <c r="I485" s="12"/>
      <c r="J485" s="17" t="str">
        <f aca="false">IF(I485="","",IF(COUNTIF(Emplacements!$A$2:$A$1001,I485)=0,"⚠ emplacement inconnu",IF(AND(H485&lt;&gt;"",LEFT(I485,1)&lt;&gt;H485),"⚠ mauvaise zone","OK")))</f>
        <v/>
      </c>
      <c r="K485" s="12"/>
      <c r="L485" s="12"/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7" t="str">
        <f aca="false">IF(B486="","",TRIM(B486&amp;" "&amp;C486&amp;" "&amp;D486))</f>
        <v/>
      </c>
      <c r="G486" s="12"/>
      <c r="H486" s="12"/>
      <c r="I486" s="12"/>
      <c r="J486" s="17" t="str">
        <f aca="false">IF(I486="","",IF(COUNTIF(Emplacements!$A$2:$A$1001,I486)=0,"⚠ emplacement inconnu",IF(AND(H486&lt;&gt;"",LEFT(I486,1)&lt;&gt;H486),"⚠ mauvaise zone","OK")))</f>
        <v/>
      </c>
      <c r="K486" s="12"/>
      <c r="L486" s="12"/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7" t="str">
        <f aca="false">IF(B487="","",TRIM(B487&amp;" "&amp;C487&amp;" "&amp;D487))</f>
        <v/>
      </c>
      <c r="G487" s="12"/>
      <c r="H487" s="12"/>
      <c r="I487" s="12"/>
      <c r="J487" s="17" t="str">
        <f aca="false">IF(I487="","",IF(COUNTIF(Emplacements!$A$2:$A$1001,I487)=0,"⚠ emplacement inconnu",IF(AND(H487&lt;&gt;"",LEFT(I487,1)&lt;&gt;H487),"⚠ mauvaise zone","OK")))</f>
        <v/>
      </c>
      <c r="K487" s="12"/>
      <c r="L487" s="12"/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7" t="str">
        <f aca="false">IF(B488="","",TRIM(B488&amp;" "&amp;C488&amp;" "&amp;D488))</f>
        <v/>
      </c>
      <c r="G488" s="12"/>
      <c r="H488" s="12"/>
      <c r="I488" s="12"/>
      <c r="J488" s="17" t="str">
        <f aca="false">IF(I488="","",IF(COUNTIF(Emplacements!$A$2:$A$1001,I488)=0,"⚠ emplacement inconnu",IF(AND(H488&lt;&gt;"",LEFT(I488,1)&lt;&gt;H488),"⚠ mauvaise zone","OK")))</f>
        <v/>
      </c>
      <c r="K488" s="12"/>
      <c r="L488" s="12"/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7" t="str">
        <f aca="false">IF(B489="","",TRIM(B489&amp;" "&amp;C489&amp;" "&amp;D489))</f>
        <v/>
      </c>
      <c r="G489" s="12"/>
      <c r="H489" s="12"/>
      <c r="I489" s="12"/>
      <c r="J489" s="17" t="str">
        <f aca="false">IF(I489="","",IF(COUNTIF(Emplacements!$A$2:$A$1001,I489)=0,"⚠ emplacement inconnu",IF(AND(H489&lt;&gt;"",LEFT(I489,1)&lt;&gt;H489),"⚠ mauvaise zone","OK")))</f>
        <v/>
      </c>
      <c r="K489" s="12"/>
      <c r="L489" s="12"/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7" t="str">
        <f aca="false">IF(B490="","",TRIM(B490&amp;" "&amp;C490&amp;" "&amp;D490))</f>
        <v/>
      </c>
      <c r="G490" s="12"/>
      <c r="H490" s="12"/>
      <c r="I490" s="12"/>
      <c r="J490" s="17" t="str">
        <f aca="false">IF(I490="","",IF(COUNTIF(Emplacements!$A$2:$A$1001,I490)=0,"⚠ emplacement inconnu",IF(AND(H490&lt;&gt;"",LEFT(I490,1)&lt;&gt;H490),"⚠ mauvaise zone","OK")))</f>
        <v/>
      </c>
      <c r="K490" s="12"/>
      <c r="L490" s="12"/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7" t="str">
        <f aca="false">IF(B491="","",TRIM(B491&amp;" "&amp;C491&amp;" "&amp;D491))</f>
        <v/>
      </c>
      <c r="G491" s="12"/>
      <c r="H491" s="12"/>
      <c r="I491" s="12"/>
      <c r="J491" s="17" t="str">
        <f aca="false">IF(I491="","",IF(COUNTIF(Emplacements!$A$2:$A$1001,I491)=0,"⚠ emplacement inconnu",IF(AND(H491&lt;&gt;"",LEFT(I491,1)&lt;&gt;H491),"⚠ mauvaise zone","OK")))</f>
        <v/>
      </c>
      <c r="K491" s="12"/>
      <c r="L491" s="12"/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7" t="str">
        <f aca="false">IF(B492="","",TRIM(B492&amp;" "&amp;C492&amp;" "&amp;D492))</f>
        <v/>
      </c>
      <c r="G492" s="12"/>
      <c r="H492" s="12"/>
      <c r="I492" s="12"/>
      <c r="J492" s="17" t="str">
        <f aca="false">IF(I492="","",IF(COUNTIF(Emplacements!$A$2:$A$1001,I492)=0,"⚠ emplacement inconnu",IF(AND(H492&lt;&gt;"",LEFT(I492,1)&lt;&gt;H492),"⚠ mauvaise zone","OK")))</f>
        <v/>
      </c>
      <c r="K492" s="12"/>
      <c r="L492" s="12"/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7" t="str">
        <f aca="false">IF(B493="","",TRIM(B493&amp;" "&amp;C493&amp;" "&amp;D493))</f>
        <v/>
      </c>
      <c r="G493" s="12"/>
      <c r="H493" s="12"/>
      <c r="I493" s="12"/>
      <c r="J493" s="17" t="str">
        <f aca="false">IF(I493="","",IF(COUNTIF(Emplacements!$A$2:$A$1001,I493)=0,"⚠ emplacement inconnu",IF(AND(H493&lt;&gt;"",LEFT(I493,1)&lt;&gt;H493),"⚠ mauvaise zone","OK")))</f>
        <v/>
      </c>
      <c r="K493" s="12"/>
      <c r="L493" s="12"/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7" t="str">
        <f aca="false">IF(B494="","",TRIM(B494&amp;" "&amp;C494&amp;" "&amp;D494))</f>
        <v/>
      </c>
      <c r="G494" s="12"/>
      <c r="H494" s="12"/>
      <c r="I494" s="12"/>
      <c r="J494" s="17" t="str">
        <f aca="false">IF(I494="","",IF(COUNTIF(Emplacements!$A$2:$A$1001,I494)=0,"⚠ emplacement inconnu",IF(AND(H494&lt;&gt;"",LEFT(I494,1)&lt;&gt;H494),"⚠ mauvaise zone","OK")))</f>
        <v/>
      </c>
      <c r="K494" s="12"/>
      <c r="L494" s="12"/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7" t="str">
        <f aca="false">IF(B495="","",TRIM(B495&amp;" "&amp;C495&amp;" "&amp;D495))</f>
        <v/>
      </c>
      <c r="G495" s="12"/>
      <c r="H495" s="12"/>
      <c r="I495" s="12"/>
      <c r="J495" s="17" t="str">
        <f aca="false">IF(I495="","",IF(COUNTIF(Emplacements!$A$2:$A$1001,I495)=0,"⚠ emplacement inconnu",IF(AND(H495&lt;&gt;"",LEFT(I495,1)&lt;&gt;H495),"⚠ mauvaise zone","OK")))</f>
        <v/>
      </c>
      <c r="K495" s="12"/>
      <c r="L495" s="12"/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7" t="str">
        <f aca="false">IF(B496="","",TRIM(B496&amp;" "&amp;C496&amp;" "&amp;D496))</f>
        <v/>
      </c>
      <c r="G496" s="12"/>
      <c r="H496" s="12"/>
      <c r="I496" s="12"/>
      <c r="J496" s="17" t="str">
        <f aca="false">IF(I496="","",IF(COUNTIF(Emplacements!$A$2:$A$1001,I496)=0,"⚠ emplacement inconnu",IF(AND(H496&lt;&gt;"",LEFT(I496,1)&lt;&gt;H496),"⚠ mauvaise zone","OK")))</f>
        <v/>
      </c>
      <c r="K496" s="12"/>
      <c r="L496" s="12"/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7" t="str">
        <f aca="false">IF(B497="","",TRIM(B497&amp;" "&amp;C497&amp;" "&amp;D497))</f>
        <v/>
      </c>
      <c r="G497" s="12"/>
      <c r="H497" s="12"/>
      <c r="I497" s="12"/>
      <c r="J497" s="17" t="str">
        <f aca="false">IF(I497="","",IF(COUNTIF(Emplacements!$A$2:$A$1001,I497)=0,"⚠ emplacement inconnu",IF(AND(H497&lt;&gt;"",LEFT(I497,1)&lt;&gt;H497),"⚠ mauvaise zone","OK")))</f>
        <v/>
      </c>
      <c r="K497" s="12"/>
      <c r="L497" s="12"/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7" t="str">
        <f aca="false">IF(B498="","",TRIM(B498&amp;" "&amp;C498&amp;" "&amp;D498))</f>
        <v/>
      </c>
      <c r="G498" s="12"/>
      <c r="H498" s="12"/>
      <c r="I498" s="12"/>
      <c r="J498" s="17" t="str">
        <f aca="false">IF(I498="","",IF(COUNTIF(Emplacements!$A$2:$A$1001,I498)=0,"⚠ emplacement inconnu",IF(AND(H498&lt;&gt;"",LEFT(I498,1)&lt;&gt;H498),"⚠ mauvaise zone","OK")))</f>
        <v/>
      </c>
      <c r="K498" s="12"/>
      <c r="L498" s="12"/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7" t="str">
        <f aca="false">IF(B499="","",TRIM(B499&amp;" "&amp;C499&amp;" "&amp;D499))</f>
        <v/>
      </c>
      <c r="G499" s="12"/>
      <c r="H499" s="12"/>
      <c r="I499" s="12"/>
      <c r="J499" s="17" t="str">
        <f aca="false">IF(I499="","",IF(COUNTIF(Emplacements!$A$2:$A$1001,I499)=0,"⚠ emplacement inconnu",IF(AND(H499&lt;&gt;"",LEFT(I499,1)&lt;&gt;H499),"⚠ mauvaise zone","OK")))</f>
        <v/>
      </c>
      <c r="K499" s="12"/>
      <c r="L499" s="12"/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7" t="str">
        <f aca="false">IF(B500="","",TRIM(B500&amp;" "&amp;C500&amp;" "&amp;D500))</f>
        <v/>
      </c>
      <c r="G500" s="12"/>
      <c r="H500" s="12"/>
      <c r="I500" s="12"/>
      <c r="J500" s="17" t="str">
        <f aca="false">IF(I500="","",IF(COUNTIF(Emplacements!$A$2:$A$1001,I500)=0,"⚠ emplacement inconnu",IF(AND(H500&lt;&gt;"",LEFT(I500,1)&lt;&gt;H500),"⚠ mauvaise zone","OK")))</f>
        <v/>
      </c>
      <c r="K500" s="12"/>
      <c r="L500" s="12"/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7" t="str">
        <f aca="false">IF(B501="","",TRIM(B501&amp;" "&amp;C501&amp;" "&amp;D501))</f>
        <v/>
      </c>
      <c r="G501" s="12"/>
      <c r="H501" s="12"/>
      <c r="I501" s="12"/>
      <c r="J501" s="17" t="str">
        <f aca="false">IF(I501="","",IF(COUNTIF(Emplacements!$A$2:$A$1001,I501)=0,"⚠ emplacement inconnu",IF(AND(H501&lt;&gt;"",LEFT(I501,1)&lt;&gt;H501),"⚠ mauvaise zone","OK")))</f>
        <v/>
      </c>
      <c r="K501" s="12"/>
      <c r="L501" s="12"/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7" t="str">
        <f aca="false">IF(B502="","",TRIM(B502&amp;" "&amp;C502&amp;" "&amp;D502))</f>
        <v/>
      </c>
      <c r="G502" s="12"/>
      <c r="H502" s="12"/>
      <c r="I502" s="12"/>
      <c r="J502" s="17" t="str">
        <f aca="false">IF(I502="","",IF(COUNTIF(Emplacements!$A$2:$A$1001,I502)=0,"⚠ emplacement inconnu",IF(AND(H502&lt;&gt;"",LEFT(I502,1)&lt;&gt;H502),"⚠ mauvaise zone","OK")))</f>
        <v/>
      </c>
      <c r="K502" s="12"/>
      <c r="L502" s="12"/>
    </row>
    <row r="503" customFormat="false" ht="15" hidden="false" customHeight="false" outlineLevel="0" collapsed="false">
      <c r="A503" s="12"/>
      <c r="B503" s="12"/>
      <c r="C503" s="12"/>
      <c r="D503" s="12"/>
      <c r="E503" s="12"/>
      <c r="F503" s="17" t="str">
        <f aca="false">IF(B503="","",TRIM(B503&amp;" "&amp;C503&amp;" "&amp;D503))</f>
        <v/>
      </c>
      <c r="G503" s="12"/>
      <c r="H503" s="12"/>
      <c r="I503" s="12"/>
      <c r="J503" s="17" t="str">
        <f aca="false">IF(I503="","",IF(COUNTIF(Emplacements!$A$2:$A$1001,I503)=0,"⚠ emplacement inconnu",IF(AND(H503&lt;&gt;"",LEFT(I503,1)&lt;&gt;H503),"⚠ mauvaise zone","OK")))</f>
        <v/>
      </c>
      <c r="K503" s="12"/>
      <c r="L503" s="12"/>
    </row>
    <row r="504" customFormat="false" ht="15" hidden="false" customHeight="false" outlineLevel="0" collapsed="false">
      <c r="A504" s="12"/>
      <c r="B504" s="12"/>
      <c r="C504" s="12"/>
      <c r="D504" s="12"/>
      <c r="E504" s="12"/>
      <c r="F504" s="17" t="str">
        <f aca="false">IF(B504="","",TRIM(B504&amp;" "&amp;C504&amp;" "&amp;D504))</f>
        <v/>
      </c>
      <c r="G504" s="12"/>
      <c r="H504" s="12"/>
      <c r="I504" s="12"/>
      <c r="J504" s="17" t="str">
        <f aca="false">IF(I504="","",IF(COUNTIF(Emplacements!$A$2:$A$1001,I504)=0,"⚠ emplacement inconnu",IF(AND(H504&lt;&gt;"",LEFT(I504,1)&lt;&gt;H504),"⚠ mauvaise zone","OK")))</f>
        <v/>
      </c>
      <c r="K504" s="12"/>
      <c r="L504" s="12"/>
    </row>
    <row r="505" customFormat="false" ht="15" hidden="false" customHeight="false" outlineLevel="0" collapsed="false">
      <c r="A505" s="12"/>
      <c r="B505" s="12"/>
      <c r="C505" s="12"/>
      <c r="D505" s="12"/>
      <c r="E505" s="12"/>
      <c r="F505" s="17" t="str">
        <f aca="false">IF(B505="","",TRIM(B505&amp;" "&amp;C505&amp;" "&amp;D505))</f>
        <v/>
      </c>
      <c r="G505" s="12"/>
      <c r="H505" s="12"/>
      <c r="I505" s="12"/>
      <c r="J505" s="17" t="str">
        <f aca="false">IF(I505="","",IF(COUNTIF(Emplacements!$A$2:$A$1001,I505)=0,"⚠ emplacement inconnu",IF(AND(H505&lt;&gt;"",LEFT(I505,1)&lt;&gt;H505),"⚠ mauvaise zone","OK")))</f>
        <v/>
      </c>
      <c r="K505" s="12"/>
      <c r="L505" s="12"/>
    </row>
    <row r="506" customFormat="false" ht="15" hidden="false" customHeight="false" outlineLevel="0" collapsed="false">
      <c r="A506" s="12"/>
      <c r="B506" s="12"/>
      <c r="C506" s="12"/>
      <c r="D506" s="12"/>
      <c r="E506" s="12"/>
      <c r="F506" s="17" t="str">
        <f aca="false">IF(B506="","",TRIM(B506&amp;" "&amp;C506&amp;" "&amp;D506))</f>
        <v/>
      </c>
      <c r="G506" s="12"/>
      <c r="H506" s="12"/>
      <c r="I506" s="12"/>
      <c r="J506" s="17" t="str">
        <f aca="false">IF(I506="","",IF(COUNTIF(Emplacements!$A$2:$A$1001,I506)=0,"⚠ emplacement inconnu",IF(AND(H506&lt;&gt;"",LEFT(I506,1)&lt;&gt;H506),"⚠ mauvaise zone","OK")))</f>
        <v/>
      </c>
      <c r="K506" s="12"/>
      <c r="L506" s="12"/>
    </row>
    <row r="507" customFormat="false" ht="15" hidden="false" customHeight="false" outlineLevel="0" collapsed="false">
      <c r="A507" s="12"/>
      <c r="B507" s="12"/>
      <c r="C507" s="12"/>
      <c r="D507" s="12"/>
      <c r="E507" s="12"/>
      <c r="F507" s="17" t="str">
        <f aca="false">IF(B507="","",TRIM(B507&amp;" "&amp;C507&amp;" "&amp;D507))</f>
        <v/>
      </c>
      <c r="G507" s="12"/>
      <c r="H507" s="12"/>
      <c r="I507" s="12"/>
      <c r="J507" s="17" t="str">
        <f aca="false">IF(I507="","",IF(COUNTIF(Emplacements!$A$2:$A$1001,I507)=0,"⚠ emplacement inconnu",IF(AND(H507&lt;&gt;"",LEFT(I507,1)&lt;&gt;H507),"⚠ mauvaise zone","OK")))</f>
        <v/>
      </c>
      <c r="K507" s="12"/>
      <c r="L507" s="12"/>
    </row>
    <row r="508" customFormat="false" ht="15" hidden="false" customHeight="false" outlineLevel="0" collapsed="false">
      <c r="A508" s="12"/>
      <c r="B508" s="12"/>
      <c r="C508" s="12"/>
      <c r="D508" s="12"/>
      <c r="E508" s="12"/>
      <c r="F508" s="17" t="str">
        <f aca="false">IF(B508="","",TRIM(B508&amp;" "&amp;C508&amp;" "&amp;D508))</f>
        <v/>
      </c>
      <c r="G508" s="12"/>
      <c r="H508" s="12"/>
      <c r="I508" s="12"/>
      <c r="J508" s="17" t="str">
        <f aca="false">IF(I508="","",IF(COUNTIF(Emplacements!$A$2:$A$1001,I508)=0,"⚠ emplacement inconnu",IF(AND(H508&lt;&gt;"",LEFT(I508,1)&lt;&gt;H508),"⚠ mauvaise zone","OK")))</f>
        <v/>
      </c>
      <c r="K508" s="12"/>
      <c r="L508" s="12"/>
    </row>
    <row r="509" customFormat="false" ht="15" hidden="false" customHeight="false" outlineLevel="0" collapsed="false">
      <c r="A509" s="12"/>
      <c r="B509" s="12"/>
      <c r="C509" s="12"/>
      <c r="D509" s="12"/>
      <c r="E509" s="12"/>
      <c r="F509" s="17" t="str">
        <f aca="false">IF(B509="","",TRIM(B509&amp;" "&amp;C509&amp;" "&amp;D509))</f>
        <v/>
      </c>
      <c r="G509" s="12"/>
      <c r="H509" s="12"/>
      <c r="I509" s="12"/>
      <c r="J509" s="17" t="str">
        <f aca="false">IF(I509="","",IF(COUNTIF(Emplacements!$A$2:$A$1001,I509)=0,"⚠ emplacement inconnu",IF(AND(H509&lt;&gt;"",LEFT(I509,1)&lt;&gt;H509),"⚠ mauvaise zone","OK")))</f>
        <v/>
      </c>
      <c r="K509" s="12"/>
      <c r="L509" s="12"/>
    </row>
    <row r="510" customFormat="false" ht="15" hidden="false" customHeight="false" outlineLevel="0" collapsed="false">
      <c r="A510" s="12"/>
      <c r="B510" s="12"/>
      <c r="C510" s="12"/>
      <c r="D510" s="12"/>
      <c r="E510" s="12"/>
      <c r="F510" s="17" t="str">
        <f aca="false">IF(B510="","",TRIM(B510&amp;" "&amp;C510&amp;" "&amp;D510))</f>
        <v/>
      </c>
      <c r="G510" s="12"/>
      <c r="H510" s="12"/>
      <c r="I510" s="12"/>
      <c r="J510" s="17" t="str">
        <f aca="false">IF(I510="","",IF(COUNTIF(Emplacements!$A$2:$A$1001,I510)=0,"⚠ emplacement inconnu",IF(AND(H510&lt;&gt;"",LEFT(I510,1)&lt;&gt;H510),"⚠ mauvaise zone","OK")))</f>
        <v/>
      </c>
      <c r="K510" s="12"/>
      <c r="L510" s="12"/>
    </row>
    <row r="511" customFormat="false" ht="15" hidden="false" customHeight="false" outlineLevel="0" collapsed="false">
      <c r="A511" s="12"/>
      <c r="B511" s="12"/>
      <c r="C511" s="12"/>
      <c r="D511" s="12"/>
      <c r="E511" s="12"/>
      <c r="F511" s="17" t="str">
        <f aca="false">IF(B511="","",TRIM(B511&amp;" "&amp;C511&amp;" "&amp;D511))</f>
        <v/>
      </c>
      <c r="G511" s="12"/>
      <c r="H511" s="12"/>
      <c r="I511" s="12"/>
      <c r="J511" s="17" t="str">
        <f aca="false">IF(I511="","",IF(COUNTIF(Emplacements!$A$2:$A$1001,I511)=0,"⚠ emplacement inconnu",IF(AND(H511&lt;&gt;"",LEFT(I511,1)&lt;&gt;H511),"⚠ mauvaise zone","OK")))</f>
        <v/>
      </c>
      <c r="K511" s="12"/>
      <c r="L511" s="12"/>
    </row>
    <row r="512" customFormat="false" ht="15" hidden="false" customHeight="false" outlineLevel="0" collapsed="false">
      <c r="A512" s="12"/>
      <c r="B512" s="12"/>
      <c r="C512" s="12"/>
      <c r="D512" s="12"/>
      <c r="E512" s="12"/>
      <c r="F512" s="17" t="str">
        <f aca="false">IF(B512="","",TRIM(B512&amp;" "&amp;C512&amp;" "&amp;D512))</f>
        <v/>
      </c>
      <c r="G512" s="12"/>
      <c r="H512" s="12"/>
      <c r="I512" s="12"/>
      <c r="J512" s="17" t="str">
        <f aca="false">IF(I512="","",IF(COUNTIF(Emplacements!$A$2:$A$1001,I512)=0,"⚠ emplacement inconnu",IF(AND(H512&lt;&gt;"",LEFT(I512,1)&lt;&gt;H512),"⚠ mauvaise zone","OK")))</f>
        <v/>
      </c>
      <c r="K512" s="12"/>
      <c r="L512" s="12"/>
    </row>
    <row r="513" customFormat="false" ht="15" hidden="false" customHeight="false" outlineLevel="0" collapsed="false">
      <c r="A513" s="12"/>
      <c r="B513" s="12"/>
      <c r="C513" s="12"/>
      <c r="D513" s="12"/>
      <c r="E513" s="12"/>
      <c r="F513" s="17" t="str">
        <f aca="false">IF(B513="","",TRIM(B513&amp;" "&amp;C513&amp;" "&amp;D513))</f>
        <v/>
      </c>
      <c r="G513" s="12"/>
      <c r="H513" s="12"/>
      <c r="I513" s="12"/>
      <c r="J513" s="17" t="str">
        <f aca="false">IF(I513="","",IF(COUNTIF(Emplacements!$A$2:$A$1001,I513)=0,"⚠ emplacement inconnu",IF(AND(H513&lt;&gt;"",LEFT(I513,1)&lt;&gt;H513),"⚠ mauvaise zone","OK")))</f>
        <v/>
      </c>
      <c r="K513" s="12"/>
      <c r="L513" s="12"/>
    </row>
    <row r="514" customFormat="false" ht="15" hidden="false" customHeight="false" outlineLevel="0" collapsed="false">
      <c r="A514" s="12"/>
      <c r="B514" s="12"/>
      <c r="C514" s="12"/>
      <c r="D514" s="12"/>
      <c r="E514" s="12"/>
      <c r="F514" s="17" t="str">
        <f aca="false">IF(B514="","",TRIM(B514&amp;" "&amp;C514&amp;" "&amp;D514))</f>
        <v/>
      </c>
      <c r="G514" s="12"/>
      <c r="H514" s="12"/>
      <c r="I514" s="12"/>
      <c r="J514" s="17" t="str">
        <f aca="false">IF(I514="","",IF(COUNTIF(Emplacements!$A$2:$A$1001,I514)=0,"⚠ emplacement inconnu",IF(AND(H514&lt;&gt;"",LEFT(I514,1)&lt;&gt;H514),"⚠ mauvaise zone","OK")))</f>
        <v/>
      </c>
      <c r="K514" s="12"/>
      <c r="L514" s="12"/>
    </row>
    <row r="515" customFormat="false" ht="15" hidden="false" customHeight="false" outlineLevel="0" collapsed="false">
      <c r="A515" s="12"/>
      <c r="B515" s="12"/>
      <c r="C515" s="12"/>
      <c r="D515" s="12"/>
      <c r="E515" s="12"/>
      <c r="F515" s="17" t="str">
        <f aca="false">IF(B515="","",TRIM(B515&amp;" "&amp;C515&amp;" "&amp;D515))</f>
        <v/>
      </c>
      <c r="G515" s="12"/>
      <c r="H515" s="12"/>
      <c r="I515" s="12"/>
      <c r="J515" s="17" t="str">
        <f aca="false">IF(I515="","",IF(COUNTIF(Emplacements!$A$2:$A$1001,I515)=0,"⚠ emplacement inconnu",IF(AND(H515&lt;&gt;"",LEFT(I515,1)&lt;&gt;H515),"⚠ mauvaise zone","OK")))</f>
        <v/>
      </c>
      <c r="K515" s="12"/>
      <c r="L515" s="12"/>
    </row>
    <row r="516" customFormat="false" ht="15" hidden="false" customHeight="false" outlineLevel="0" collapsed="false">
      <c r="A516" s="12"/>
      <c r="B516" s="12"/>
      <c r="C516" s="12"/>
      <c r="D516" s="12"/>
      <c r="E516" s="12"/>
      <c r="F516" s="17" t="str">
        <f aca="false">IF(B516="","",TRIM(B516&amp;" "&amp;C516&amp;" "&amp;D516))</f>
        <v/>
      </c>
      <c r="G516" s="12"/>
      <c r="H516" s="12"/>
      <c r="I516" s="12"/>
      <c r="J516" s="17" t="str">
        <f aca="false">IF(I516="","",IF(COUNTIF(Emplacements!$A$2:$A$1001,I516)=0,"⚠ emplacement inconnu",IF(AND(H516&lt;&gt;"",LEFT(I516,1)&lt;&gt;H516),"⚠ mauvaise zone","OK")))</f>
        <v/>
      </c>
      <c r="K516" s="12"/>
      <c r="L516" s="12"/>
    </row>
    <row r="517" customFormat="false" ht="15" hidden="false" customHeight="false" outlineLevel="0" collapsed="false">
      <c r="A517" s="12"/>
      <c r="B517" s="12"/>
      <c r="C517" s="12"/>
      <c r="D517" s="12"/>
      <c r="E517" s="12"/>
      <c r="F517" s="17" t="str">
        <f aca="false">IF(B517="","",TRIM(B517&amp;" "&amp;C517&amp;" "&amp;D517))</f>
        <v/>
      </c>
      <c r="G517" s="12"/>
      <c r="H517" s="12"/>
      <c r="I517" s="12"/>
      <c r="J517" s="17" t="str">
        <f aca="false">IF(I517="","",IF(COUNTIF(Emplacements!$A$2:$A$1001,I517)=0,"⚠ emplacement inconnu",IF(AND(H517&lt;&gt;"",LEFT(I517,1)&lt;&gt;H517),"⚠ mauvaise zone","OK")))</f>
        <v/>
      </c>
      <c r="K517" s="12"/>
      <c r="L517" s="12"/>
    </row>
    <row r="518" customFormat="false" ht="15" hidden="false" customHeight="false" outlineLevel="0" collapsed="false">
      <c r="A518" s="12"/>
      <c r="B518" s="12"/>
      <c r="C518" s="12"/>
      <c r="D518" s="12"/>
      <c r="E518" s="12"/>
      <c r="F518" s="17" t="str">
        <f aca="false">IF(B518="","",TRIM(B518&amp;" "&amp;C518&amp;" "&amp;D518))</f>
        <v/>
      </c>
      <c r="G518" s="12"/>
      <c r="H518" s="12"/>
      <c r="I518" s="12"/>
      <c r="J518" s="17" t="str">
        <f aca="false">IF(I518="","",IF(COUNTIF(Emplacements!$A$2:$A$1001,I518)=0,"⚠ emplacement inconnu",IF(AND(H518&lt;&gt;"",LEFT(I518,1)&lt;&gt;H518),"⚠ mauvaise zone","OK")))</f>
        <v/>
      </c>
      <c r="K518" s="12"/>
      <c r="L518" s="12"/>
    </row>
    <row r="519" customFormat="false" ht="15" hidden="false" customHeight="false" outlineLevel="0" collapsed="false">
      <c r="A519" s="12"/>
      <c r="B519" s="12"/>
      <c r="C519" s="12"/>
      <c r="D519" s="12"/>
      <c r="E519" s="12"/>
      <c r="F519" s="17" t="str">
        <f aca="false">IF(B519="","",TRIM(B519&amp;" "&amp;C519&amp;" "&amp;D519))</f>
        <v/>
      </c>
      <c r="G519" s="12"/>
      <c r="H519" s="12"/>
      <c r="I519" s="12"/>
      <c r="J519" s="17" t="str">
        <f aca="false">IF(I519="","",IF(COUNTIF(Emplacements!$A$2:$A$1001,I519)=0,"⚠ emplacement inconnu",IF(AND(H519&lt;&gt;"",LEFT(I519,1)&lt;&gt;H519),"⚠ mauvaise zone","OK")))</f>
        <v/>
      </c>
      <c r="K519" s="12"/>
      <c r="L519" s="12"/>
    </row>
    <row r="520" customFormat="false" ht="15" hidden="false" customHeight="false" outlineLevel="0" collapsed="false">
      <c r="A520" s="12"/>
      <c r="B520" s="12"/>
      <c r="C520" s="12"/>
      <c r="D520" s="12"/>
      <c r="E520" s="12"/>
      <c r="F520" s="17" t="str">
        <f aca="false">IF(B520="","",TRIM(B520&amp;" "&amp;C520&amp;" "&amp;D520))</f>
        <v/>
      </c>
      <c r="G520" s="12"/>
      <c r="H520" s="12"/>
      <c r="I520" s="12"/>
      <c r="J520" s="17" t="str">
        <f aca="false">IF(I520="","",IF(COUNTIF(Emplacements!$A$2:$A$1001,I520)=0,"⚠ emplacement inconnu",IF(AND(H520&lt;&gt;"",LEFT(I520,1)&lt;&gt;H520),"⚠ mauvaise zone","OK")))</f>
        <v/>
      </c>
      <c r="K520" s="12"/>
      <c r="L520" s="12"/>
    </row>
    <row r="521" customFormat="false" ht="15" hidden="false" customHeight="false" outlineLevel="0" collapsed="false">
      <c r="A521" s="12"/>
      <c r="B521" s="12"/>
      <c r="C521" s="12"/>
      <c r="D521" s="12"/>
      <c r="E521" s="12"/>
      <c r="F521" s="17" t="str">
        <f aca="false">IF(B521="","",TRIM(B521&amp;" "&amp;C521&amp;" "&amp;D521))</f>
        <v/>
      </c>
      <c r="G521" s="12"/>
      <c r="H521" s="12"/>
      <c r="I521" s="12"/>
      <c r="J521" s="17" t="str">
        <f aca="false">IF(I521="","",IF(COUNTIF(Emplacements!$A$2:$A$1001,I521)=0,"⚠ emplacement inconnu",IF(AND(H521&lt;&gt;"",LEFT(I521,1)&lt;&gt;H521),"⚠ mauvaise zone","OK")))</f>
        <v/>
      </c>
      <c r="K521" s="12"/>
      <c r="L521" s="12"/>
    </row>
    <row r="522" customFormat="false" ht="15" hidden="false" customHeight="false" outlineLevel="0" collapsed="false">
      <c r="A522" s="12"/>
      <c r="B522" s="12"/>
      <c r="C522" s="12"/>
      <c r="D522" s="12"/>
      <c r="E522" s="12"/>
      <c r="F522" s="17" t="str">
        <f aca="false">IF(B522="","",TRIM(B522&amp;" "&amp;C522&amp;" "&amp;D522))</f>
        <v/>
      </c>
      <c r="G522" s="12"/>
      <c r="H522" s="12"/>
      <c r="I522" s="12"/>
      <c r="J522" s="17" t="str">
        <f aca="false">IF(I522="","",IF(COUNTIF(Emplacements!$A$2:$A$1001,I522)=0,"⚠ emplacement inconnu",IF(AND(H522&lt;&gt;"",LEFT(I522,1)&lt;&gt;H522),"⚠ mauvaise zone","OK")))</f>
        <v/>
      </c>
      <c r="K522" s="12"/>
      <c r="L522" s="12"/>
    </row>
    <row r="523" customFormat="false" ht="15" hidden="false" customHeight="false" outlineLevel="0" collapsed="false">
      <c r="A523" s="12"/>
      <c r="B523" s="12"/>
      <c r="C523" s="12"/>
      <c r="D523" s="12"/>
      <c r="E523" s="12"/>
      <c r="F523" s="17" t="str">
        <f aca="false">IF(B523="","",TRIM(B523&amp;" "&amp;C523&amp;" "&amp;D523))</f>
        <v/>
      </c>
      <c r="G523" s="12"/>
      <c r="H523" s="12"/>
      <c r="I523" s="12"/>
      <c r="J523" s="17" t="str">
        <f aca="false">IF(I523="","",IF(COUNTIF(Emplacements!$A$2:$A$1001,I523)=0,"⚠ emplacement inconnu",IF(AND(H523&lt;&gt;"",LEFT(I523,1)&lt;&gt;H523),"⚠ mauvaise zone","OK")))</f>
        <v/>
      </c>
      <c r="K523" s="12"/>
      <c r="L523" s="12"/>
    </row>
    <row r="524" customFormat="false" ht="15" hidden="false" customHeight="false" outlineLevel="0" collapsed="false">
      <c r="A524" s="12"/>
      <c r="B524" s="12"/>
      <c r="C524" s="12"/>
      <c r="D524" s="12"/>
      <c r="E524" s="12"/>
      <c r="F524" s="17" t="str">
        <f aca="false">IF(B524="","",TRIM(B524&amp;" "&amp;C524&amp;" "&amp;D524))</f>
        <v/>
      </c>
      <c r="G524" s="12"/>
      <c r="H524" s="12"/>
      <c r="I524" s="12"/>
      <c r="J524" s="17" t="str">
        <f aca="false">IF(I524="","",IF(COUNTIF(Emplacements!$A$2:$A$1001,I524)=0,"⚠ emplacement inconnu",IF(AND(H524&lt;&gt;"",LEFT(I524,1)&lt;&gt;H524),"⚠ mauvaise zone","OK")))</f>
        <v/>
      </c>
      <c r="K524" s="12"/>
      <c r="L524" s="12"/>
    </row>
    <row r="525" customFormat="false" ht="15" hidden="false" customHeight="false" outlineLevel="0" collapsed="false">
      <c r="A525" s="12"/>
      <c r="B525" s="12"/>
      <c r="C525" s="12"/>
      <c r="D525" s="12"/>
      <c r="E525" s="12"/>
      <c r="F525" s="17" t="str">
        <f aca="false">IF(B525="","",TRIM(B525&amp;" "&amp;C525&amp;" "&amp;D525))</f>
        <v/>
      </c>
      <c r="G525" s="12"/>
      <c r="H525" s="12"/>
      <c r="I525" s="12"/>
      <c r="J525" s="17" t="str">
        <f aca="false">IF(I525="","",IF(COUNTIF(Emplacements!$A$2:$A$1001,I525)=0,"⚠ emplacement inconnu",IF(AND(H525&lt;&gt;"",LEFT(I525,1)&lt;&gt;H525),"⚠ mauvaise zone","OK")))</f>
        <v/>
      </c>
      <c r="K525" s="12"/>
      <c r="L525" s="12"/>
    </row>
    <row r="526" customFormat="false" ht="15" hidden="false" customHeight="false" outlineLevel="0" collapsed="false">
      <c r="A526" s="12"/>
      <c r="B526" s="12"/>
      <c r="C526" s="12"/>
      <c r="D526" s="12"/>
      <c r="E526" s="12"/>
      <c r="F526" s="17" t="str">
        <f aca="false">IF(B526="","",TRIM(B526&amp;" "&amp;C526&amp;" "&amp;D526))</f>
        <v/>
      </c>
      <c r="G526" s="12"/>
      <c r="H526" s="12"/>
      <c r="I526" s="12"/>
      <c r="J526" s="17" t="str">
        <f aca="false">IF(I526="","",IF(COUNTIF(Emplacements!$A$2:$A$1001,I526)=0,"⚠ emplacement inconnu",IF(AND(H526&lt;&gt;"",LEFT(I526,1)&lt;&gt;H526),"⚠ mauvaise zone","OK")))</f>
        <v/>
      </c>
      <c r="K526" s="12"/>
      <c r="L526" s="12"/>
    </row>
    <row r="527" customFormat="false" ht="15" hidden="false" customHeight="false" outlineLevel="0" collapsed="false">
      <c r="A527" s="12"/>
      <c r="B527" s="12"/>
      <c r="C527" s="12"/>
      <c r="D527" s="12"/>
      <c r="E527" s="12"/>
      <c r="F527" s="17" t="str">
        <f aca="false">IF(B527="","",TRIM(B527&amp;" "&amp;C527&amp;" "&amp;D527))</f>
        <v/>
      </c>
      <c r="G527" s="12"/>
      <c r="H527" s="12"/>
      <c r="I527" s="12"/>
      <c r="J527" s="17" t="str">
        <f aca="false">IF(I527="","",IF(COUNTIF(Emplacements!$A$2:$A$1001,I527)=0,"⚠ emplacement inconnu",IF(AND(H527&lt;&gt;"",LEFT(I527,1)&lt;&gt;H527),"⚠ mauvaise zone","OK")))</f>
        <v/>
      </c>
      <c r="K527" s="12"/>
      <c r="L527" s="12"/>
    </row>
    <row r="528" customFormat="false" ht="15" hidden="false" customHeight="false" outlineLevel="0" collapsed="false">
      <c r="A528" s="12"/>
      <c r="B528" s="12"/>
      <c r="C528" s="12"/>
      <c r="D528" s="12"/>
      <c r="E528" s="12"/>
      <c r="F528" s="17" t="str">
        <f aca="false">IF(B528="","",TRIM(B528&amp;" "&amp;C528&amp;" "&amp;D528))</f>
        <v/>
      </c>
      <c r="G528" s="12"/>
      <c r="H528" s="12"/>
      <c r="I528" s="12"/>
      <c r="J528" s="17" t="str">
        <f aca="false">IF(I528="","",IF(COUNTIF(Emplacements!$A$2:$A$1001,I528)=0,"⚠ emplacement inconnu",IF(AND(H528&lt;&gt;"",LEFT(I528,1)&lt;&gt;H528),"⚠ mauvaise zone","OK")))</f>
        <v/>
      </c>
      <c r="K528" s="12"/>
      <c r="L528" s="12"/>
    </row>
    <row r="529" customFormat="false" ht="15" hidden="false" customHeight="false" outlineLevel="0" collapsed="false">
      <c r="A529" s="12"/>
      <c r="B529" s="12"/>
      <c r="C529" s="12"/>
      <c r="D529" s="12"/>
      <c r="E529" s="12"/>
      <c r="F529" s="17" t="str">
        <f aca="false">IF(B529="","",TRIM(B529&amp;" "&amp;C529&amp;" "&amp;D529))</f>
        <v/>
      </c>
      <c r="G529" s="12"/>
      <c r="H529" s="12"/>
      <c r="I529" s="12"/>
      <c r="J529" s="17" t="str">
        <f aca="false">IF(I529="","",IF(COUNTIF(Emplacements!$A$2:$A$1001,I529)=0,"⚠ emplacement inconnu",IF(AND(H529&lt;&gt;"",LEFT(I529,1)&lt;&gt;H529),"⚠ mauvaise zone","OK")))</f>
        <v/>
      </c>
      <c r="K529" s="12"/>
      <c r="L529" s="12"/>
    </row>
    <row r="530" customFormat="false" ht="15" hidden="false" customHeight="false" outlineLevel="0" collapsed="false">
      <c r="A530" s="12"/>
      <c r="B530" s="12"/>
      <c r="C530" s="12"/>
      <c r="D530" s="12"/>
      <c r="E530" s="12"/>
      <c r="F530" s="17" t="str">
        <f aca="false">IF(B530="","",TRIM(B530&amp;" "&amp;C530&amp;" "&amp;D530))</f>
        <v/>
      </c>
      <c r="G530" s="12"/>
      <c r="H530" s="12"/>
      <c r="I530" s="12"/>
      <c r="J530" s="17" t="str">
        <f aca="false">IF(I530="","",IF(COUNTIF(Emplacements!$A$2:$A$1001,I530)=0,"⚠ emplacement inconnu",IF(AND(H530&lt;&gt;"",LEFT(I530,1)&lt;&gt;H530),"⚠ mauvaise zone","OK")))</f>
        <v/>
      </c>
      <c r="K530" s="12"/>
      <c r="L530" s="12"/>
    </row>
    <row r="531" customFormat="false" ht="15" hidden="false" customHeight="false" outlineLevel="0" collapsed="false">
      <c r="A531" s="12"/>
      <c r="B531" s="12"/>
      <c r="C531" s="12"/>
      <c r="D531" s="12"/>
      <c r="E531" s="12"/>
      <c r="F531" s="17" t="str">
        <f aca="false">IF(B531="","",TRIM(B531&amp;" "&amp;C531&amp;" "&amp;D531))</f>
        <v/>
      </c>
      <c r="G531" s="12"/>
      <c r="H531" s="12"/>
      <c r="I531" s="12"/>
      <c r="J531" s="17" t="str">
        <f aca="false">IF(I531="","",IF(COUNTIF(Emplacements!$A$2:$A$1001,I531)=0,"⚠ emplacement inconnu",IF(AND(H531&lt;&gt;"",LEFT(I531,1)&lt;&gt;H531),"⚠ mauvaise zone","OK")))</f>
        <v/>
      </c>
      <c r="K531" s="12"/>
      <c r="L531" s="12"/>
    </row>
    <row r="532" customFormat="false" ht="15" hidden="false" customHeight="false" outlineLevel="0" collapsed="false">
      <c r="A532" s="12"/>
      <c r="B532" s="12"/>
      <c r="C532" s="12"/>
      <c r="D532" s="12"/>
      <c r="E532" s="12"/>
      <c r="F532" s="17" t="str">
        <f aca="false">IF(B532="","",TRIM(B532&amp;" "&amp;C532&amp;" "&amp;D532))</f>
        <v/>
      </c>
      <c r="G532" s="12"/>
      <c r="H532" s="12"/>
      <c r="I532" s="12"/>
      <c r="J532" s="17" t="str">
        <f aca="false">IF(I532="","",IF(COUNTIF(Emplacements!$A$2:$A$1001,I532)=0,"⚠ emplacement inconnu",IF(AND(H532&lt;&gt;"",LEFT(I532,1)&lt;&gt;H532),"⚠ mauvaise zone","OK")))</f>
        <v/>
      </c>
      <c r="K532" s="12"/>
      <c r="L532" s="12"/>
    </row>
    <row r="533" customFormat="false" ht="15" hidden="false" customHeight="false" outlineLevel="0" collapsed="false">
      <c r="A533" s="12"/>
      <c r="B533" s="12"/>
      <c r="C533" s="12"/>
      <c r="D533" s="12"/>
      <c r="E533" s="12"/>
      <c r="F533" s="17" t="str">
        <f aca="false">IF(B533="","",TRIM(B533&amp;" "&amp;C533&amp;" "&amp;D533))</f>
        <v/>
      </c>
      <c r="G533" s="12"/>
      <c r="H533" s="12"/>
      <c r="I533" s="12"/>
      <c r="J533" s="17" t="str">
        <f aca="false">IF(I533="","",IF(COUNTIF(Emplacements!$A$2:$A$1001,I533)=0,"⚠ emplacement inconnu",IF(AND(H533&lt;&gt;"",LEFT(I533,1)&lt;&gt;H533),"⚠ mauvaise zone","OK")))</f>
        <v/>
      </c>
      <c r="K533" s="12"/>
      <c r="L533" s="12"/>
    </row>
    <row r="534" customFormat="false" ht="15" hidden="false" customHeight="false" outlineLevel="0" collapsed="false">
      <c r="A534" s="12"/>
      <c r="B534" s="12"/>
      <c r="C534" s="12"/>
      <c r="D534" s="12"/>
      <c r="E534" s="12"/>
      <c r="F534" s="17" t="str">
        <f aca="false">IF(B534="","",TRIM(B534&amp;" "&amp;C534&amp;" "&amp;D534))</f>
        <v/>
      </c>
      <c r="G534" s="12"/>
      <c r="H534" s="12"/>
      <c r="I534" s="12"/>
      <c r="J534" s="17" t="str">
        <f aca="false">IF(I534="","",IF(COUNTIF(Emplacements!$A$2:$A$1001,I534)=0,"⚠ emplacement inconnu",IF(AND(H534&lt;&gt;"",LEFT(I534,1)&lt;&gt;H534),"⚠ mauvaise zone","OK")))</f>
        <v/>
      </c>
      <c r="K534" s="12"/>
      <c r="L534" s="12"/>
    </row>
    <row r="535" customFormat="false" ht="15" hidden="false" customHeight="false" outlineLevel="0" collapsed="false">
      <c r="A535" s="12"/>
      <c r="B535" s="12"/>
      <c r="C535" s="12"/>
      <c r="D535" s="12"/>
      <c r="E535" s="12"/>
      <c r="F535" s="17" t="str">
        <f aca="false">IF(B535="","",TRIM(B535&amp;" "&amp;C535&amp;" "&amp;D535))</f>
        <v/>
      </c>
      <c r="G535" s="12"/>
      <c r="H535" s="12"/>
      <c r="I535" s="12"/>
      <c r="J535" s="17" t="str">
        <f aca="false">IF(I535="","",IF(COUNTIF(Emplacements!$A$2:$A$1001,I535)=0,"⚠ emplacement inconnu",IF(AND(H535&lt;&gt;"",LEFT(I535,1)&lt;&gt;H535),"⚠ mauvaise zone","OK")))</f>
        <v/>
      </c>
      <c r="K535" s="12"/>
      <c r="L535" s="12"/>
    </row>
    <row r="536" customFormat="false" ht="15" hidden="false" customHeight="false" outlineLevel="0" collapsed="false">
      <c r="A536" s="12"/>
      <c r="B536" s="12"/>
      <c r="C536" s="12"/>
      <c r="D536" s="12"/>
      <c r="E536" s="12"/>
      <c r="F536" s="17" t="str">
        <f aca="false">IF(B536="","",TRIM(B536&amp;" "&amp;C536&amp;" "&amp;D536))</f>
        <v/>
      </c>
      <c r="G536" s="12"/>
      <c r="H536" s="12"/>
      <c r="I536" s="12"/>
      <c r="J536" s="17" t="str">
        <f aca="false">IF(I536="","",IF(COUNTIF(Emplacements!$A$2:$A$1001,I536)=0,"⚠ emplacement inconnu",IF(AND(H536&lt;&gt;"",LEFT(I536,1)&lt;&gt;H536),"⚠ mauvaise zone","OK")))</f>
        <v/>
      </c>
      <c r="K536" s="12"/>
      <c r="L536" s="12"/>
    </row>
    <row r="537" customFormat="false" ht="15" hidden="false" customHeight="false" outlineLevel="0" collapsed="false">
      <c r="A537" s="12"/>
      <c r="B537" s="12"/>
      <c r="C537" s="12"/>
      <c r="D537" s="12"/>
      <c r="E537" s="12"/>
      <c r="F537" s="17" t="str">
        <f aca="false">IF(B537="","",TRIM(B537&amp;" "&amp;C537&amp;" "&amp;D537))</f>
        <v/>
      </c>
      <c r="G537" s="12"/>
      <c r="H537" s="12"/>
      <c r="I537" s="12"/>
      <c r="J537" s="17" t="str">
        <f aca="false">IF(I537="","",IF(COUNTIF(Emplacements!$A$2:$A$1001,I537)=0,"⚠ emplacement inconnu",IF(AND(H537&lt;&gt;"",LEFT(I537,1)&lt;&gt;H537),"⚠ mauvaise zone","OK")))</f>
        <v/>
      </c>
      <c r="K537" s="12"/>
      <c r="L537" s="12"/>
    </row>
    <row r="538" customFormat="false" ht="15" hidden="false" customHeight="false" outlineLevel="0" collapsed="false">
      <c r="A538" s="12"/>
      <c r="B538" s="12"/>
      <c r="C538" s="12"/>
      <c r="D538" s="12"/>
      <c r="E538" s="12"/>
      <c r="F538" s="17" t="str">
        <f aca="false">IF(B538="","",TRIM(B538&amp;" "&amp;C538&amp;" "&amp;D538))</f>
        <v/>
      </c>
      <c r="G538" s="12"/>
      <c r="H538" s="12"/>
      <c r="I538" s="12"/>
      <c r="J538" s="17" t="str">
        <f aca="false">IF(I538="","",IF(COUNTIF(Emplacements!$A$2:$A$1001,I538)=0,"⚠ emplacement inconnu",IF(AND(H538&lt;&gt;"",LEFT(I538,1)&lt;&gt;H538),"⚠ mauvaise zone","OK")))</f>
        <v/>
      </c>
      <c r="K538" s="12"/>
      <c r="L538" s="12"/>
    </row>
    <row r="539" customFormat="false" ht="15" hidden="false" customHeight="false" outlineLevel="0" collapsed="false">
      <c r="A539" s="12"/>
      <c r="B539" s="12"/>
      <c r="C539" s="12"/>
      <c r="D539" s="12"/>
      <c r="E539" s="12"/>
      <c r="F539" s="17" t="str">
        <f aca="false">IF(B539="","",TRIM(B539&amp;" "&amp;C539&amp;" "&amp;D539))</f>
        <v/>
      </c>
      <c r="G539" s="12"/>
      <c r="H539" s="12"/>
      <c r="I539" s="12"/>
      <c r="J539" s="17" t="str">
        <f aca="false">IF(I539="","",IF(COUNTIF(Emplacements!$A$2:$A$1001,I539)=0,"⚠ emplacement inconnu",IF(AND(H539&lt;&gt;"",LEFT(I539,1)&lt;&gt;H539),"⚠ mauvaise zone","OK")))</f>
        <v/>
      </c>
      <c r="K539" s="12"/>
      <c r="L539" s="12"/>
    </row>
    <row r="540" customFormat="false" ht="15" hidden="false" customHeight="false" outlineLevel="0" collapsed="false">
      <c r="A540" s="12"/>
      <c r="B540" s="12"/>
      <c r="C540" s="12"/>
      <c r="D540" s="12"/>
      <c r="E540" s="12"/>
      <c r="F540" s="17" t="str">
        <f aca="false">IF(B540="","",TRIM(B540&amp;" "&amp;C540&amp;" "&amp;D540))</f>
        <v/>
      </c>
      <c r="G540" s="12"/>
      <c r="H540" s="12"/>
      <c r="I540" s="12"/>
      <c r="J540" s="17" t="str">
        <f aca="false">IF(I540="","",IF(COUNTIF(Emplacements!$A$2:$A$1001,I540)=0,"⚠ emplacement inconnu",IF(AND(H540&lt;&gt;"",LEFT(I540,1)&lt;&gt;H540),"⚠ mauvaise zone","OK")))</f>
        <v/>
      </c>
      <c r="K540" s="12"/>
      <c r="L540" s="12"/>
    </row>
    <row r="541" customFormat="false" ht="15" hidden="false" customHeight="false" outlineLevel="0" collapsed="false">
      <c r="A541" s="12"/>
      <c r="B541" s="12"/>
      <c r="C541" s="12"/>
      <c r="D541" s="12"/>
      <c r="E541" s="12"/>
      <c r="F541" s="17" t="str">
        <f aca="false">IF(B541="","",TRIM(B541&amp;" "&amp;C541&amp;" "&amp;D541))</f>
        <v/>
      </c>
      <c r="G541" s="12"/>
      <c r="H541" s="12"/>
      <c r="I541" s="12"/>
      <c r="J541" s="17" t="str">
        <f aca="false">IF(I541="","",IF(COUNTIF(Emplacements!$A$2:$A$1001,I541)=0,"⚠ emplacement inconnu",IF(AND(H541&lt;&gt;"",LEFT(I541,1)&lt;&gt;H541),"⚠ mauvaise zone","OK")))</f>
        <v/>
      </c>
      <c r="K541" s="12"/>
      <c r="L541" s="12"/>
    </row>
    <row r="542" customFormat="false" ht="15" hidden="false" customHeight="false" outlineLevel="0" collapsed="false">
      <c r="A542" s="12"/>
      <c r="B542" s="12"/>
      <c r="C542" s="12"/>
      <c r="D542" s="12"/>
      <c r="E542" s="12"/>
      <c r="F542" s="17" t="str">
        <f aca="false">IF(B542="","",TRIM(B542&amp;" "&amp;C542&amp;" "&amp;D542))</f>
        <v/>
      </c>
      <c r="G542" s="12"/>
      <c r="H542" s="12"/>
      <c r="I542" s="12"/>
      <c r="J542" s="17" t="str">
        <f aca="false">IF(I542="","",IF(COUNTIF(Emplacements!$A$2:$A$1001,I542)=0,"⚠ emplacement inconnu",IF(AND(H542&lt;&gt;"",LEFT(I542,1)&lt;&gt;H542),"⚠ mauvaise zone","OK")))</f>
        <v/>
      </c>
      <c r="K542" s="12"/>
      <c r="L542" s="12"/>
    </row>
    <row r="543" customFormat="false" ht="15" hidden="false" customHeight="false" outlineLevel="0" collapsed="false">
      <c r="A543" s="12"/>
      <c r="B543" s="12"/>
      <c r="C543" s="12"/>
      <c r="D543" s="12"/>
      <c r="E543" s="12"/>
      <c r="F543" s="17" t="str">
        <f aca="false">IF(B543="","",TRIM(B543&amp;" "&amp;C543&amp;" "&amp;D543))</f>
        <v/>
      </c>
      <c r="G543" s="12"/>
      <c r="H543" s="12"/>
      <c r="I543" s="12"/>
      <c r="J543" s="17" t="str">
        <f aca="false">IF(I543="","",IF(COUNTIF(Emplacements!$A$2:$A$1001,I543)=0,"⚠ emplacement inconnu",IF(AND(H543&lt;&gt;"",LEFT(I543,1)&lt;&gt;H543),"⚠ mauvaise zone","OK")))</f>
        <v/>
      </c>
      <c r="K543" s="12"/>
      <c r="L543" s="12"/>
    </row>
    <row r="544" customFormat="false" ht="15" hidden="false" customHeight="false" outlineLevel="0" collapsed="false">
      <c r="A544" s="12"/>
      <c r="B544" s="12"/>
      <c r="C544" s="12"/>
      <c r="D544" s="12"/>
      <c r="E544" s="12"/>
      <c r="F544" s="17" t="str">
        <f aca="false">IF(B544="","",TRIM(B544&amp;" "&amp;C544&amp;" "&amp;D544))</f>
        <v/>
      </c>
      <c r="G544" s="12"/>
      <c r="H544" s="12"/>
      <c r="I544" s="12"/>
      <c r="J544" s="17" t="str">
        <f aca="false">IF(I544="","",IF(COUNTIF(Emplacements!$A$2:$A$1001,I544)=0,"⚠ emplacement inconnu",IF(AND(H544&lt;&gt;"",LEFT(I544,1)&lt;&gt;H544),"⚠ mauvaise zone","OK")))</f>
        <v/>
      </c>
      <c r="K544" s="12"/>
      <c r="L544" s="12"/>
    </row>
    <row r="545" customFormat="false" ht="15" hidden="false" customHeight="false" outlineLevel="0" collapsed="false">
      <c r="A545" s="12"/>
      <c r="B545" s="12"/>
      <c r="C545" s="12"/>
      <c r="D545" s="12"/>
      <c r="E545" s="12"/>
      <c r="F545" s="17" t="str">
        <f aca="false">IF(B545="","",TRIM(B545&amp;" "&amp;C545&amp;" "&amp;D545))</f>
        <v/>
      </c>
      <c r="G545" s="12"/>
      <c r="H545" s="12"/>
      <c r="I545" s="12"/>
      <c r="J545" s="17" t="str">
        <f aca="false">IF(I545="","",IF(COUNTIF(Emplacements!$A$2:$A$1001,I545)=0,"⚠ emplacement inconnu",IF(AND(H545&lt;&gt;"",LEFT(I545,1)&lt;&gt;H545),"⚠ mauvaise zone","OK")))</f>
        <v/>
      </c>
      <c r="K545" s="12"/>
      <c r="L545" s="12"/>
    </row>
    <row r="546" customFormat="false" ht="15" hidden="false" customHeight="false" outlineLevel="0" collapsed="false">
      <c r="A546" s="12"/>
      <c r="B546" s="12"/>
      <c r="C546" s="12"/>
      <c r="D546" s="12"/>
      <c r="E546" s="12"/>
      <c r="F546" s="17" t="str">
        <f aca="false">IF(B546="","",TRIM(B546&amp;" "&amp;C546&amp;" "&amp;D546))</f>
        <v/>
      </c>
      <c r="G546" s="12"/>
      <c r="H546" s="12"/>
      <c r="I546" s="12"/>
      <c r="J546" s="17" t="str">
        <f aca="false">IF(I546="","",IF(COUNTIF(Emplacements!$A$2:$A$1001,I546)=0,"⚠ emplacement inconnu",IF(AND(H546&lt;&gt;"",LEFT(I546,1)&lt;&gt;H546),"⚠ mauvaise zone","OK")))</f>
        <v/>
      </c>
      <c r="K546" s="12"/>
      <c r="L546" s="12"/>
    </row>
    <row r="547" customFormat="false" ht="15" hidden="false" customHeight="false" outlineLevel="0" collapsed="false">
      <c r="A547" s="12"/>
      <c r="B547" s="12"/>
      <c r="C547" s="12"/>
      <c r="D547" s="12"/>
      <c r="E547" s="12"/>
      <c r="F547" s="17" t="str">
        <f aca="false">IF(B547="","",TRIM(B547&amp;" "&amp;C547&amp;" "&amp;D547))</f>
        <v/>
      </c>
      <c r="G547" s="12"/>
      <c r="H547" s="12"/>
      <c r="I547" s="12"/>
      <c r="J547" s="17" t="str">
        <f aca="false">IF(I547="","",IF(COUNTIF(Emplacements!$A$2:$A$1001,I547)=0,"⚠ emplacement inconnu",IF(AND(H547&lt;&gt;"",LEFT(I547,1)&lt;&gt;H547),"⚠ mauvaise zone","OK")))</f>
        <v/>
      </c>
      <c r="K547" s="12"/>
      <c r="L547" s="12"/>
    </row>
    <row r="548" customFormat="false" ht="15" hidden="false" customHeight="false" outlineLevel="0" collapsed="false">
      <c r="A548" s="12"/>
      <c r="B548" s="12"/>
      <c r="C548" s="12"/>
      <c r="D548" s="12"/>
      <c r="E548" s="12"/>
      <c r="F548" s="17" t="str">
        <f aca="false">IF(B548="","",TRIM(B548&amp;" "&amp;C548&amp;" "&amp;D548))</f>
        <v/>
      </c>
      <c r="G548" s="12"/>
      <c r="H548" s="12"/>
      <c r="I548" s="12"/>
      <c r="J548" s="17" t="str">
        <f aca="false">IF(I548="","",IF(COUNTIF(Emplacements!$A$2:$A$1001,I548)=0,"⚠ emplacement inconnu",IF(AND(H548&lt;&gt;"",LEFT(I548,1)&lt;&gt;H548),"⚠ mauvaise zone","OK")))</f>
        <v/>
      </c>
      <c r="K548" s="12"/>
      <c r="L548" s="12"/>
    </row>
    <row r="549" customFormat="false" ht="15" hidden="false" customHeight="false" outlineLevel="0" collapsed="false">
      <c r="A549" s="12"/>
      <c r="B549" s="12"/>
      <c r="C549" s="12"/>
      <c r="D549" s="12"/>
      <c r="E549" s="12"/>
      <c r="F549" s="17" t="str">
        <f aca="false">IF(B549="","",TRIM(B549&amp;" "&amp;C549&amp;" "&amp;D549))</f>
        <v/>
      </c>
      <c r="G549" s="12"/>
      <c r="H549" s="12"/>
      <c r="I549" s="12"/>
      <c r="J549" s="17" t="str">
        <f aca="false">IF(I549="","",IF(COUNTIF(Emplacements!$A$2:$A$1001,I549)=0,"⚠ emplacement inconnu",IF(AND(H549&lt;&gt;"",LEFT(I549,1)&lt;&gt;H549),"⚠ mauvaise zone","OK")))</f>
        <v/>
      </c>
      <c r="K549" s="12"/>
      <c r="L549" s="12"/>
    </row>
    <row r="550" customFormat="false" ht="15" hidden="false" customHeight="false" outlineLevel="0" collapsed="false">
      <c r="A550" s="12"/>
      <c r="B550" s="12"/>
      <c r="C550" s="12"/>
      <c r="D550" s="12"/>
      <c r="E550" s="12"/>
      <c r="F550" s="17" t="str">
        <f aca="false">IF(B550="","",TRIM(B550&amp;" "&amp;C550&amp;" "&amp;D550))</f>
        <v/>
      </c>
      <c r="G550" s="12"/>
      <c r="H550" s="12"/>
      <c r="I550" s="12"/>
      <c r="J550" s="17" t="str">
        <f aca="false">IF(I550="","",IF(COUNTIF(Emplacements!$A$2:$A$1001,I550)=0,"⚠ emplacement inconnu",IF(AND(H550&lt;&gt;"",LEFT(I550,1)&lt;&gt;H550),"⚠ mauvaise zone","OK")))</f>
        <v/>
      </c>
      <c r="K550" s="12"/>
      <c r="L550" s="12"/>
    </row>
    <row r="551" customFormat="false" ht="15" hidden="false" customHeight="false" outlineLevel="0" collapsed="false">
      <c r="A551" s="12"/>
      <c r="B551" s="12"/>
      <c r="C551" s="12"/>
      <c r="D551" s="12"/>
      <c r="E551" s="12"/>
      <c r="F551" s="17" t="str">
        <f aca="false">IF(B551="","",TRIM(B551&amp;" "&amp;C551&amp;" "&amp;D551))</f>
        <v/>
      </c>
      <c r="G551" s="12"/>
      <c r="H551" s="12"/>
      <c r="I551" s="12"/>
      <c r="J551" s="17" t="str">
        <f aca="false">IF(I551="","",IF(COUNTIF(Emplacements!$A$2:$A$1001,I551)=0,"⚠ emplacement inconnu",IF(AND(H551&lt;&gt;"",LEFT(I551,1)&lt;&gt;H551),"⚠ mauvaise zone","OK")))</f>
        <v/>
      </c>
      <c r="K551" s="12"/>
      <c r="L551" s="12"/>
    </row>
    <row r="552" customFormat="false" ht="15" hidden="false" customHeight="false" outlineLevel="0" collapsed="false">
      <c r="A552" s="12"/>
      <c r="B552" s="12"/>
      <c r="C552" s="12"/>
      <c r="D552" s="12"/>
      <c r="E552" s="12"/>
      <c r="F552" s="17" t="str">
        <f aca="false">IF(B552="","",TRIM(B552&amp;" "&amp;C552&amp;" "&amp;D552))</f>
        <v/>
      </c>
      <c r="G552" s="12"/>
      <c r="H552" s="12"/>
      <c r="I552" s="12"/>
      <c r="J552" s="17" t="str">
        <f aca="false">IF(I552="","",IF(COUNTIF(Emplacements!$A$2:$A$1001,I552)=0,"⚠ emplacement inconnu",IF(AND(H552&lt;&gt;"",LEFT(I552,1)&lt;&gt;H552),"⚠ mauvaise zone","OK")))</f>
        <v/>
      </c>
      <c r="K552" s="12"/>
      <c r="L552" s="12"/>
    </row>
    <row r="553" customFormat="false" ht="15" hidden="false" customHeight="false" outlineLevel="0" collapsed="false">
      <c r="A553" s="12"/>
      <c r="B553" s="12"/>
      <c r="C553" s="12"/>
      <c r="D553" s="12"/>
      <c r="E553" s="12"/>
      <c r="F553" s="17" t="str">
        <f aca="false">IF(B553="","",TRIM(B553&amp;" "&amp;C553&amp;" "&amp;D553))</f>
        <v/>
      </c>
      <c r="G553" s="12"/>
      <c r="H553" s="12"/>
      <c r="I553" s="12"/>
      <c r="J553" s="17" t="str">
        <f aca="false">IF(I553="","",IF(COUNTIF(Emplacements!$A$2:$A$1001,I553)=0,"⚠ emplacement inconnu",IF(AND(H553&lt;&gt;"",LEFT(I553,1)&lt;&gt;H553),"⚠ mauvaise zone","OK")))</f>
        <v/>
      </c>
      <c r="K553" s="12"/>
      <c r="L553" s="12"/>
    </row>
    <row r="554" customFormat="false" ht="15" hidden="false" customHeight="false" outlineLevel="0" collapsed="false">
      <c r="A554" s="12"/>
      <c r="B554" s="12"/>
      <c r="C554" s="12"/>
      <c r="D554" s="12"/>
      <c r="E554" s="12"/>
      <c r="F554" s="17" t="str">
        <f aca="false">IF(B554="","",TRIM(B554&amp;" "&amp;C554&amp;" "&amp;D554))</f>
        <v/>
      </c>
      <c r="G554" s="12"/>
      <c r="H554" s="12"/>
      <c r="I554" s="12"/>
      <c r="J554" s="17" t="str">
        <f aca="false">IF(I554="","",IF(COUNTIF(Emplacements!$A$2:$A$1001,I554)=0,"⚠ emplacement inconnu",IF(AND(H554&lt;&gt;"",LEFT(I554,1)&lt;&gt;H554),"⚠ mauvaise zone","OK")))</f>
        <v/>
      </c>
      <c r="K554" s="12"/>
      <c r="L554" s="12"/>
    </row>
    <row r="555" customFormat="false" ht="15" hidden="false" customHeight="false" outlineLevel="0" collapsed="false">
      <c r="A555" s="12"/>
      <c r="B555" s="12"/>
      <c r="C555" s="12"/>
      <c r="D555" s="12"/>
      <c r="E555" s="12"/>
      <c r="F555" s="17" t="str">
        <f aca="false">IF(B555="","",TRIM(B555&amp;" "&amp;C555&amp;" "&amp;D555))</f>
        <v/>
      </c>
      <c r="G555" s="12"/>
      <c r="H555" s="12"/>
      <c r="I555" s="12"/>
      <c r="J555" s="17" t="str">
        <f aca="false">IF(I555="","",IF(COUNTIF(Emplacements!$A$2:$A$1001,I555)=0,"⚠ emplacement inconnu",IF(AND(H555&lt;&gt;"",LEFT(I555,1)&lt;&gt;H555),"⚠ mauvaise zone","OK")))</f>
        <v/>
      </c>
      <c r="K555" s="12"/>
      <c r="L555" s="12"/>
    </row>
    <row r="556" customFormat="false" ht="15" hidden="false" customHeight="false" outlineLevel="0" collapsed="false">
      <c r="A556" s="12"/>
      <c r="B556" s="12"/>
      <c r="C556" s="12"/>
      <c r="D556" s="12"/>
      <c r="E556" s="12"/>
      <c r="F556" s="17" t="str">
        <f aca="false">IF(B556="","",TRIM(B556&amp;" "&amp;C556&amp;" "&amp;D556))</f>
        <v/>
      </c>
      <c r="G556" s="12"/>
      <c r="H556" s="12"/>
      <c r="I556" s="12"/>
      <c r="J556" s="17" t="str">
        <f aca="false">IF(I556="","",IF(COUNTIF(Emplacements!$A$2:$A$1001,I556)=0,"⚠ emplacement inconnu",IF(AND(H556&lt;&gt;"",LEFT(I556,1)&lt;&gt;H556),"⚠ mauvaise zone","OK")))</f>
        <v/>
      </c>
      <c r="K556" s="12"/>
      <c r="L556" s="12"/>
    </row>
    <row r="557" customFormat="false" ht="15" hidden="false" customHeight="false" outlineLevel="0" collapsed="false">
      <c r="A557" s="12"/>
      <c r="B557" s="12"/>
      <c r="C557" s="12"/>
      <c r="D557" s="12"/>
      <c r="E557" s="12"/>
      <c r="F557" s="17" t="str">
        <f aca="false">IF(B557="","",TRIM(B557&amp;" "&amp;C557&amp;" "&amp;D557))</f>
        <v/>
      </c>
      <c r="G557" s="12"/>
      <c r="H557" s="12"/>
      <c r="I557" s="12"/>
      <c r="J557" s="17" t="str">
        <f aca="false">IF(I557="","",IF(COUNTIF(Emplacements!$A$2:$A$1001,I557)=0,"⚠ emplacement inconnu",IF(AND(H557&lt;&gt;"",LEFT(I557,1)&lt;&gt;H557),"⚠ mauvaise zone","OK")))</f>
        <v/>
      </c>
      <c r="K557" s="12"/>
      <c r="L557" s="12"/>
    </row>
    <row r="558" customFormat="false" ht="15" hidden="false" customHeight="false" outlineLevel="0" collapsed="false">
      <c r="A558" s="12"/>
      <c r="B558" s="12"/>
      <c r="C558" s="12"/>
      <c r="D558" s="12"/>
      <c r="E558" s="12"/>
      <c r="F558" s="17" t="str">
        <f aca="false">IF(B558="","",TRIM(B558&amp;" "&amp;C558&amp;" "&amp;D558))</f>
        <v/>
      </c>
      <c r="G558" s="12"/>
      <c r="H558" s="12"/>
      <c r="I558" s="12"/>
      <c r="J558" s="17" t="str">
        <f aca="false">IF(I558="","",IF(COUNTIF(Emplacements!$A$2:$A$1001,I558)=0,"⚠ emplacement inconnu",IF(AND(H558&lt;&gt;"",LEFT(I558,1)&lt;&gt;H558),"⚠ mauvaise zone","OK")))</f>
        <v/>
      </c>
      <c r="K558" s="12"/>
      <c r="L558" s="12"/>
    </row>
    <row r="559" customFormat="false" ht="15" hidden="false" customHeight="false" outlineLevel="0" collapsed="false">
      <c r="A559" s="12"/>
      <c r="B559" s="12"/>
      <c r="C559" s="12"/>
      <c r="D559" s="12"/>
      <c r="E559" s="12"/>
      <c r="F559" s="17" t="str">
        <f aca="false">IF(B559="","",TRIM(B559&amp;" "&amp;C559&amp;" "&amp;D559))</f>
        <v/>
      </c>
      <c r="G559" s="12"/>
      <c r="H559" s="12"/>
      <c r="I559" s="12"/>
      <c r="J559" s="17" t="str">
        <f aca="false">IF(I559="","",IF(COUNTIF(Emplacements!$A$2:$A$1001,I559)=0,"⚠ emplacement inconnu",IF(AND(H559&lt;&gt;"",LEFT(I559,1)&lt;&gt;H559),"⚠ mauvaise zone","OK")))</f>
        <v/>
      </c>
      <c r="K559" s="12"/>
      <c r="L559" s="12"/>
    </row>
    <row r="560" customFormat="false" ht="15" hidden="false" customHeight="false" outlineLevel="0" collapsed="false">
      <c r="A560" s="12"/>
      <c r="B560" s="12"/>
      <c r="C560" s="12"/>
      <c r="D560" s="12"/>
      <c r="E560" s="12"/>
      <c r="F560" s="17" t="str">
        <f aca="false">IF(B560="","",TRIM(B560&amp;" "&amp;C560&amp;" "&amp;D560))</f>
        <v/>
      </c>
      <c r="G560" s="12"/>
      <c r="H560" s="12"/>
      <c r="I560" s="12"/>
      <c r="J560" s="17" t="str">
        <f aca="false">IF(I560="","",IF(COUNTIF(Emplacements!$A$2:$A$1001,I560)=0,"⚠ emplacement inconnu",IF(AND(H560&lt;&gt;"",LEFT(I560,1)&lt;&gt;H560),"⚠ mauvaise zone","OK")))</f>
        <v/>
      </c>
      <c r="K560" s="12"/>
      <c r="L560" s="12"/>
    </row>
    <row r="561" customFormat="false" ht="15" hidden="false" customHeight="false" outlineLevel="0" collapsed="false">
      <c r="A561" s="12"/>
      <c r="B561" s="12"/>
      <c r="C561" s="12"/>
      <c r="D561" s="12"/>
      <c r="E561" s="12"/>
      <c r="F561" s="17" t="str">
        <f aca="false">IF(B561="","",TRIM(B561&amp;" "&amp;C561&amp;" "&amp;D561))</f>
        <v/>
      </c>
      <c r="G561" s="12"/>
      <c r="H561" s="12"/>
      <c r="I561" s="12"/>
      <c r="J561" s="17" t="str">
        <f aca="false">IF(I561="","",IF(COUNTIF(Emplacements!$A$2:$A$1001,I561)=0,"⚠ emplacement inconnu",IF(AND(H561&lt;&gt;"",LEFT(I561,1)&lt;&gt;H561),"⚠ mauvaise zone","OK")))</f>
        <v/>
      </c>
      <c r="K561" s="12"/>
      <c r="L561" s="12"/>
    </row>
    <row r="562" customFormat="false" ht="15" hidden="false" customHeight="false" outlineLevel="0" collapsed="false">
      <c r="A562" s="12"/>
      <c r="B562" s="12"/>
      <c r="C562" s="12"/>
      <c r="D562" s="12"/>
      <c r="E562" s="12"/>
      <c r="F562" s="17" t="str">
        <f aca="false">IF(B562="","",TRIM(B562&amp;" "&amp;C562&amp;" "&amp;D562))</f>
        <v/>
      </c>
      <c r="G562" s="12"/>
      <c r="H562" s="12"/>
      <c r="I562" s="12"/>
      <c r="J562" s="17" t="str">
        <f aca="false">IF(I562="","",IF(COUNTIF(Emplacements!$A$2:$A$1001,I562)=0,"⚠ emplacement inconnu",IF(AND(H562&lt;&gt;"",LEFT(I562,1)&lt;&gt;H562),"⚠ mauvaise zone","OK")))</f>
        <v/>
      </c>
      <c r="K562" s="12"/>
      <c r="L562" s="12"/>
    </row>
    <row r="563" customFormat="false" ht="15" hidden="false" customHeight="false" outlineLevel="0" collapsed="false">
      <c r="A563" s="12"/>
      <c r="B563" s="12"/>
      <c r="C563" s="12"/>
      <c r="D563" s="12"/>
      <c r="E563" s="12"/>
      <c r="F563" s="17" t="str">
        <f aca="false">IF(B563="","",TRIM(B563&amp;" "&amp;C563&amp;" "&amp;D563))</f>
        <v/>
      </c>
      <c r="G563" s="12"/>
      <c r="H563" s="12"/>
      <c r="I563" s="12"/>
      <c r="J563" s="17" t="str">
        <f aca="false">IF(I563="","",IF(COUNTIF(Emplacements!$A$2:$A$1001,I563)=0,"⚠ emplacement inconnu",IF(AND(H563&lt;&gt;"",LEFT(I563,1)&lt;&gt;H563),"⚠ mauvaise zone","OK")))</f>
        <v/>
      </c>
      <c r="K563" s="12"/>
      <c r="L563" s="12"/>
    </row>
    <row r="564" customFormat="false" ht="15" hidden="false" customHeight="false" outlineLevel="0" collapsed="false">
      <c r="A564" s="12"/>
      <c r="B564" s="12"/>
      <c r="C564" s="12"/>
      <c r="D564" s="12"/>
      <c r="E564" s="12"/>
      <c r="F564" s="17" t="str">
        <f aca="false">IF(B564="","",TRIM(B564&amp;" "&amp;C564&amp;" "&amp;D564))</f>
        <v/>
      </c>
      <c r="G564" s="12"/>
      <c r="H564" s="12"/>
      <c r="I564" s="12"/>
      <c r="J564" s="17" t="str">
        <f aca="false">IF(I564="","",IF(COUNTIF(Emplacements!$A$2:$A$1001,I564)=0,"⚠ emplacement inconnu",IF(AND(H564&lt;&gt;"",LEFT(I564,1)&lt;&gt;H564),"⚠ mauvaise zone","OK")))</f>
        <v/>
      </c>
      <c r="K564" s="12"/>
      <c r="L564" s="12"/>
    </row>
    <row r="565" customFormat="false" ht="15" hidden="false" customHeight="false" outlineLevel="0" collapsed="false">
      <c r="A565" s="12"/>
      <c r="B565" s="12"/>
      <c r="C565" s="12"/>
      <c r="D565" s="12"/>
      <c r="E565" s="12"/>
      <c r="F565" s="17" t="str">
        <f aca="false">IF(B565="","",TRIM(B565&amp;" "&amp;C565&amp;" "&amp;D565))</f>
        <v/>
      </c>
      <c r="G565" s="12"/>
      <c r="H565" s="12"/>
      <c r="I565" s="12"/>
      <c r="J565" s="17" t="str">
        <f aca="false">IF(I565="","",IF(COUNTIF(Emplacements!$A$2:$A$1001,I565)=0,"⚠ emplacement inconnu",IF(AND(H565&lt;&gt;"",LEFT(I565,1)&lt;&gt;H565),"⚠ mauvaise zone","OK")))</f>
        <v/>
      </c>
      <c r="K565" s="12"/>
      <c r="L565" s="12"/>
    </row>
    <row r="566" customFormat="false" ht="15" hidden="false" customHeight="false" outlineLevel="0" collapsed="false">
      <c r="A566" s="12"/>
      <c r="B566" s="12"/>
      <c r="C566" s="12"/>
      <c r="D566" s="12"/>
      <c r="E566" s="12"/>
      <c r="F566" s="17" t="str">
        <f aca="false">IF(B566="","",TRIM(B566&amp;" "&amp;C566&amp;" "&amp;D566))</f>
        <v/>
      </c>
      <c r="G566" s="12"/>
      <c r="H566" s="12"/>
      <c r="I566" s="12"/>
      <c r="J566" s="17" t="str">
        <f aca="false">IF(I566="","",IF(COUNTIF(Emplacements!$A$2:$A$1001,I566)=0,"⚠ emplacement inconnu",IF(AND(H566&lt;&gt;"",LEFT(I566,1)&lt;&gt;H566),"⚠ mauvaise zone","OK")))</f>
        <v/>
      </c>
      <c r="K566" s="12"/>
      <c r="L566" s="12"/>
    </row>
    <row r="567" customFormat="false" ht="15" hidden="false" customHeight="false" outlineLevel="0" collapsed="false">
      <c r="A567" s="12"/>
      <c r="B567" s="12"/>
      <c r="C567" s="12"/>
      <c r="D567" s="12"/>
      <c r="E567" s="12"/>
      <c r="F567" s="17" t="str">
        <f aca="false">IF(B567="","",TRIM(B567&amp;" "&amp;C567&amp;" "&amp;D567))</f>
        <v/>
      </c>
      <c r="G567" s="12"/>
      <c r="H567" s="12"/>
      <c r="I567" s="12"/>
      <c r="J567" s="17" t="str">
        <f aca="false">IF(I567="","",IF(COUNTIF(Emplacements!$A$2:$A$1001,I567)=0,"⚠ emplacement inconnu",IF(AND(H567&lt;&gt;"",LEFT(I567,1)&lt;&gt;H567),"⚠ mauvaise zone","OK")))</f>
        <v/>
      </c>
      <c r="K567" s="12"/>
      <c r="L567" s="12"/>
    </row>
    <row r="568" customFormat="false" ht="15" hidden="false" customHeight="false" outlineLevel="0" collapsed="false">
      <c r="A568" s="12"/>
      <c r="B568" s="12"/>
      <c r="C568" s="12"/>
      <c r="D568" s="12"/>
      <c r="E568" s="12"/>
      <c r="F568" s="17" t="str">
        <f aca="false">IF(B568="","",TRIM(B568&amp;" "&amp;C568&amp;" "&amp;D568))</f>
        <v/>
      </c>
      <c r="G568" s="12"/>
      <c r="H568" s="12"/>
      <c r="I568" s="12"/>
      <c r="J568" s="17" t="str">
        <f aca="false">IF(I568="","",IF(COUNTIF(Emplacements!$A$2:$A$1001,I568)=0,"⚠ emplacement inconnu",IF(AND(H568&lt;&gt;"",LEFT(I568,1)&lt;&gt;H568),"⚠ mauvaise zone","OK")))</f>
        <v/>
      </c>
      <c r="K568" s="12"/>
      <c r="L568" s="12"/>
    </row>
    <row r="569" customFormat="false" ht="15" hidden="false" customHeight="false" outlineLevel="0" collapsed="false">
      <c r="A569" s="12"/>
      <c r="B569" s="12"/>
      <c r="C569" s="12"/>
      <c r="D569" s="12"/>
      <c r="E569" s="12"/>
      <c r="F569" s="17" t="str">
        <f aca="false">IF(B569="","",TRIM(B569&amp;" "&amp;C569&amp;" "&amp;D569))</f>
        <v/>
      </c>
      <c r="G569" s="12"/>
      <c r="H569" s="12"/>
      <c r="I569" s="12"/>
      <c r="J569" s="17" t="str">
        <f aca="false">IF(I569="","",IF(COUNTIF(Emplacements!$A$2:$A$1001,I569)=0,"⚠ emplacement inconnu",IF(AND(H569&lt;&gt;"",LEFT(I569,1)&lt;&gt;H569),"⚠ mauvaise zone","OK")))</f>
        <v/>
      </c>
      <c r="K569" s="12"/>
      <c r="L569" s="12"/>
    </row>
    <row r="570" customFormat="false" ht="15" hidden="false" customHeight="false" outlineLevel="0" collapsed="false">
      <c r="A570" s="12"/>
      <c r="B570" s="12"/>
      <c r="C570" s="12"/>
      <c r="D570" s="12"/>
      <c r="E570" s="12"/>
      <c r="F570" s="17" t="str">
        <f aca="false">IF(B570="","",TRIM(B570&amp;" "&amp;C570&amp;" "&amp;D570))</f>
        <v/>
      </c>
      <c r="G570" s="12"/>
      <c r="H570" s="12"/>
      <c r="I570" s="12"/>
      <c r="J570" s="17" t="str">
        <f aca="false">IF(I570="","",IF(COUNTIF(Emplacements!$A$2:$A$1001,I570)=0,"⚠ emplacement inconnu",IF(AND(H570&lt;&gt;"",LEFT(I570,1)&lt;&gt;H570),"⚠ mauvaise zone","OK")))</f>
        <v/>
      </c>
      <c r="K570" s="12"/>
      <c r="L570" s="12"/>
    </row>
    <row r="571" customFormat="false" ht="15" hidden="false" customHeight="false" outlineLevel="0" collapsed="false">
      <c r="A571" s="12"/>
      <c r="B571" s="12"/>
      <c r="C571" s="12"/>
      <c r="D571" s="12"/>
      <c r="E571" s="12"/>
      <c r="F571" s="17" t="str">
        <f aca="false">IF(B571="","",TRIM(B571&amp;" "&amp;C571&amp;" "&amp;D571))</f>
        <v/>
      </c>
      <c r="G571" s="12"/>
      <c r="H571" s="12"/>
      <c r="I571" s="12"/>
      <c r="J571" s="17" t="str">
        <f aca="false">IF(I571="","",IF(COUNTIF(Emplacements!$A$2:$A$1001,I571)=0,"⚠ emplacement inconnu",IF(AND(H571&lt;&gt;"",LEFT(I571,1)&lt;&gt;H571),"⚠ mauvaise zone","OK")))</f>
        <v/>
      </c>
      <c r="K571" s="12"/>
      <c r="L571" s="12"/>
    </row>
    <row r="572" customFormat="false" ht="15" hidden="false" customHeight="false" outlineLevel="0" collapsed="false">
      <c r="A572" s="12"/>
      <c r="B572" s="12"/>
      <c r="C572" s="12"/>
      <c r="D572" s="12"/>
      <c r="E572" s="12"/>
      <c r="F572" s="17" t="str">
        <f aca="false">IF(B572="","",TRIM(B572&amp;" "&amp;C572&amp;" "&amp;D572))</f>
        <v/>
      </c>
      <c r="G572" s="12"/>
      <c r="H572" s="12"/>
      <c r="I572" s="12"/>
      <c r="J572" s="17" t="str">
        <f aca="false">IF(I572="","",IF(COUNTIF(Emplacements!$A$2:$A$1001,I572)=0,"⚠ emplacement inconnu",IF(AND(H572&lt;&gt;"",LEFT(I572,1)&lt;&gt;H572),"⚠ mauvaise zone","OK")))</f>
        <v/>
      </c>
      <c r="K572" s="12"/>
      <c r="L572" s="12"/>
    </row>
    <row r="573" customFormat="false" ht="15" hidden="false" customHeight="false" outlineLevel="0" collapsed="false">
      <c r="A573" s="12"/>
      <c r="B573" s="12"/>
      <c r="C573" s="12"/>
      <c r="D573" s="12"/>
      <c r="E573" s="12"/>
      <c r="F573" s="17" t="str">
        <f aca="false">IF(B573="","",TRIM(B573&amp;" "&amp;C573&amp;" "&amp;D573))</f>
        <v/>
      </c>
      <c r="G573" s="12"/>
      <c r="H573" s="12"/>
      <c r="I573" s="12"/>
      <c r="J573" s="17" t="str">
        <f aca="false">IF(I573="","",IF(COUNTIF(Emplacements!$A$2:$A$1001,I573)=0,"⚠ emplacement inconnu",IF(AND(H573&lt;&gt;"",LEFT(I573,1)&lt;&gt;H573),"⚠ mauvaise zone","OK")))</f>
        <v/>
      </c>
      <c r="K573" s="12"/>
      <c r="L573" s="12"/>
    </row>
    <row r="574" customFormat="false" ht="15" hidden="false" customHeight="false" outlineLevel="0" collapsed="false">
      <c r="A574" s="12"/>
      <c r="B574" s="12"/>
      <c r="C574" s="12"/>
      <c r="D574" s="12"/>
      <c r="E574" s="12"/>
      <c r="F574" s="17" t="str">
        <f aca="false">IF(B574="","",TRIM(B574&amp;" "&amp;C574&amp;" "&amp;D574))</f>
        <v/>
      </c>
      <c r="G574" s="12"/>
      <c r="H574" s="12"/>
      <c r="I574" s="12"/>
      <c r="J574" s="17" t="str">
        <f aca="false">IF(I574="","",IF(COUNTIF(Emplacements!$A$2:$A$1001,I574)=0,"⚠ emplacement inconnu",IF(AND(H574&lt;&gt;"",LEFT(I574,1)&lt;&gt;H574),"⚠ mauvaise zone","OK")))</f>
        <v/>
      </c>
      <c r="K574" s="12"/>
      <c r="L574" s="12"/>
    </row>
    <row r="575" customFormat="false" ht="15" hidden="false" customHeight="false" outlineLevel="0" collapsed="false">
      <c r="A575" s="12"/>
      <c r="B575" s="12"/>
      <c r="C575" s="12"/>
      <c r="D575" s="12"/>
      <c r="E575" s="12"/>
      <c r="F575" s="17" t="str">
        <f aca="false">IF(B575="","",TRIM(B575&amp;" "&amp;C575&amp;" "&amp;D575))</f>
        <v/>
      </c>
      <c r="G575" s="12"/>
      <c r="H575" s="12"/>
      <c r="I575" s="12"/>
      <c r="J575" s="17" t="str">
        <f aca="false">IF(I575="","",IF(COUNTIF(Emplacements!$A$2:$A$1001,I575)=0,"⚠ emplacement inconnu",IF(AND(H575&lt;&gt;"",LEFT(I575,1)&lt;&gt;H575),"⚠ mauvaise zone","OK")))</f>
        <v/>
      </c>
      <c r="K575" s="12"/>
      <c r="L575" s="12"/>
    </row>
    <row r="576" customFormat="false" ht="15" hidden="false" customHeight="false" outlineLevel="0" collapsed="false">
      <c r="A576" s="12"/>
      <c r="B576" s="12"/>
      <c r="C576" s="12"/>
      <c r="D576" s="12"/>
      <c r="E576" s="12"/>
      <c r="F576" s="17" t="str">
        <f aca="false">IF(B576="","",TRIM(B576&amp;" "&amp;C576&amp;" "&amp;D576))</f>
        <v/>
      </c>
      <c r="G576" s="12"/>
      <c r="H576" s="12"/>
      <c r="I576" s="12"/>
      <c r="J576" s="17" t="str">
        <f aca="false">IF(I576="","",IF(COUNTIF(Emplacements!$A$2:$A$1001,I576)=0,"⚠ emplacement inconnu",IF(AND(H576&lt;&gt;"",LEFT(I576,1)&lt;&gt;H576),"⚠ mauvaise zone","OK")))</f>
        <v/>
      </c>
      <c r="K576" s="12"/>
      <c r="L576" s="12"/>
    </row>
    <row r="577" customFormat="false" ht="15" hidden="false" customHeight="false" outlineLevel="0" collapsed="false">
      <c r="A577" s="12"/>
      <c r="B577" s="12"/>
      <c r="C577" s="12"/>
      <c r="D577" s="12"/>
      <c r="E577" s="12"/>
      <c r="F577" s="17" t="str">
        <f aca="false">IF(B577="","",TRIM(B577&amp;" "&amp;C577&amp;" "&amp;D577))</f>
        <v/>
      </c>
      <c r="G577" s="12"/>
      <c r="H577" s="12"/>
      <c r="I577" s="12"/>
      <c r="J577" s="17" t="str">
        <f aca="false">IF(I577="","",IF(COUNTIF(Emplacements!$A$2:$A$1001,I577)=0,"⚠ emplacement inconnu",IF(AND(H577&lt;&gt;"",LEFT(I577,1)&lt;&gt;H577),"⚠ mauvaise zone","OK")))</f>
        <v/>
      </c>
      <c r="K577" s="12"/>
      <c r="L577" s="12"/>
    </row>
    <row r="578" customFormat="false" ht="15" hidden="false" customHeight="false" outlineLevel="0" collapsed="false">
      <c r="A578" s="12"/>
      <c r="B578" s="12"/>
      <c r="C578" s="12"/>
      <c r="D578" s="12"/>
      <c r="E578" s="12"/>
      <c r="F578" s="17" t="str">
        <f aca="false">IF(B578="","",TRIM(B578&amp;" "&amp;C578&amp;" "&amp;D578))</f>
        <v/>
      </c>
      <c r="G578" s="12"/>
      <c r="H578" s="12"/>
      <c r="I578" s="12"/>
      <c r="J578" s="17" t="str">
        <f aca="false">IF(I578="","",IF(COUNTIF(Emplacements!$A$2:$A$1001,I578)=0,"⚠ emplacement inconnu",IF(AND(H578&lt;&gt;"",LEFT(I578,1)&lt;&gt;H578),"⚠ mauvaise zone","OK")))</f>
        <v/>
      </c>
      <c r="K578" s="12"/>
      <c r="L578" s="12"/>
    </row>
    <row r="579" customFormat="false" ht="15" hidden="false" customHeight="false" outlineLevel="0" collapsed="false">
      <c r="A579" s="12"/>
      <c r="B579" s="12"/>
      <c r="C579" s="12"/>
      <c r="D579" s="12"/>
      <c r="E579" s="12"/>
      <c r="F579" s="17" t="str">
        <f aca="false">IF(B579="","",TRIM(B579&amp;" "&amp;C579&amp;" "&amp;D579))</f>
        <v/>
      </c>
      <c r="G579" s="12"/>
      <c r="H579" s="12"/>
      <c r="I579" s="12"/>
      <c r="J579" s="17" t="str">
        <f aca="false">IF(I579="","",IF(COUNTIF(Emplacements!$A$2:$A$1001,I579)=0,"⚠ emplacement inconnu",IF(AND(H579&lt;&gt;"",LEFT(I579,1)&lt;&gt;H579),"⚠ mauvaise zone","OK")))</f>
        <v/>
      </c>
      <c r="K579" s="12"/>
      <c r="L579" s="12"/>
    </row>
    <row r="580" customFormat="false" ht="15" hidden="false" customHeight="false" outlineLevel="0" collapsed="false">
      <c r="A580" s="12"/>
      <c r="B580" s="12"/>
      <c r="C580" s="12"/>
      <c r="D580" s="12"/>
      <c r="E580" s="12"/>
      <c r="F580" s="17" t="str">
        <f aca="false">IF(B580="","",TRIM(B580&amp;" "&amp;C580&amp;" "&amp;D580))</f>
        <v/>
      </c>
      <c r="G580" s="12"/>
      <c r="H580" s="12"/>
      <c r="I580" s="12"/>
      <c r="J580" s="17" t="str">
        <f aca="false">IF(I580="","",IF(COUNTIF(Emplacements!$A$2:$A$1001,I580)=0,"⚠ emplacement inconnu",IF(AND(H580&lt;&gt;"",LEFT(I580,1)&lt;&gt;H580),"⚠ mauvaise zone","OK")))</f>
        <v/>
      </c>
      <c r="K580" s="12"/>
      <c r="L580" s="12"/>
    </row>
    <row r="581" customFormat="false" ht="15" hidden="false" customHeight="false" outlineLevel="0" collapsed="false">
      <c r="A581" s="12"/>
      <c r="B581" s="12"/>
      <c r="C581" s="12"/>
      <c r="D581" s="12"/>
      <c r="E581" s="12"/>
      <c r="F581" s="17" t="str">
        <f aca="false">IF(B581="","",TRIM(B581&amp;" "&amp;C581&amp;" "&amp;D581))</f>
        <v/>
      </c>
      <c r="G581" s="12"/>
      <c r="H581" s="12"/>
      <c r="I581" s="12"/>
      <c r="J581" s="17" t="str">
        <f aca="false">IF(I581="","",IF(COUNTIF(Emplacements!$A$2:$A$1001,I581)=0,"⚠ emplacement inconnu",IF(AND(H581&lt;&gt;"",LEFT(I581,1)&lt;&gt;H581),"⚠ mauvaise zone","OK")))</f>
        <v/>
      </c>
      <c r="K581" s="12"/>
      <c r="L581" s="12"/>
    </row>
    <row r="582" customFormat="false" ht="15" hidden="false" customHeight="false" outlineLevel="0" collapsed="false">
      <c r="A582" s="12"/>
      <c r="B582" s="12"/>
      <c r="C582" s="12"/>
      <c r="D582" s="12"/>
      <c r="E582" s="12"/>
      <c r="F582" s="17" t="str">
        <f aca="false">IF(B582="","",TRIM(B582&amp;" "&amp;C582&amp;" "&amp;D582))</f>
        <v/>
      </c>
      <c r="G582" s="12"/>
      <c r="H582" s="12"/>
      <c r="I582" s="12"/>
      <c r="J582" s="17" t="str">
        <f aca="false">IF(I582="","",IF(COUNTIF(Emplacements!$A$2:$A$1001,I582)=0,"⚠ emplacement inconnu",IF(AND(H582&lt;&gt;"",LEFT(I582,1)&lt;&gt;H582),"⚠ mauvaise zone","OK")))</f>
        <v/>
      </c>
      <c r="K582" s="12"/>
      <c r="L582" s="12"/>
    </row>
    <row r="583" customFormat="false" ht="15" hidden="false" customHeight="false" outlineLevel="0" collapsed="false">
      <c r="A583" s="12"/>
      <c r="B583" s="12"/>
      <c r="C583" s="12"/>
      <c r="D583" s="12"/>
      <c r="E583" s="12"/>
      <c r="F583" s="17" t="str">
        <f aca="false">IF(B583="","",TRIM(B583&amp;" "&amp;C583&amp;" "&amp;D583))</f>
        <v/>
      </c>
      <c r="G583" s="12"/>
      <c r="H583" s="12"/>
      <c r="I583" s="12"/>
      <c r="J583" s="17" t="str">
        <f aca="false">IF(I583="","",IF(COUNTIF(Emplacements!$A$2:$A$1001,I583)=0,"⚠ emplacement inconnu",IF(AND(H583&lt;&gt;"",LEFT(I583,1)&lt;&gt;H583),"⚠ mauvaise zone","OK")))</f>
        <v/>
      </c>
      <c r="K583" s="12"/>
      <c r="L583" s="12"/>
    </row>
    <row r="584" customFormat="false" ht="15" hidden="false" customHeight="false" outlineLevel="0" collapsed="false">
      <c r="A584" s="12"/>
      <c r="B584" s="12"/>
      <c r="C584" s="12"/>
      <c r="D584" s="12"/>
      <c r="E584" s="12"/>
      <c r="F584" s="17" t="str">
        <f aca="false">IF(B584="","",TRIM(B584&amp;" "&amp;C584&amp;" "&amp;D584))</f>
        <v/>
      </c>
      <c r="G584" s="12"/>
      <c r="H584" s="12"/>
      <c r="I584" s="12"/>
      <c r="J584" s="17" t="str">
        <f aca="false">IF(I584="","",IF(COUNTIF(Emplacements!$A$2:$A$1001,I584)=0,"⚠ emplacement inconnu",IF(AND(H584&lt;&gt;"",LEFT(I584,1)&lt;&gt;H584),"⚠ mauvaise zone","OK")))</f>
        <v/>
      </c>
      <c r="K584" s="12"/>
      <c r="L584" s="12"/>
    </row>
    <row r="585" customFormat="false" ht="15" hidden="false" customHeight="false" outlineLevel="0" collapsed="false">
      <c r="A585" s="12"/>
      <c r="B585" s="12"/>
      <c r="C585" s="12"/>
      <c r="D585" s="12"/>
      <c r="E585" s="12"/>
      <c r="F585" s="17" t="str">
        <f aca="false">IF(B585="","",TRIM(B585&amp;" "&amp;C585&amp;" "&amp;D585))</f>
        <v/>
      </c>
      <c r="G585" s="12"/>
      <c r="H585" s="12"/>
      <c r="I585" s="12"/>
      <c r="J585" s="17" t="str">
        <f aca="false">IF(I585="","",IF(COUNTIF(Emplacements!$A$2:$A$1001,I585)=0,"⚠ emplacement inconnu",IF(AND(H585&lt;&gt;"",LEFT(I585,1)&lt;&gt;H585),"⚠ mauvaise zone","OK")))</f>
        <v/>
      </c>
      <c r="K585" s="12"/>
      <c r="L585" s="12"/>
    </row>
    <row r="586" customFormat="false" ht="15" hidden="false" customHeight="false" outlineLevel="0" collapsed="false">
      <c r="A586" s="12"/>
      <c r="B586" s="12"/>
      <c r="C586" s="12"/>
      <c r="D586" s="12"/>
      <c r="E586" s="12"/>
      <c r="F586" s="17" t="str">
        <f aca="false">IF(B586="","",TRIM(B586&amp;" "&amp;C586&amp;" "&amp;D586))</f>
        <v/>
      </c>
      <c r="G586" s="12"/>
      <c r="H586" s="12"/>
      <c r="I586" s="12"/>
      <c r="J586" s="17" t="str">
        <f aca="false">IF(I586="","",IF(COUNTIF(Emplacements!$A$2:$A$1001,I586)=0,"⚠ emplacement inconnu",IF(AND(H586&lt;&gt;"",LEFT(I586,1)&lt;&gt;H586),"⚠ mauvaise zone","OK")))</f>
        <v/>
      </c>
      <c r="K586" s="12"/>
      <c r="L586" s="12"/>
    </row>
    <row r="587" customFormat="false" ht="15" hidden="false" customHeight="false" outlineLevel="0" collapsed="false">
      <c r="A587" s="12"/>
      <c r="B587" s="12"/>
      <c r="C587" s="12"/>
      <c r="D587" s="12"/>
      <c r="E587" s="12"/>
      <c r="F587" s="17" t="str">
        <f aca="false">IF(B587="","",TRIM(B587&amp;" "&amp;C587&amp;" "&amp;D587))</f>
        <v/>
      </c>
      <c r="G587" s="12"/>
      <c r="H587" s="12"/>
      <c r="I587" s="12"/>
      <c r="J587" s="17" t="str">
        <f aca="false">IF(I587="","",IF(COUNTIF(Emplacements!$A$2:$A$1001,I587)=0,"⚠ emplacement inconnu",IF(AND(H587&lt;&gt;"",LEFT(I587,1)&lt;&gt;H587),"⚠ mauvaise zone","OK")))</f>
        <v/>
      </c>
      <c r="K587" s="12"/>
      <c r="L587" s="12"/>
    </row>
    <row r="588" customFormat="false" ht="15" hidden="false" customHeight="false" outlineLevel="0" collapsed="false">
      <c r="A588" s="12"/>
      <c r="B588" s="12"/>
      <c r="C588" s="12"/>
      <c r="D588" s="12"/>
      <c r="E588" s="12"/>
      <c r="F588" s="17" t="str">
        <f aca="false">IF(B588="","",TRIM(B588&amp;" "&amp;C588&amp;" "&amp;D588))</f>
        <v/>
      </c>
      <c r="G588" s="12"/>
      <c r="H588" s="12"/>
      <c r="I588" s="12"/>
      <c r="J588" s="17" t="str">
        <f aca="false">IF(I588="","",IF(COUNTIF(Emplacements!$A$2:$A$1001,I588)=0,"⚠ emplacement inconnu",IF(AND(H588&lt;&gt;"",LEFT(I588,1)&lt;&gt;H588),"⚠ mauvaise zone","OK")))</f>
        <v/>
      </c>
      <c r="K588" s="12"/>
      <c r="L588" s="12"/>
    </row>
    <row r="589" customFormat="false" ht="15" hidden="false" customHeight="false" outlineLevel="0" collapsed="false">
      <c r="A589" s="12"/>
      <c r="B589" s="12"/>
      <c r="C589" s="12"/>
      <c r="D589" s="12"/>
      <c r="E589" s="12"/>
      <c r="F589" s="17" t="str">
        <f aca="false">IF(B589="","",TRIM(B589&amp;" "&amp;C589&amp;" "&amp;D589))</f>
        <v/>
      </c>
      <c r="G589" s="12"/>
      <c r="H589" s="12"/>
      <c r="I589" s="12"/>
      <c r="J589" s="17" t="str">
        <f aca="false">IF(I589="","",IF(COUNTIF(Emplacements!$A$2:$A$1001,I589)=0,"⚠ emplacement inconnu",IF(AND(H589&lt;&gt;"",LEFT(I589,1)&lt;&gt;H589),"⚠ mauvaise zone","OK")))</f>
        <v/>
      </c>
      <c r="K589" s="12"/>
      <c r="L589" s="12"/>
    </row>
    <row r="590" customFormat="false" ht="15" hidden="false" customHeight="false" outlineLevel="0" collapsed="false">
      <c r="A590" s="12"/>
      <c r="B590" s="12"/>
      <c r="C590" s="12"/>
      <c r="D590" s="12"/>
      <c r="E590" s="12"/>
      <c r="F590" s="17" t="str">
        <f aca="false">IF(B590="","",TRIM(B590&amp;" "&amp;C590&amp;" "&amp;D590))</f>
        <v/>
      </c>
      <c r="G590" s="12"/>
      <c r="H590" s="12"/>
      <c r="I590" s="12"/>
      <c r="J590" s="17" t="str">
        <f aca="false">IF(I590="","",IF(COUNTIF(Emplacements!$A$2:$A$1001,I590)=0,"⚠ emplacement inconnu",IF(AND(H590&lt;&gt;"",LEFT(I590,1)&lt;&gt;H590),"⚠ mauvaise zone","OK")))</f>
        <v/>
      </c>
      <c r="K590" s="12"/>
      <c r="L590" s="12"/>
    </row>
    <row r="591" customFormat="false" ht="15" hidden="false" customHeight="false" outlineLevel="0" collapsed="false">
      <c r="A591" s="12"/>
      <c r="B591" s="12"/>
      <c r="C591" s="12"/>
      <c r="D591" s="12"/>
      <c r="E591" s="12"/>
      <c r="F591" s="17" t="str">
        <f aca="false">IF(B591="","",TRIM(B591&amp;" "&amp;C591&amp;" "&amp;D591))</f>
        <v/>
      </c>
      <c r="G591" s="12"/>
      <c r="H591" s="12"/>
      <c r="I591" s="12"/>
      <c r="J591" s="17" t="str">
        <f aca="false">IF(I591="","",IF(COUNTIF(Emplacements!$A$2:$A$1001,I591)=0,"⚠ emplacement inconnu",IF(AND(H591&lt;&gt;"",LEFT(I591,1)&lt;&gt;H591),"⚠ mauvaise zone","OK")))</f>
        <v/>
      </c>
      <c r="K591" s="12"/>
      <c r="L591" s="12"/>
    </row>
    <row r="592" customFormat="false" ht="15" hidden="false" customHeight="false" outlineLevel="0" collapsed="false">
      <c r="A592" s="12"/>
      <c r="B592" s="12"/>
      <c r="C592" s="12"/>
      <c r="D592" s="12"/>
      <c r="E592" s="12"/>
      <c r="F592" s="17" t="str">
        <f aca="false">IF(B592="","",TRIM(B592&amp;" "&amp;C592&amp;" "&amp;D592))</f>
        <v/>
      </c>
      <c r="G592" s="12"/>
      <c r="H592" s="12"/>
      <c r="I592" s="12"/>
      <c r="J592" s="17" t="str">
        <f aca="false">IF(I592="","",IF(COUNTIF(Emplacements!$A$2:$A$1001,I592)=0,"⚠ emplacement inconnu",IF(AND(H592&lt;&gt;"",LEFT(I592,1)&lt;&gt;H592),"⚠ mauvaise zone","OK")))</f>
        <v/>
      </c>
      <c r="K592" s="12"/>
      <c r="L592" s="12"/>
    </row>
    <row r="593" customFormat="false" ht="15" hidden="false" customHeight="false" outlineLevel="0" collapsed="false">
      <c r="A593" s="12"/>
      <c r="B593" s="12"/>
      <c r="C593" s="12"/>
      <c r="D593" s="12"/>
      <c r="E593" s="12"/>
      <c r="F593" s="17" t="str">
        <f aca="false">IF(B593="","",TRIM(B593&amp;" "&amp;C593&amp;" "&amp;D593))</f>
        <v/>
      </c>
      <c r="G593" s="12"/>
      <c r="H593" s="12"/>
      <c r="I593" s="12"/>
      <c r="J593" s="17" t="str">
        <f aca="false">IF(I593="","",IF(COUNTIF(Emplacements!$A$2:$A$1001,I593)=0,"⚠ emplacement inconnu",IF(AND(H593&lt;&gt;"",LEFT(I593,1)&lt;&gt;H593),"⚠ mauvaise zone","OK")))</f>
        <v/>
      </c>
      <c r="K593" s="12"/>
      <c r="L593" s="12"/>
    </row>
    <row r="594" customFormat="false" ht="15" hidden="false" customHeight="false" outlineLevel="0" collapsed="false">
      <c r="A594" s="12"/>
      <c r="B594" s="12"/>
      <c r="C594" s="12"/>
      <c r="D594" s="12"/>
      <c r="E594" s="12"/>
      <c r="F594" s="17" t="str">
        <f aca="false">IF(B594="","",TRIM(B594&amp;" "&amp;C594&amp;" "&amp;D594))</f>
        <v/>
      </c>
      <c r="G594" s="12"/>
      <c r="H594" s="12"/>
      <c r="I594" s="12"/>
      <c r="J594" s="17" t="str">
        <f aca="false">IF(I594="","",IF(COUNTIF(Emplacements!$A$2:$A$1001,I594)=0,"⚠ emplacement inconnu",IF(AND(H594&lt;&gt;"",LEFT(I594,1)&lt;&gt;H594),"⚠ mauvaise zone","OK")))</f>
        <v/>
      </c>
      <c r="K594" s="12"/>
      <c r="L594" s="12"/>
    </row>
    <row r="595" customFormat="false" ht="15" hidden="false" customHeight="false" outlineLevel="0" collapsed="false">
      <c r="A595" s="12"/>
      <c r="B595" s="12"/>
      <c r="C595" s="12"/>
      <c r="D595" s="12"/>
      <c r="E595" s="12"/>
      <c r="F595" s="17" t="str">
        <f aca="false">IF(B595="","",TRIM(B595&amp;" "&amp;C595&amp;" "&amp;D595))</f>
        <v/>
      </c>
      <c r="G595" s="12"/>
      <c r="H595" s="12"/>
      <c r="I595" s="12"/>
      <c r="J595" s="17" t="str">
        <f aca="false">IF(I595="","",IF(COUNTIF(Emplacements!$A$2:$A$1001,I595)=0,"⚠ emplacement inconnu",IF(AND(H595&lt;&gt;"",LEFT(I595,1)&lt;&gt;H595),"⚠ mauvaise zone","OK")))</f>
        <v/>
      </c>
      <c r="K595" s="12"/>
      <c r="L595" s="12"/>
    </row>
    <row r="596" customFormat="false" ht="15" hidden="false" customHeight="false" outlineLevel="0" collapsed="false">
      <c r="A596" s="12"/>
      <c r="B596" s="12"/>
      <c r="C596" s="12"/>
      <c r="D596" s="12"/>
      <c r="E596" s="12"/>
      <c r="F596" s="17" t="str">
        <f aca="false">IF(B596="","",TRIM(B596&amp;" "&amp;C596&amp;" "&amp;D596))</f>
        <v/>
      </c>
      <c r="G596" s="12"/>
      <c r="H596" s="12"/>
      <c r="I596" s="12"/>
      <c r="J596" s="17" t="str">
        <f aca="false">IF(I596="","",IF(COUNTIF(Emplacements!$A$2:$A$1001,I596)=0,"⚠ emplacement inconnu",IF(AND(H596&lt;&gt;"",LEFT(I596,1)&lt;&gt;H596),"⚠ mauvaise zone","OK")))</f>
        <v/>
      </c>
      <c r="K596" s="12"/>
      <c r="L596" s="12"/>
    </row>
    <row r="597" customFormat="false" ht="15" hidden="false" customHeight="false" outlineLevel="0" collapsed="false">
      <c r="A597" s="12"/>
      <c r="B597" s="12"/>
      <c r="C597" s="12"/>
      <c r="D597" s="12"/>
      <c r="E597" s="12"/>
      <c r="F597" s="17" t="str">
        <f aca="false">IF(B597="","",TRIM(B597&amp;" "&amp;C597&amp;" "&amp;D597))</f>
        <v/>
      </c>
      <c r="G597" s="12"/>
      <c r="H597" s="12"/>
      <c r="I597" s="12"/>
      <c r="J597" s="17" t="str">
        <f aca="false">IF(I597="","",IF(COUNTIF(Emplacements!$A$2:$A$1001,I597)=0,"⚠ emplacement inconnu",IF(AND(H597&lt;&gt;"",LEFT(I597,1)&lt;&gt;H597),"⚠ mauvaise zone","OK")))</f>
        <v/>
      </c>
      <c r="K597" s="12"/>
      <c r="L597" s="12"/>
    </row>
    <row r="598" customFormat="false" ht="15" hidden="false" customHeight="false" outlineLevel="0" collapsed="false">
      <c r="A598" s="12"/>
      <c r="B598" s="12"/>
      <c r="C598" s="12"/>
      <c r="D598" s="12"/>
      <c r="E598" s="12"/>
      <c r="F598" s="17" t="str">
        <f aca="false">IF(B598="","",TRIM(B598&amp;" "&amp;C598&amp;" "&amp;D598))</f>
        <v/>
      </c>
      <c r="G598" s="12"/>
      <c r="H598" s="12"/>
      <c r="I598" s="12"/>
      <c r="J598" s="17" t="str">
        <f aca="false">IF(I598="","",IF(COUNTIF(Emplacements!$A$2:$A$1001,I598)=0,"⚠ emplacement inconnu",IF(AND(H598&lt;&gt;"",LEFT(I598,1)&lt;&gt;H598),"⚠ mauvaise zone","OK")))</f>
        <v/>
      </c>
      <c r="K598" s="12"/>
      <c r="L598" s="12"/>
    </row>
    <row r="599" customFormat="false" ht="15" hidden="false" customHeight="false" outlineLevel="0" collapsed="false">
      <c r="A599" s="12"/>
      <c r="B599" s="12"/>
      <c r="C599" s="12"/>
      <c r="D599" s="12"/>
      <c r="E599" s="12"/>
      <c r="F599" s="17" t="str">
        <f aca="false">IF(B599="","",TRIM(B599&amp;" "&amp;C599&amp;" "&amp;D599))</f>
        <v/>
      </c>
      <c r="G599" s="12"/>
      <c r="H599" s="12"/>
      <c r="I599" s="12"/>
      <c r="J599" s="17" t="str">
        <f aca="false">IF(I599="","",IF(COUNTIF(Emplacements!$A$2:$A$1001,I599)=0,"⚠ emplacement inconnu",IF(AND(H599&lt;&gt;"",LEFT(I599,1)&lt;&gt;H599),"⚠ mauvaise zone","OK")))</f>
        <v/>
      </c>
      <c r="K599" s="12"/>
      <c r="L599" s="12"/>
    </row>
    <row r="600" customFormat="false" ht="15" hidden="false" customHeight="false" outlineLevel="0" collapsed="false">
      <c r="A600" s="12"/>
      <c r="B600" s="12"/>
      <c r="C600" s="12"/>
      <c r="D600" s="12"/>
      <c r="E600" s="12"/>
      <c r="F600" s="17" t="str">
        <f aca="false">IF(B600="","",TRIM(B600&amp;" "&amp;C600&amp;" "&amp;D600))</f>
        <v/>
      </c>
      <c r="G600" s="12"/>
      <c r="H600" s="12"/>
      <c r="I600" s="12"/>
      <c r="J600" s="17" t="str">
        <f aca="false">IF(I600="","",IF(COUNTIF(Emplacements!$A$2:$A$1001,I600)=0,"⚠ emplacement inconnu",IF(AND(H600&lt;&gt;"",LEFT(I600,1)&lt;&gt;H600),"⚠ mauvaise zone","OK")))</f>
        <v/>
      </c>
      <c r="K600" s="12"/>
      <c r="L600" s="12"/>
    </row>
    <row r="601" customFormat="false" ht="15" hidden="false" customHeight="false" outlineLevel="0" collapsed="false">
      <c r="A601" s="12"/>
      <c r="B601" s="12"/>
      <c r="C601" s="12"/>
      <c r="D601" s="12"/>
      <c r="E601" s="12"/>
      <c r="F601" s="17" t="str">
        <f aca="false">IF(B601="","",TRIM(B601&amp;" "&amp;C601&amp;" "&amp;D601))</f>
        <v/>
      </c>
      <c r="G601" s="12"/>
      <c r="H601" s="12"/>
      <c r="I601" s="12"/>
      <c r="J601" s="17" t="str">
        <f aca="false">IF(I601="","",IF(COUNTIF(Emplacements!$A$2:$A$1001,I601)=0,"⚠ emplacement inconnu",IF(AND(H601&lt;&gt;"",LEFT(I601,1)&lt;&gt;H601),"⚠ mauvaise zone","OK")))</f>
        <v/>
      </c>
      <c r="K601" s="12"/>
      <c r="L601" s="12"/>
    </row>
    <row r="602" customFormat="false" ht="15" hidden="false" customHeight="false" outlineLevel="0" collapsed="false">
      <c r="A602" s="12"/>
      <c r="B602" s="12"/>
      <c r="C602" s="12"/>
      <c r="D602" s="12"/>
      <c r="E602" s="12"/>
      <c r="F602" s="17" t="str">
        <f aca="false">IF(B602="","",TRIM(B602&amp;" "&amp;C602&amp;" "&amp;D602))</f>
        <v/>
      </c>
      <c r="G602" s="12"/>
      <c r="H602" s="12"/>
      <c r="I602" s="12"/>
      <c r="J602" s="17" t="str">
        <f aca="false">IF(I602="","",IF(COUNTIF(Emplacements!$A$2:$A$1001,I602)=0,"⚠ emplacement inconnu",IF(AND(H602&lt;&gt;"",LEFT(I602,1)&lt;&gt;H602),"⚠ mauvaise zone","OK")))</f>
        <v/>
      </c>
      <c r="K602" s="12"/>
      <c r="L602" s="12"/>
    </row>
    <row r="603" customFormat="false" ht="15" hidden="false" customHeight="false" outlineLevel="0" collapsed="false">
      <c r="A603" s="12"/>
      <c r="B603" s="12"/>
      <c r="C603" s="12"/>
      <c r="D603" s="12"/>
      <c r="E603" s="12"/>
      <c r="F603" s="17" t="str">
        <f aca="false">IF(B603="","",TRIM(B603&amp;" "&amp;C603&amp;" "&amp;D603))</f>
        <v/>
      </c>
      <c r="G603" s="12"/>
      <c r="H603" s="12"/>
      <c r="I603" s="12"/>
      <c r="J603" s="17" t="str">
        <f aca="false">IF(I603="","",IF(COUNTIF(Emplacements!$A$2:$A$1001,I603)=0,"⚠ emplacement inconnu",IF(AND(H603&lt;&gt;"",LEFT(I603,1)&lt;&gt;H603),"⚠ mauvaise zone","OK")))</f>
        <v/>
      </c>
      <c r="K603" s="12"/>
      <c r="L603" s="12"/>
    </row>
    <row r="604" customFormat="false" ht="15" hidden="false" customHeight="false" outlineLevel="0" collapsed="false">
      <c r="A604" s="12"/>
      <c r="B604" s="12"/>
      <c r="C604" s="12"/>
      <c r="D604" s="12"/>
      <c r="E604" s="12"/>
      <c r="F604" s="17" t="str">
        <f aca="false">IF(B604="","",TRIM(B604&amp;" "&amp;C604&amp;" "&amp;D604))</f>
        <v/>
      </c>
      <c r="G604" s="12"/>
      <c r="H604" s="12"/>
      <c r="I604" s="12"/>
      <c r="J604" s="17" t="str">
        <f aca="false">IF(I604="","",IF(COUNTIF(Emplacements!$A$2:$A$1001,I604)=0,"⚠ emplacement inconnu",IF(AND(H604&lt;&gt;"",LEFT(I604,1)&lt;&gt;H604),"⚠ mauvaise zone","OK")))</f>
        <v/>
      </c>
      <c r="K604" s="12"/>
      <c r="L604" s="12"/>
    </row>
    <row r="605" customFormat="false" ht="15" hidden="false" customHeight="false" outlineLevel="0" collapsed="false">
      <c r="A605" s="12"/>
      <c r="B605" s="12"/>
      <c r="C605" s="12"/>
      <c r="D605" s="12"/>
      <c r="E605" s="12"/>
      <c r="F605" s="17" t="str">
        <f aca="false">IF(B605="","",TRIM(B605&amp;" "&amp;C605&amp;" "&amp;D605))</f>
        <v/>
      </c>
      <c r="G605" s="12"/>
      <c r="H605" s="12"/>
      <c r="I605" s="12"/>
      <c r="J605" s="17" t="str">
        <f aca="false">IF(I605="","",IF(COUNTIF(Emplacements!$A$2:$A$1001,I605)=0,"⚠ emplacement inconnu",IF(AND(H605&lt;&gt;"",LEFT(I605,1)&lt;&gt;H605),"⚠ mauvaise zone","OK")))</f>
        <v/>
      </c>
      <c r="K605" s="12"/>
      <c r="L605" s="12"/>
    </row>
    <row r="606" customFormat="false" ht="15" hidden="false" customHeight="false" outlineLevel="0" collapsed="false">
      <c r="A606" s="12"/>
      <c r="B606" s="12"/>
      <c r="C606" s="12"/>
      <c r="D606" s="12"/>
      <c r="E606" s="12"/>
      <c r="F606" s="17" t="str">
        <f aca="false">IF(B606="","",TRIM(B606&amp;" "&amp;C606&amp;" "&amp;D606))</f>
        <v/>
      </c>
      <c r="G606" s="12"/>
      <c r="H606" s="12"/>
      <c r="I606" s="12"/>
      <c r="J606" s="17" t="str">
        <f aca="false">IF(I606="","",IF(COUNTIF(Emplacements!$A$2:$A$1001,I606)=0,"⚠ emplacement inconnu",IF(AND(H606&lt;&gt;"",LEFT(I606,1)&lt;&gt;H606),"⚠ mauvaise zone","OK")))</f>
        <v/>
      </c>
      <c r="K606" s="12"/>
      <c r="L606" s="12"/>
    </row>
    <row r="607" customFormat="false" ht="15" hidden="false" customHeight="false" outlineLevel="0" collapsed="false">
      <c r="A607" s="12"/>
      <c r="B607" s="12"/>
      <c r="C607" s="12"/>
      <c r="D607" s="12"/>
      <c r="E607" s="12"/>
      <c r="F607" s="17" t="str">
        <f aca="false">IF(B607="","",TRIM(B607&amp;" "&amp;C607&amp;" "&amp;D607))</f>
        <v/>
      </c>
      <c r="G607" s="12"/>
      <c r="H607" s="12"/>
      <c r="I607" s="12"/>
      <c r="J607" s="17" t="str">
        <f aca="false">IF(I607="","",IF(COUNTIF(Emplacements!$A$2:$A$1001,I607)=0,"⚠ emplacement inconnu",IF(AND(H607&lt;&gt;"",LEFT(I607,1)&lt;&gt;H607),"⚠ mauvaise zone","OK")))</f>
        <v/>
      </c>
      <c r="K607" s="12"/>
      <c r="L607" s="12"/>
    </row>
    <row r="608" customFormat="false" ht="15" hidden="false" customHeight="false" outlineLevel="0" collapsed="false">
      <c r="A608" s="12"/>
      <c r="B608" s="12"/>
      <c r="C608" s="12"/>
      <c r="D608" s="12"/>
      <c r="E608" s="12"/>
      <c r="F608" s="17" t="str">
        <f aca="false">IF(B608="","",TRIM(B608&amp;" "&amp;C608&amp;" "&amp;D608))</f>
        <v/>
      </c>
      <c r="G608" s="12"/>
      <c r="H608" s="12"/>
      <c r="I608" s="12"/>
      <c r="J608" s="17" t="str">
        <f aca="false">IF(I608="","",IF(COUNTIF(Emplacements!$A$2:$A$1001,I608)=0,"⚠ emplacement inconnu",IF(AND(H608&lt;&gt;"",LEFT(I608,1)&lt;&gt;H608),"⚠ mauvaise zone","OK")))</f>
        <v/>
      </c>
      <c r="K608" s="12"/>
      <c r="L608" s="12"/>
    </row>
    <row r="609" customFormat="false" ht="15" hidden="false" customHeight="false" outlineLevel="0" collapsed="false">
      <c r="A609" s="12"/>
      <c r="B609" s="12"/>
      <c r="C609" s="12"/>
      <c r="D609" s="12"/>
      <c r="E609" s="12"/>
      <c r="F609" s="17" t="str">
        <f aca="false">IF(B609="","",TRIM(B609&amp;" "&amp;C609&amp;" "&amp;D609))</f>
        <v/>
      </c>
      <c r="G609" s="12"/>
      <c r="H609" s="12"/>
      <c r="I609" s="12"/>
      <c r="J609" s="17" t="str">
        <f aca="false">IF(I609="","",IF(COUNTIF(Emplacements!$A$2:$A$1001,I609)=0,"⚠ emplacement inconnu",IF(AND(H609&lt;&gt;"",LEFT(I609,1)&lt;&gt;H609),"⚠ mauvaise zone","OK")))</f>
        <v/>
      </c>
      <c r="K609" s="12"/>
      <c r="L609" s="12"/>
    </row>
    <row r="610" customFormat="false" ht="15" hidden="false" customHeight="false" outlineLevel="0" collapsed="false">
      <c r="A610" s="12"/>
      <c r="B610" s="12"/>
      <c r="C610" s="12"/>
      <c r="D610" s="12"/>
      <c r="E610" s="12"/>
      <c r="F610" s="17" t="str">
        <f aca="false">IF(B610="","",TRIM(B610&amp;" "&amp;C610&amp;" "&amp;D610))</f>
        <v/>
      </c>
      <c r="G610" s="12"/>
      <c r="H610" s="12"/>
      <c r="I610" s="12"/>
      <c r="J610" s="17" t="str">
        <f aca="false">IF(I610="","",IF(COUNTIF(Emplacements!$A$2:$A$1001,I610)=0,"⚠ emplacement inconnu",IF(AND(H610&lt;&gt;"",LEFT(I610,1)&lt;&gt;H610),"⚠ mauvaise zone","OK")))</f>
        <v/>
      </c>
      <c r="K610" s="12"/>
      <c r="L610" s="12"/>
    </row>
    <row r="611" customFormat="false" ht="15" hidden="false" customHeight="false" outlineLevel="0" collapsed="false">
      <c r="A611" s="12"/>
      <c r="B611" s="12"/>
      <c r="C611" s="12"/>
      <c r="D611" s="12"/>
      <c r="E611" s="12"/>
      <c r="F611" s="17" t="str">
        <f aca="false">IF(B611="","",TRIM(B611&amp;" "&amp;C611&amp;" "&amp;D611))</f>
        <v/>
      </c>
      <c r="G611" s="12"/>
      <c r="H611" s="12"/>
      <c r="I611" s="12"/>
      <c r="J611" s="17" t="str">
        <f aca="false">IF(I611="","",IF(COUNTIF(Emplacements!$A$2:$A$1001,I611)=0,"⚠ emplacement inconnu",IF(AND(H611&lt;&gt;"",LEFT(I611,1)&lt;&gt;H611),"⚠ mauvaise zone","OK")))</f>
        <v/>
      </c>
      <c r="K611" s="12"/>
      <c r="L611" s="12"/>
    </row>
    <row r="612" customFormat="false" ht="15" hidden="false" customHeight="false" outlineLevel="0" collapsed="false">
      <c r="A612" s="12"/>
      <c r="B612" s="12"/>
      <c r="C612" s="12"/>
      <c r="D612" s="12"/>
      <c r="E612" s="12"/>
      <c r="F612" s="17" t="str">
        <f aca="false">IF(B612="","",TRIM(B612&amp;" "&amp;C612&amp;" "&amp;D612))</f>
        <v/>
      </c>
      <c r="G612" s="12"/>
      <c r="H612" s="12"/>
      <c r="I612" s="12"/>
      <c r="J612" s="17" t="str">
        <f aca="false">IF(I612="","",IF(COUNTIF(Emplacements!$A$2:$A$1001,I612)=0,"⚠ emplacement inconnu",IF(AND(H612&lt;&gt;"",LEFT(I612,1)&lt;&gt;H612),"⚠ mauvaise zone","OK")))</f>
        <v/>
      </c>
      <c r="K612" s="12"/>
      <c r="L612" s="12"/>
    </row>
    <row r="613" customFormat="false" ht="15" hidden="false" customHeight="false" outlineLevel="0" collapsed="false">
      <c r="A613" s="12"/>
      <c r="B613" s="12"/>
      <c r="C613" s="12"/>
      <c r="D613" s="12"/>
      <c r="E613" s="12"/>
      <c r="F613" s="17" t="str">
        <f aca="false">IF(B613="","",TRIM(B613&amp;" "&amp;C613&amp;" "&amp;D613))</f>
        <v/>
      </c>
      <c r="G613" s="12"/>
      <c r="H613" s="12"/>
      <c r="I613" s="12"/>
      <c r="J613" s="17" t="str">
        <f aca="false">IF(I613="","",IF(COUNTIF(Emplacements!$A$2:$A$1001,I613)=0,"⚠ emplacement inconnu",IF(AND(H613&lt;&gt;"",LEFT(I613,1)&lt;&gt;H613),"⚠ mauvaise zone","OK")))</f>
        <v/>
      </c>
      <c r="K613" s="12"/>
      <c r="L613" s="12"/>
    </row>
    <row r="614" customFormat="false" ht="15" hidden="false" customHeight="false" outlineLevel="0" collapsed="false">
      <c r="A614" s="12"/>
      <c r="B614" s="12"/>
      <c r="C614" s="12"/>
      <c r="D614" s="12"/>
      <c r="E614" s="12"/>
      <c r="F614" s="17" t="str">
        <f aca="false">IF(B614="","",TRIM(B614&amp;" "&amp;C614&amp;" "&amp;D614))</f>
        <v/>
      </c>
      <c r="G614" s="12"/>
      <c r="H614" s="12"/>
      <c r="I614" s="12"/>
      <c r="J614" s="17" t="str">
        <f aca="false">IF(I614="","",IF(COUNTIF(Emplacements!$A$2:$A$1001,I614)=0,"⚠ emplacement inconnu",IF(AND(H614&lt;&gt;"",LEFT(I614,1)&lt;&gt;H614),"⚠ mauvaise zone","OK")))</f>
        <v/>
      </c>
      <c r="K614" s="12"/>
      <c r="L614" s="12"/>
    </row>
    <row r="615" customFormat="false" ht="15" hidden="false" customHeight="false" outlineLevel="0" collapsed="false">
      <c r="A615" s="12"/>
      <c r="B615" s="12"/>
      <c r="C615" s="12"/>
      <c r="D615" s="12"/>
      <c r="E615" s="12"/>
      <c r="F615" s="17" t="str">
        <f aca="false">IF(B615="","",TRIM(B615&amp;" "&amp;C615&amp;" "&amp;D615))</f>
        <v/>
      </c>
      <c r="G615" s="12"/>
      <c r="H615" s="12"/>
      <c r="I615" s="12"/>
      <c r="J615" s="17" t="str">
        <f aca="false">IF(I615="","",IF(COUNTIF(Emplacements!$A$2:$A$1001,I615)=0,"⚠ emplacement inconnu",IF(AND(H615&lt;&gt;"",LEFT(I615,1)&lt;&gt;H615),"⚠ mauvaise zone","OK")))</f>
        <v/>
      </c>
      <c r="K615" s="12"/>
      <c r="L615" s="12"/>
    </row>
    <row r="616" customFormat="false" ht="15" hidden="false" customHeight="false" outlineLevel="0" collapsed="false">
      <c r="A616" s="12"/>
      <c r="B616" s="12"/>
      <c r="C616" s="12"/>
      <c r="D616" s="12"/>
      <c r="E616" s="12"/>
      <c r="F616" s="17" t="str">
        <f aca="false">IF(B616="","",TRIM(B616&amp;" "&amp;C616&amp;" "&amp;D616))</f>
        <v/>
      </c>
      <c r="G616" s="12"/>
      <c r="H616" s="12"/>
      <c r="I616" s="12"/>
      <c r="J616" s="17" t="str">
        <f aca="false">IF(I616="","",IF(COUNTIF(Emplacements!$A$2:$A$1001,I616)=0,"⚠ emplacement inconnu",IF(AND(H616&lt;&gt;"",LEFT(I616,1)&lt;&gt;H616),"⚠ mauvaise zone","OK")))</f>
        <v/>
      </c>
      <c r="K616" s="12"/>
      <c r="L616" s="12"/>
    </row>
    <row r="617" customFormat="false" ht="15" hidden="false" customHeight="false" outlineLevel="0" collapsed="false">
      <c r="A617" s="12"/>
      <c r="B617" s="12"/>
      <c r="C617" s="12"/>
      <c r="D617" s="12"/>
      <c r="E617" s="12"/>
      <c r="F617" s="17" t="str">
        <f aca="false">IF(B617="","",TRIM(B617&amp;" "&amp;C617&amp;" "&amp;D617))</f>
        <v/>
      </c>
      <c r="G617" s="12"/>
      <c r="H617" s="12"/>
      <c r="I617" s="12"/>
      <c r="J617" s="17" t="str">
        <f aca="false">IF(I617="","",IF(COUNTIF(Emplacements!$A$2:$A$1001,I617)=0,"⚠ emplacement inconnu",IF(AND(H617&lt;&gt;"",LEFT(I617,1)&lt;&gt;H617),"⚠ mauvaise zone","OK")))</f>
        <v/>
      </c>
      <c r="K617" s="12"/>
      <c r="L617" s="12"/>
    </row>
    <row r="618" customFormat="false" ht="15" hidden="false" customHeight="false" outlineLevel="0" collapsed="false">
      <c r="A618" s="12"/>
      <c r="B618" s="12"/>
      <c r="C618" s="12"/>
      <c r="D618" s="12"/>
      <c r="E618" s="12"/>
      <c r="F618" s="17" t="str">
        <f aca="false">IF(B618="","",TRIM(B618&amp;" "&amp;C618&amp;" "&amp;D618))</f>
        <v/>
      </c>
      <c r="G618" s="12"/>
      <c r="H618" s="12"/>
      <c r="I618" s="12"/>
      <c r="J618" s="17" t="str">
        <f aca="false">IF(I618="","",IF(COUNTIF(Emplacements!$A$2:$A$1001,I618)=0,"⚠ emplacement inconnu",IF(AND(H618&lt;&gt;"",LEFT(I618,1)&lt;&gt;H618),"⚠ mauvaise zone","OK")))</f>
        <v/>
      </c>
      <c r="K618" s="12"/>
      <c r="L618" s="12"/>
    </row>
    <row r="619" customFormat="false" ht="15" hidden="false" customHeight="false" outlineLevel="0" collapsed="false">
      <c r="A619" s="12"/>
      <c r="B619" s="12"/>
      <c r="C619" s="12"/>
      <c r="D619" s="12"/>
      <c r="E619" s="12"/>
      <c r="F619" s="17" t="str">
        <f aca="false">IF(B619="","",TRIM(B619&amp;" "&amp;C619&amp;" "&amp;D619))</f>
        <v/>
      </c>
      <c r="G619" s="12"/>
      <c r="H619" s="12"/>
      <c r="I619" s="12"/>
      <c r="J619" s="17" t="str">
        <f aca="false">IF(I619="","",IF(COUNTIF(Emplacements!$A$2:$A$1001,I619)=0,"⚠ emplacement inconnu",IF(AND(H619&lt;&gt;"",LEFT(I619,1)&lt;&gt;H619),"⚠ mauvaise zone","OK")))</f>
        <v/>
      </c>
      <c r="K619" s="12"/>
      <c r="L619" s="12"/>
    </row>
    <row r="620" customFormat="false" ht="15" hidden="false" customHeight="false" outlineLevel="0" collapsed="false">
      <c r="A620" s="12"/>
      <c r="B620" s="12"/>
      <c r="C620" s="12"/>
      <c r="D620" s="12"/>
      <c r="E620" s="12"/>
      <c r="F620" s="17" t="str">
        <f aca="false">IF(B620="","",TRIM(B620&amp;" "&amp;C620&amp;" "&amp;D620))</f>
        <v/>
      </c>
      <c r="G620" s="12"/>
      <c r="H620" s="12"/>
      <c r="I620" s="12"/>
      <c r="J620" s="17" t="str">
        <f aca="false">IF(I620="","",IF(COUNTIF(Emplacements!$A$2:$A$1001,I620)=0,"⚠ emplacement inconnu",IF(AND(H620&lt;&gt;"",LEFT(I620,1)&lt;&gt;H620),"⚠ mauvaise zone","OK")))</f>
        <v/>
      </c>
      <c r="K620" s="12"/>
      <c r="L620" s="12"/>
    </row>
    <row r="621" customFormat="false" ht="15" hidden="false" customHeight="false" outlineLevel="0" collapsed="false">
      <c r="A621" s="12"/>
      <c r="B621" s="12"/>
      <c r="C621" s="12"/>
      <c r="D621" s="12"/>
      <c r="E621" s="12"/>
      <c r="F621" s="17" t="str">
        <f aca="false">IF(B621="","",TRIM(B621&amp;" "&amp;C621&amp;" "&amp;D621))</f>
        <v/>
      </c>
      <c r="G621" s="12"/>
      <c r="H621" s="12"/>
      <c r="I621" s="12"/>
      <c r="J621" s="17" t="str">
        <f aca="false">IF(I621="","",IF(COUNTIF(Emplacements!$A$2:$A$1001,I621)=0,"⚠ emplacement inconnu",IF(AND(H621&lt;&gt;"",LEFT(I621,1)&lt;&gt;H621),"⚠ mauvaise zone","OK")))</f>
        <v/>
      </c>
      <c r="K621" s="12"/>
      <c r="L621" s="12"/>
    </row>
    <row r="622" customFormat="false" ht="15" hidden="false" customHeight="false" outlineLevel="0" collapsed="false">
      <c r="A622" s="12"/>
      <c r="B622" s="12"/>
      <c r="C622" s="12"/>
      <c r="D622" s="12"/>
      <c r="E622" s="12"/>
      <c r="F622" s="17" t="str">
        <f aca="false">IF(B622="","",TRIM(B622&amp;" "&amp;C622&amp;" "&amp;D622))</f>
        <v/>
      </c>
      <c r="G622" s="12"/>
      <c r="H622" s="12"/>
      <c r="I622" s="12"/>
      <c r="J622" s="17" t="str">
        <f aca="false">IF(I622="","",IF(COUNTIF(Emplacements!$A$2:$A$1001,I622)=0,"⚠ emplacement inconnu",IF(AND(H622&lt;&gt;"",LEFT(I622,1)&lt;&gt;H622),"⚠ mauvaise zone","OK")))</f>
        <v/>
      </c>
      <c r="K622" s="12"/>
      <c r="L622" s="12"/>
    </row>
    <row r="623" customFormat="false" ht="15" hidden="false" customHeight="false" outlineLevel="0" collapsed="false">
      <c r="A623" s="12"/>
      <c r="B623" s="12"/>
      <c r="C623" s="12"/>
      <c r="D623" s="12"/>
      <c r="E623" s="12"/>
      <c r="F623" s="17" t="str">
        <f aca="false">IF(B623="","",TRIM(B623&amp;" "&amp;C623&amp;" "&amp;D623))</f>
        <v/>
      </c>
      <c r="G623" s="12"/>
      <c r="H623" s="12"/>
      <c r="I623" s="12"/>
      <c r="J623" s="17" t="str">
        <f aca="false">IF(I623="","",IF(COUNTIF(Emplacements!$A$2:$A$1001,I623)=0,"⚠ emplacement inconnu",IF(AND(H623&lt;&gt;"",LEFT(I623,1)&lt;&gt;H623),"⚠ mauvaise zone","OK")))</f>
        <v/>
      </c>
      <c r="K623" s="12"/>
      <c r="L623" s="12"/>
    </row>
    <row r="624" customFormat="false" ht="15" hidden="false" customHeight="false" outlineLevel="0" collapsed="false">
      <c r="A624" s="12"/>
      <c r="B624" s="12"/>
      <c r="C624" s="12"/>
      <c r="D624" s="12"/>
      <c r="E624" s="12"/>
      <c r="F624" s="17" t="str">
        <f aca="false">IF(B624="","",TRIM(B624&amp;" "&amp;C624&amp;" "&amp;D624))</f>
        <v/>
      </c>
      <c r="G624" s="12"/>
      <c r="H624" s="12"/>
      <c r="I624" s="12"/>
      <c r="J624" s="17" t="str">
        <f aca="false">IF(I624="","",IF(COUNTIF(Emplacements!$A$2:$A$1001,I624)=0,"⚠ emplacement inconnu",IF(AND(H624&lt;&gt;"",LEFT(I624,1)&lt;&gt;H624),"⚠ mauvaise zone","OK")))</f>
        <v/>
      </c>
      <c r="K624" s="12"/>
      <c r="L624" s="12"/>
    </row>
    <row r="625" customFormat="false" ht="15" hidden="false" customHeight="false" outlineLevel="0" collapsed="false">
      <c r="A625" s="12"/>
      <c r="B625" s="12"/>
      <c r="C625" s="12"/>
      <c r="D625" s="12"/>
      <c r="E625" s="12"/>
      <c r="F625" s="17" t="str">
        <f aca="false">IF(B625="","",TRIM(B625&amp;" "&amp;C625&amp;" "&amp;D625))</f>
        <v/>
      </c>
      <c r="G625" s="12"/>
      <c r="H625" s="12"/>
      <c r="I625" s="12"/>
      <c r="J625" s="17" t="str">
        <f aca="false">IF(I625="","",IF(COUNTIF(Emplacements!$A$2:$A$1001,I625)=0,"⚠ emplacement inconnu",IF(AND(H625&lt;&gt;"",LEFT(I625,1)&lt;&gt;H625),"⚠ mauvaise zone","OK")))</f>
        <v/>
      </c>
      <c r="K625" s="12"/>
      <c r="L625" s="12"/>
    </row>
    <row r="626" customFormat="false" ht="15" hidden="false" customHeight="false" outlineLevel="0" collapsed="false">
      <c r="A626" s="12"/>
      <c r="B626" s="12"/>
      <c r="C626" s="12"/>
      <c r="D626" s="12"/>
      <c r="E626" s="12"/>
      <c r="F626" s="17" t="str">
        <f aca="false">IF(B626="","",TRIM(B626&amp;" "&amp;C626&amp;" "&amp;D626))</f>
        <v/>
      </c>
      <c r="G626" s="12"/>
      <c r="H626" s="12"/>
      <c r="I626" s="12"/>
      <c r="J626" s="17" t="str">
        <f aca="false">IF(I626="","",IF(COUNTIF(Emplacements!$A$2:$A$1001,I626)=0,"⚠ emplacement inconnu",IF(AND(H626&lt;&gt;"",LEFT(I626,1)&lt;&gt;H626),"⚠ mauvaise zone","OK")))</f>
        <v/>
      </c>
      <c r="K626" s="12"/>
      <c r="L626" s="12"/>
    </row>
    <row r="627" customFormat="false" ht="15" hidden="false" customHeight="false" outlineLevel="0" collapsed="false">
      <c r="A627" s="12"/>
      <c r="B627" s="12"/>
      <c r="C627" s="12"/>
      <c r="D627" s="12"/>
      <c r="E627" s="12"/>
      <c r="F627" s="17" t="str">
        <f aca="false">IF(B627="","",TRIM(B627&amp;" "&amp;C627&amp;" "&amp;D627))</f>
        <v/>
      </c>
      <c r="G627" s="12"/>
      <c r="H627" s="12"/>
      <c r="I627" s="12"/>
      <c r="J627" s="17" t="str">
        <f aca="false">IF(I627="","",IF(COUNTIF(Emplacements!$A$2:$A$1001,I627)=0,"⚠ emplacement inconnu",IF(AND(H627&lt;&gt;"",LEFT(I627,1)&lt;&gt;H627),"⚠ mauvaise zone","OK")))</f>
        <v/>
      </c>
      <c r="K627" s="12"/>
      <c r="L627" s="12"/>
    </row>
    <row r="628" customFormat="false" ht="15" hidden="false" customHeight="false" outlineLevel="0" collapsed="false">
      <c r="A628" s="12"/>
      <c r="B628" s="12"/>
      <c r="C628" s="12"/>
      <c r="D628" s="12"/>
      <c r="E628" s="12"/>
      <c r="F628" s="17" t="str">
        <f aca="false">IF(B628="","",TRIM(B628&amp;" "&amp;C628&amp;" "&amp;D628))</f>
        <v/>
      </c>
      <c r="G628" s="12"/>
      <c r="H628" s="12"/>
      <c r="I628" s="12"/>
      <c r="J628" s="17" t="str">
        <f aca="false">IF(I628="","",IF(COUNTIF(Emplacements!$A$2:$A$1001,I628)=0,"⚠ emplacement inconnu",IF(AND(H628&lt;&gt;"",LEFT(I628,1)&lt;&gt;H628),"⚠ mauvaise zone","OK")))</f>
        <v/>
      </c>
      <c r="K628" s="12"/>
      <c r="L628" s="12"/>
    </row>
    <row r="629" customFormat="false" ht="15" hidden="false" customHeight="false" outlineLevel="0" collapsed="false">
      <c r="A629" s="12"/>
      <c r="B629" s="12"/>
      <c r="C629" s="12"/>
      <c r="D629" s="12"/>
      <c r="E629" s="12"/>
      <c r="F629" s="17" t="str">
        <f aca="false">IF(B629="","",TRIM(B629&amp;" "&amp;C629&amp;" "&amp;D629))</f>
        <v/>
      </c>
      <c r="G629" s="12"/>
      <c r="H629" s="12"/>
      <c r="I629" s="12"/>
      <c r="J629" s="17" t="str">
        <f aca="false">IF(I629="","",IF(COUNTIF(Emplacements!$A$2:$A$1001,I629)=0,"⚠ emplacement inconnu",IF(AND(H629&lt;&gt;"",LEFT(I629,1)&lt;&gt;H629),"⚠ mauvaise zone","OK")))</f>
        <v/>
      </c>
      <c r="K629" s="12"/>
      <c r="L629" s="12"/>
    </row>
    <row r="630" customFormat="false" ht="15" hidden="false" customHeight="false" outlineLevel="0" collapsed="false">
      <c r="A630" s="12"/>
      <c r="B630" s="12"/>
      <c r="C630" s="12"/>
      <c r="D630" s="12"/>
      <c r="E630" s="12"/>
      <c r="F630" s="17" t="str">
        <f aca="false">IF(B630="","",TRIM(B630&amp;" "&amp;C630&amp;" "&amp;D630))</f>
        <v/>
      </c>
      <c r="G630" s="12"/>
      <c r="H630" s="12"/>
      <c r="I630" s="12"/>
      <c r="J630" s="17" t="str">
        <f aca="false">IF(I630="","",IF(COUNTIF(Emplacements!$A$2:$A$1001,I630)=0,"⚠ emplacement inconnu",IF(AND(H630&lt;&gt;"",LEFT(I630,1)&lt;&gt;H630),"⚠ mauvaise zone","OK")))</f>
        <v/>
      </c>
      <c r="K630" s="12"/>
      <c r="L630" s="12"/>
    </row>
    <row r="631" customFormat="false" ht="15" hidden="false" customHeight="false" outlineLevel="0" collapsed="false">
      <c r="A631" s="12"/>
      <c r="B631" s="12"/>
      <c r="C631" s="12"/>
      <c r="D631" s="12"/>
      <c r="E631" s="12"/>
      <c r="F631" s="17" t="str">
        <f aca="false">IF(B631="","",TRIM(B631&amp;" "&amp;C631&amp;" "&amp;D631))</f>
        <v/>
      </c>
      <c r="G631" s="12"/>
      <c r="H631" s="12"/>
      <c r="I631" s="12"/>
      <c r="J631" s="17" t="str">
        <f aca="false">IF(I631="","",IF(COUNTIF(Emplacements!$A$2:$A$1001,I631)=0,"⚠ emplacement inconnu",IF(AND(H631&lt;&gt;"",LEFT(I631,1)&lt;&gt;H631),"⚠ mauvaise zone","OK")))</f>
        <v/>
      </c>
      <c r="K631" s="12"/>
      <c r="L631" s="12"/>
    </row>
    <row r="632" customFormat="false" ht="15" hidden="false" customHeight="false" outlineLevel="0" collapsed="false">
      <c r="A632" s="12"/>
      <c r="B632" s="12"/>
      <c r="C632" s="12"/>
      <c r="D632" s="12"/>
      <c r="E632" s="12"/>
      <c r="F632" s="17" t="str">
        <f aca="false">IF(B632="","",TRIM(B632&amp;" "&amp;C632&amp;" "&amp;D632))</f>
        <v/>
      </c>
      <c r="G632" s="12"/>
      <c r="H632" s="12"/>
      <c r="I632" s="12"/>
      <c r="J632" s="17" t="str">
        <f aca="false">IF(I632="","",IF(COUNTIF(Emplacements!$A$2:$A$1001,I632)=0,"⚠ emplacement inconnu",IF(AND(H632&lt;&gt;"",LEFT(I632,1)&lt;&gt;H632),"⚠ mauvaise zone","OK")))</f>
        <v/>
      </c>
      <c r="K632" s="12"/>
      <c r="L632" s="12"/>
    </row>
    <row r="633" customFormat="false" ht="15" hidden="false" customHeight="false" outlineLevel="0" collapsed="false">
      <c r="A633" s="12"/>
      <c r="B633" s="12"/>
      <c r="C633" s="12"/>
      <c r="D633" s="12"/>
      <c r="E633" s="12"/>
      <c r="F633" s="17" t="str">
        <f aca="false">IF(B633="","",TRIM(B633&amp;" "&amp;C633&amp;" "&amp;D633))</f>
        <v/>
      </c>
      <c r="G633" s="12"/>
      <c r="H633" s="12"/>
      <c r="I633" s="12"/>
      <c r="J633" s="17" t="str">
        <f aca="false">IF(I633="","",IF(COUNTIF(Emplacements!$A$2:$A$1001,I633)=0,"⚠ emplacement inconnu",IF(AND(H633&lt;&gt;"",LEFT(I633,1)&lt;&gt;H633),"⚠ mauvaise zone","OK")))</f>
        <v/>
      </c>
      <c r="K633" s="12"/>
      <c r="L633" s="12"/>
    </row>
    <row r="634" customFormat="false" ht="15" hidden="false" customHeight="false" outlineLevel="0" collapsed="false">
      <c r="A634" s="12"/>
      <c r="B634" s="12"/>
      <c r="C634" s="12"/>
      <c r="D634" s="12"/>
      <c r="E634" s="12"/>
      <c r="F634" s="17" t="str">
        <f aca="false">IF(B634="","",TRIM(B634&amp;" "&amp;C634&amp;" "&amp;D634))</f>
        <v/>
      </c>
      <c r="G634" s="12"/>
      <c r="H634" s="12"/>
      <c r="I634" s="12"/>
      <c r="J634" s="17" t="str">
        <f aca="false">IF(I634="","",IF(COUNTIF(Emplacements!$A$2:$A$1001,I634)=0,"⚠ emplacement inconnu",IF(AND(H634&lt;&gt;"",LEFT(I634,1)&lt;&gt;H634),"⚠ mauvaise zone","OK")))</f>
        <v/>
      </c>
      <c r="K634" s="12"/>
      <c r="L634" s="12"/>
    </row>
    <row r="635" customFormat="false" ht="15" hidden="false" customHeight="false" outlineLevel="0" collapsed="false">
      <c r="A635" s="12"/>
      <c r="B635" s="12"/>
      <c r="C635" s="12"/>
      <c r="D635" s="12"/>
      <c r="E635" s="12"/>
      <c r="F635" s="17" t="str">
        <f aca="false">IF(B635="","",TRIM(B635&amp;" "&amp;C635&amp;" "&amp;D635))</f>
        <v/>
      </c>
      <c r="G635" s="12"/>
      <c r="H635" s="12"/>
      <c r="I635" s="12"/>
      <c r="J635" s="17" t="str">
        <f aca="false">IF(I635="","",IF(COUNTIF(Emplacements!$A$2:$A$1001,I635)=0,"⚠ emplacement inconnu",IF(AND(H635&lt;&gt;"",LEFT(I635,1)&lt;&gt;H635),"⚠ mauvaise zone","OK")))</f>
        <v/>
      </c>
      <c r="K635" s="12"/>
      <c r="L635" s="12"/>
    </row>
    <row r="636" customFormat="false" ht="15" hidden="false" customHeight="false" outlineLevel="0" collapsed="false">
      <c r="A636" s="12"/>
      <c r="B636" s="12"/>
      <c r="C636" s="12"/>
      <c r="D636" s="12"/>
      <c r="E636" s="12"/>
      <c r="F636" s="17" t="str">
        <f aca="false">IF(B636="","",TRIM(B636&amp;" "&amp;C636&amp;" "&amp;D636))</f>
        <v/>
      </c>
      <c r="G636" s="12"/>
      <c r="H636" s="12"/>
      <c r="I636" s="12"/>
      <c r="J636" s="17" t="str">
        <f aca="false">IF(I636="","",IF(COUNTIF(Emplacements!$A$2:$A$1001,I636)=0,"⚠ emplacement inconnu",IF(AND(H636&lt;&gt;"",LEFT(I636,1)&lt;&gt;H636),"⚠ mauvaise zone","OK")))</f>
        <v/>
      </c>
      <c r="K636" s="12"/>
      <c r="L636" s="12"/>
    </row>
    <row r="637" customFormat="false" ht="15" hidden="false" customHeight="false" outlineLevel="0" collapsed="false">
      <c r="A637" s="12"/>
      <c r="B637" s="12"/>
      <c r="C637" s="12"/>
      <c r="D637" s="12"/>
      <c r="E637" s="12"/>
      <c r="F637" s="17" t="str">
        <f aca="false">IF(B637="","",TRIM(B637&amp;" "&amp;C637&amp;" "&amp;D637))</f>
        <v/>
      </c>
      <c r="G637" s="12"/>
      <c r="H637" s="12"/>
      <c r="I637" s="12"/>
      <c r="J637" s="17" t="str">
        <f aca="false">IF(I637="","",IF(COUNTIF(Emplacements!$A$2:$A$1001,I637)=0,"⚠ emplacement inconnu",IF(AND(H637&lt;&gt;"",LEFT(I637,1)&lt;&gt;H637),"⚠ mauvaise zone","OK")))</f>
        <v/>
      </c>
      <c r="K637" s="12"/>
      <c r="L637" s="12"/>
    </row>
    <row r="638" customFormat="false" ht="15" hidden="false" customHeight="false" outlineLevel="0" collapsed="false">
      <c r="A638" s="12"/>
      <c r="B638" s="12"/>
      <c r="C638" s="12"/>
      <c r="D638" s="12"/>
      <c r="E638" s="12"/>
      <c r="F638" s="17" t="str">
        <f aca="false">IF(B638="","",TRIM(B638&amp;" "&amp;C638&amp;" "&amp;D638))</f>
        <v/>
      </c>
      <c r="G638" s="12"/>
      <c r="H638" s="12"/>
      <c r="I638" s="12"/>
      <c r="J638" s="17" t="str">
        <f aca="false">IF(I638="","",IF(COUNTIF(Emplacements!$A$2:$A$1001,I638)=0,"⚠ emplacement inconnu",IF(AND(H638&lt;&gt;"",LEFT(I638,1)&lt;&gt;H638),"⚠ mauvaise zone","OK")))</f>
        <v/>
      </c>
      <c r="K638" s="12"/>
      <c r="L638" s="12"/>
    </row>
    <row r="639" customFormat="false" ht="15" hidden="false" customHeight="false" outlineLevel="0" collapsed="false">
      <c r="A639" s="12"/>
      <c r="B639" s="12"/>
      <c r="C639" s="12"/>
      <c r="D639" s="12"/>
      <c r="E639" s="12"/>
      <c r="F639" s="17" t="str">
        <f aca="false">IF(B639="","",TRIM(B639&amp;" "&amp;C639&amp;" "&amp;D639))</f>
        <v/>
      </c>
      <c r="G639" s="12"/>
      <c r="H639" s="12"/>
      <c r="I639" s="12"/>
      <c r="J639" s="17" t="str">
        <f aca="false">IF(I639="","",IF(COUNTIF(Emplacements!$A$2:$A$1001,I639)=0,"⚠ emplacement inconnu",IF(AND(H639&lt;&gt;"",LEFT(I639,1)&lt;&gt;H639),"⚠ mauvaise zone","OK")))</f>
        <v/>
      </c>
      <c r="K639" s="12"/>
      <c r="L639" s="12"/>
    </row>
    <row r="640" customFormat="false" ht="15" hidden="false" customHeight="false" outlineLevel="0" collapsed="false">
      <c r="A640" s="12"/>
      <c r="B640" s="12"/>
      <c r="C640" s="12"/>
      <c r="D640" s="12"/>
      <c r="E640" s="12"/>
      <c r="F640" s="17" t="str">
        <f aca="false">IF(B640="","",TRIM(B640&amp;" "&amp;C640&amp;" "&amp;D640))</f>
        <v/>
      </c>
      <c r="G640" s="12"/>
      <c r="H640" s="12"/>
      <c r="I640" s="12"/>
      <c r="J640" s="17" t="str">
        <f aca="false">IF(I640="","",IF(COUNTIF(Emplacements!$A$2:$A$1001,I640)=0,"⚠ emplacement inconnu",IF(AND(H640&lt;&gt;"",LEFT(I640,1)&lt;&gt;H640),"⚠ mauvaise zone","OK")))</f>
        <v/>
      </c>
      <c r="K640" s="12"/>
      <c r="L640" s="12"/>
    </row>
    <row r="641" customFormat="false" ht="15" hidden="false" customHeight="false" outlineLevel="0" collapsed="false">
      <c r="A641" s="12"/>
      <c r="B641" s="12"/>
      <c r="C641" s="12"/>
      <c r="D641" s="12"/>
      <c r="E641" s="12"/>
      <c r="F641" s="17" t="str">
        <f aca="false">IF(B641="","",TRIM(B641&amp;" "&amp;C641&amp;" "&amp;D641))</f>
        <v/>
      </c>
      <c r="G641" s="12"/>
      <c r="H641" s="12"/>
      <c r="I641" s="12"/>
      <c r="J641" s="17" t="str">
        <f aca="false">IF(I641="","",IF(COUNTIF(Emplacements!$A$2:$A$1001,I641)=0,"⚠ emplacement inconnu",IF(AND(H641&lt;&gt;"",LEFT(I641,1)&lt;&gt;H641),"⚠ mauvaise zone","OK")))</f>
        <v/>
      </c>
      <c r="K641" s="12"/>
      <c r="L641" s="12"/>
    </row>
    <row r="642" customFormat="false" ht="15" hidden="false" customHeight="false" outlineLevel="0" collapsed="false">
      <c r="A642" s="12"/>
      <c r="B642" s="12"/>
      <c r="C642" s="12"/>
      <c r="D642" s="12"/>
      <c r="E642" s="12"/>
      <c r="F642" s="17" t="str">
        <f aca="false">IF(B642="","",TRIM(B642&amp;" "&amp;C642&amp;" "&amp;D642))</f>
        <v/>
      </c>
      <c r="G642" s="12"/>
      <c r="H642" s="12"/>
      <c r="I642" s="12"/>
      <c r="J642" s="17" t="str">
        <f aca="false">IF(I642="","",IF(COUNTIF(Emplacements!$A$2:$A$1001,I642)=0,"⚠ emplacement inconnu",IF(AND(H642&lt;&gt;"",LEFT(I642,1)&lt;&gt;H642),"⚠ mauvaise zone","OK")))</f>
        <v/>
      </c>
      <c r="K642" s="12"/>
      <c r="L642" s="12"/>
    </row>
    <row r="643" customFormat="false" ht="15" hidden="false" customHeight="false" outlineLevel="0" collapsed="false">
      <c r="A643" s="12"/>
      <c r="B643" s="12"/>
      <c r="C643" s="12"/>
      <c r="D643" s="12"/>
      <c r="E643" s="12"/>
      <c r="F643" s="17" t="str">
        <f aca="false">IF(B643="","",TRIM(B643&amp;" "&amp;C643&amp;" "&amp;D643))</f>
        <v/>
      </c>
      <c r="G643" s="12"/>
      <c r="H643" s="12"/>
      <c r="I643" s="12"/>
      <c r="J643" s="17" t="str">
        <f aca="false">IF(I643="","",IF(COUNTIF(Emplacements!$A$2:$A$1001,I643)=0,"⚠ emplacement inconnu",IF(AND(H643&lt;&gt;"",LEFT(I643,1)&lt;&gt;H643),"⚠ mauvaise zone","OK")))</f>
        <v/>
      </c>
      <c r="K643" s="12"/>
      <c r="L643" s="12"/>
    </row>
    <row r="644" customFormat="false" ht="15" hidden="false" customHeight="false" outlineLevel="0" collapsed="false">
      <c r="A644" s="12"/>
      <c r="B644" s="12"/>
      <c r="C644" s="12"/>
      <c r="D644" s="12"/>
      <c r="E644" s="12"/>
      <c r="F644" s="17" t="str">
        <f aca="false">IF(B644="","",TRIM(B644&amp;" "&amp;C644&amp;" "&amp;D644))</f>
        <v/>
      </c>
      <c r="G644" s="12"/>
      <c r="H644" s="12"/>
      <c r="I644" s="12"/>
      <c r="J644" s="17" t="str">
        <f aca="false">IF(I644="","",IF(COUNTIF(Emplacements!$A$2:$A$1001,I644)=0,"⚠ emplacement inconnu",IF(AND(H644&lt;&gt;"",LEFT(I644,1)&lt;&gt;H644),"⚠ mauvaise zone","OK")))</f>
        <v/>
      </c>
      <c r="K644" s="12"/>
      <c r="L644" s="12"/>
    </row>
    <row r="645" customFormat="false" ht="15" hidden="false" customHeight="false" outlineLevel="0" collapsed="false">
      <c r="A645" s="12"/>
      <c r="B645" s="12"/>
      <c r="C645" s="12"/>
      <c r="D645" s="12"/>
      <c r="E645" s="12"/>
      <c r="F645" s="17" t="str">
        <f aca="false">IF(B645="","",TRIM(B645&amp;" "&amp;C645&amp;" "&amp;D645))</f>
        <v/>
      </c>
      <c r="G645" s="12"/>
      <c r="H645" s="12"/>
      <c r="I645" s="12"/>
      <c r="J645" s="17" t="str">
        <f aca="false">IF(I645="","",IF(COUNTIF(Emplacements!$A$2:$A$1001,I645)=0,"⚠ emplacement inconnu",IF(AND(H645&lt;&gt;"",LEFT(I645,1)&lt;&gt;H645),"⚠ mauvaise zone","OK")))</f>
        <v/>
      </c>
      <c r="K645" s="12"/>
      <c r="L645" s="12"/>
    </row>
    <row r="646" customFormat="false" ht="15" hidden="false" customHeight="false" outlineLevel="0" collapsed="false">
      <c r="A646" s="12"/>
      <c r="B646" s="12"/>
      <c r="C646" s="12"/>
      <c r="D646" s="12"/>
      <c r="E646" s="12"/>
      <c r="F646" s="17" t="str">
        <f aca="false">IF(B646="","",TRIM(B646&amp;" "&amp;C646&amp;" "&amp;D646))</f>
        <v/>
      </c>
      <c r="G646" s="12"/>
      <c r="H646" s="12"/>
      <c r="I646" s="12"/>
      <c r="J646" s="17" t="str">
        <f aca="false">IF(I646="","",IF(COUNTIF(Emplacements!$A$2:$A$1001,I646)=0,"⚠ emplacement inconnu",IF(AND(H646&lt;&gt;"",LEFT(I646,1)&lt;&gt;H646),"⚠ mauvaise zone","OK")))</f>
        <v/>
      </c>
      <c r="K646" s="12"/>
      <c r="L646" s="12"/>
    </row>
    <row r="647" customFormat="false" ht="15" hidden="false" customHeight="false" outlineLevel="0" collapsed="false">
      <c r="A647" s="12"/>
      <c r="B647" s="12"/>
      <c r="C647" s="12"/>
      <c r="D647" s="12"/>
      <c r="E647" s="12"/>
      <c r="F647" s="17" t="str">
        <f aca="false">IF(B647="","",TRIM(B647&amp;" "&amp;C647&amp;" "&amp;D647))</f>
        <v/>
      </c>
      <c r="G647" s="12"/>
      <c r="H647" s="12"/>
      <c r="I647" s="12"/>
      <c r="J647" s="17" t="str">
        <f aca="false">IF(I647="","",IF(COUNTIF(Emplacements!$A$2:$A$1001,I647)=0,"⚠ emplacement inconnu",IF(AND(H647&lt;&gt;"",LEFT(I647,1)&lt;&gt;H647),"⚠ mauvaise zone","OK")))</f>
        <v/>
      </c>
      <c r="K647" s="12"/>
      <c r="L647" s="12"/>
    </row>
    <row r="648" customFormat="false" ht="15" hidden="false" customHeight="false" outlineLevel="0" collapsed="false">
      <c r="A648" s="12"/>
      <c r="B648" s="12"/>
      <c r="C648" s="12"/>
      <c r="D648" s="12"/>
      <c r="E648" s="12"/>
      <c r="F648" s="17" t="str">
        <f aca="false">IF(B648="","",TRIM(B648&amp;" "&amp;C648&amp;" "&amp;D648))</f>
        <v/>
      </c>
      <c r="G648" s="12"/>
      <c r="H648" s="12"/>
      <c r="I648" s="12"/>
      <c r="J648" s="17" t="str">
        <f aca="false">IF(I648="","",IF(COUNTIF(Emplacements!$A$2:$A$1001,I648)=0,"⚠ emplacement inconnu",IF(AND(H648&lt;&gt;"",LEFT(I648,1)&lt;&gt;H648),"⚠ mauvaise zone","OK")))</f>
        <v/>
      </c>
      <c r="K648" s="12"/>
      <c r="L648" s="12"/>
    </row>
    <row r="649" customFormat="false" ht="15" hidden="false" customHeight="false" outlineLevel="0" collapsed="false">
      <c r="A649" s="12"/>
      <c r="B649" s="12"/>
      <c r="C649" s="12"/>
      <c r="D649" s="12"/>
      <c r="E649" s="12"/>
      <c r="F649" s="17" t="str">
        <f aca="false">IF(B649="","",TRIM(B649&amp;" "&amp;C649&amp;" "&amp;D649))</f>
        <v/>
      </c>
      <c r="G649" s="12"/>
      <c r="H649" s="12"/>
      <c r="I649" s="12"/>
      <c r="J649" s="17" t="str">
        <f aca="false">IF(I649="","",IF(COUNTIF(Emplacements!$A$2:$A$1001,I649)=0,"⚠ emplacement inconnu",IF(AND(H649&lt;&gt;"",LEFT(I649,1)&lt;&gt;H649),"⚠ mauvaise zone","OK")))</f>
        <v/>
      </c>
      <c r="K649" s="12"/>
      <c r="L649" s="12"/>
    </row>
    <row r="650" customFormat="false" ht="15" hidden="false" customHeight="false" outlineLevel="0" collapsed="false">
      <c r="A650" s="12"/>
      <c r="B650" s="12"/>
      <c r="C650" s="12"/>
      <c r="D650" s="12"/>
      <c r="E650" s="12"/>
      <c r="F650" s="17" t="str">
        <f aca="false">IF(B650="","",TRIM(B650&amp;" "&amp;C650&amp;" "&amp;D650))</f>
        <v/>
      </c>
      <c r="G650" s="12"/>
      <c r="H650" s="12"/>
      <c r="I650" s="12"/>
      <c r="J650" s="17" t="str">
        <f aca="false">IF(I650="","",IF(COUNTIF(Emplacements!$A$2:$A$1001,I650)=0,"⚠ emplacement inconnu",IF(AND(H650&lt;&gt;"",LEFT(I650,1)&lt;&gt;H650),"⚠ mauvaise zone","OK")))</f>
        <v/>
      </c>
      <c r="K650" s="12"/>
      <c r="L650" s="12"/>
    </row>
    <row r="651" customFormat="false" ht="15" hidden="false" customHeight="false" outlineLevel="0" collapsed="false">
      <c r="A651" s="12"/>
      <c r="B651" s="12"/>
      <c r="C651" s="12"/>
      <c r="D651" s="12"/>
      <c r="E651" s="12"/>
      <c r="F651" s="17" t="str">
        <f aca="false">IF(B651="","",TRIM(B651&amp;" "&amp;C651&amp;" "&amp;D651))</f>
        <v/>
      </c>
      <c r="G651" s="12"/>
      <c r="H651" s="12"/>
      <c r="I651" s="12"/>
      <c r="J651" s="17" t="str">
        <f aca="false">IF(I651="","",IF(COUNTIF(Emplacements!$A$2:$A$1001,I651)=0,"⚠ emplacement inconnu",IF(AND(H651&lt;&gt;"",LEFT(I651,1)&lt;&gt;H651),"⚠ mauvaise zone","OK")))</f>
        <v/>
      </c>
      <c r="K651" s="12"/>
      <c r="L651" s="12"/>
    </row>
    <row r="652" customFormat="false" ht="15" hidden="false" customHeight="false" outlineLevel="0" collapsed="false">
      <c r="A652" s="12"/>
      <c r="B652" s="12"/>
      <c r="C652" s="12"/>
      <c r="D652" s="12"/>
      <c r="E652" s="12"/>
      <c r="F652" s="17" t="str">
        <f aca="false">IF(B652="","",TRIM(B652&amp;" "&amp;C652&amp;" "&amp;D652))</f>
        <v/>
      </c>
      <c r="G652" s="12"/>
      <c r="H652" s="12"/>
      <c r="I652" s="12"/>
      <c r="J652" s="17" t="str">
        <f aca="false">IF(I652="","",IF(COUNTIF(Emplacements!$A$2:$A$1001,I652)=0,"⚠ emplacement inconnu",IF(AND(H652&lt;&gt;"",LEFT(I652,1)&lt;&gt;H652),"⚠ mauvaise zone","OK")))</f>
        <v/>
      </c>
      <c r="K652" s="12"/>
      <c r="L652" s="12"/>
    </row>
    <row r="653" customFormat="false" ht="15" hidden="false" customHeight="false" outlineLevel="0" collapsed="false">
      <c r="A653" s="12"/>
      <c r="B653" s="12"/>
      <c r="C653" s="12"/>
      <c r="D653" s="12"/>
      <c r="E653" s="12"/>
      <c r="F653" s="17" t="str">
        <f aca="false">IF(B653="","",TRIM(B653&amp;" "&amp;C653&amp;" "&amp;D653))</f>
        <v/>
      </c>
      <c r="G653" s="12"/>
      <c r="H653" s="12"/>
      <c r="I653" s="12"/>
      <c r="J653" s="17" t="str">
        <f aca="false">IF(I653="","",IF(COUNTIF(Emplacements!$A$2:$A$1001,I653)=0,"⚠ emplacement inconnu",IF(AND(H653&lt;&gt;"",LEFT(I653,1)&lt;&gt;H653),"⚠ mauvaise zone","OK")))</f>
        <v/>
      </c>
      <c r="K653" s="12"/>
      <c r="L653" s="12"/>
    </row>
    <row r="654" customFormat="false" ht="15" hidden="false" customHeight="false" outlineLevel="0" collapsed="false">
      <c r="A654" s="12"/>
      <c r="B654" s="12"/>
      <c r="C654" s="12"/>
      <c r="D654" s="12"/>
      <c r="E654" s="12"/>
      <c r="F654" s="17" t="str">
        <f aca="false">IF(B654="","",TRIM(B654&amp;" "&amp;C654&amp;" "&amp;D654))</f>
        <v/>
      </c>
      <c r="G654" s="12"/>
      <c r="H654" s="12"/>
      <c r="I654" s="12"/>
      <c r="J654" s="17" t="str">
        <f aca="false">IF(I654="","",IF(COUNTIF(Emplacements!$A$2:$A$1001,I654)=0,"⚠ emplacement inconnu",IF(AND(H654&lt;&gt;"",LEFT(I654,1)&lt;&gt;H654),"⚠ mauvaise zone","OK")))</f>
        <v/>
      </c>
      <c r="K654" s="12"/>
      <c r="L654" s="12"/>
    </row>
    <row r="655" customFormat="false" ht="15" hidden="false" customHeight="false" outlineLevel="0" collapsed="false">
      <c r="A655" s="12"/>
      <c r="B655" s="12"/>
      <c r="C655" s="12"/>
      <c r="D655" s="12"/>
      <c r="E655" s="12"/>
      <c r="F655" s="17" t="str">
        <f aca="false">IF(B655="","",TRIM(B655&amp;" "&amp;C655&amp;" "&amp;D655))</f>
        <v/>
      </c>
      <c r="G655" s="12"/>
      <c r="H655" s="12"/>
      <c r="I655" s="12"/>
      <c r="J655" s="17" t="str">
        <f aca="false">IF(I655="","",IF(COUNTIF(Emplacements!$A$2:$A$1001,I655)=0,"⚠ emplacement inconnu",IF(AND(H655&lt;&gt;"",LEFT(I655,1)&lt;&gt;H655),"⚠ mauvaise zone","OK")))</f>
        <v/>
      </c>
      <c r="K655" s="12"/>
      <c r="L655" s="12"/>
    </row>
    <row r="656" customFormat="false" ht="15" hidden="false" customHeight="false" outlineLevel="0" collapsed="false">
      <c r="A656" s="12"/>
      <c r="B656" s="12"/>
      <c r="C656" s="12"/>
      <c r="D656" s="12"/>
      <c r="E656" s="12"/>
      <c r="F656" s="17" t="str">
        <f aca="false">IF(B656="","",TRIM(B656&amp;" "&amp;C656&amp;" "&amp;D656))</f>
        <v/>
      </c>
      <c r="G656" s="12"/>
      <c r="H656" s="12"/>
      <c r="I656" s="12"/>
      <c r="J656" s="17" t="str">
        <f aca="false">IF(I656="","",IF(COUNTIF(Emplacements!$A$2:$A$1001,I656)=0,"⚠ emplacement inconnu",IF(AND(H656&lt;&gt;"",LEFT(I656,1)&lt;&gt;H656),"⚠ mauvaise zone","OK")))</f>
        <v/>
      </c>
      <c r="K656" s="12"/>
      <c r="L656" s="12"/>
    </row>
    <row r="657" customFormat="false" ht="15" hidden="false" customHeight="false" outlineLevel="0" collapsed="false">
      <c r="A657" s="12"/>
      <c r="B657" s="12"/>
      <c r="C657" s="12"/>
      <c r="D657" s="12"/>
      <c r="E657" s="12"/>
      <c r="F657" s="17" t="str">
        <f aca="false">IF(B657="","",TRIM(B657&amp;" "&amp;C657&amp;" "&amp;D657))</f>
        <v/>
      </c>
      <c r="G657" s="12"/>
      <c r="H657" s="12"/>
      <c r="I657" s="12"/>
      <c r="J657" s="17" t="str">
        <f aca="false">IF(I657="","",IF(COUNTIF(Emplacements!$A$2:$A$1001,I657)=0,"⚠ emplacement inconnu",IF(AND(H657&lt;&gt;"",LEFT(I657,1)&lt;&gt;H657),"⚠ mauvaise zone","OK")))</f>
        <v/>
      </c>
      <c r="K657" s="12"/>
      <c r="L657" s="12"/>
    </row>
    <row r="658" customFormat="false" ht="15" hidden="false" customHeight="false" outlineLevel="0" collapsed="false">
      <c r="A658" s="12"/>
      <c r="B658" s="12"/>
      <c r="C658" s="12"/>
      <c r="D658" s="12"/>
      <c r="E658" s="12"/>
      <c r="F658" s="17" t="str">
        <f aca="false">IF(B658="","",TRIM(B658&amp;" "&amp;C658&amp;" "&amp;D658))</f>
        <v/>
      </c>
      <c r="G658" s="12"/>
      <c r="H658" s="12"/>
      <c r="I658" s="12"/>
      <c r="J658" s="17" t="str">
        <f aca="false">IF(I658="","",IF(COUNTIF(Emplacements!$A$2:$A$1001,I658)=0,"⚠ emplacement inconnu",IF(AND(H658&lt;&gt;"",LEFT(I658,1)&lt;&gt;H658),"⚠ mauvaise zone","OK")))</f>
        <v/>
      </c>
      <c r="K658" s="12"/>
      <c r="L658" s="12"/>
    </row>
    <row r="659" customFormat="false" ht="15" hidden="false" customHeight="false" outlineLevel="0" collapsed="false">
      <c r="A659" s="12"/>
      <c r="B659" s="12"/>
      <c r="C659" s="12"/>
      <c r="D659" s="12"/>
      <c r="E659" s="12"/>
      <c r="F659" s="17" t="str">
        <f aca="false">IF(B659="","",TRIM(B659&amp;" "&amp;C659&amp;" "&amp;D659))</f>
        <v/>
      </c>
      <c r="G659" s="12"/>
      <c r="H659" s="12"/>
      <c r="I659" s="12"/>
      <c r="J659" s="17" t="str">
        <f aca="false">IF(I659="","",IF(COUNTIF(Emplacements!$A$2:$A$1001,I659)=0,"⚠ emplacement inconnu",IF(AND(H659&lt;&gt;"",LEFT(I659,1)&lt;&gt;H659),"⚠ mauvaise zone","OK")))</f>
        <v/>
      </c>
      <c r="K659" s="12"/>
      <c r="L659" s="12"/>
    </row>
    <row r="660" customFormat="false" ht="15" hidden="false" customHeight="false" outlineLevel="0" collapsed="false">
      <c r="A660" s="12"/>
      <c r="B660" s="12"/>
      <c r="C660" s="12"/>
      <c r="D660" s="12"/>
      <c r="E660" s="12"/>
      <c r="F660" s="17" t="str">
        <f aca="false">IF(B660="","",TRIM(B660&amp;" "&amp;C660&amp;" "&amp;D660))</f>
        <v/>
      </c>
      <c r="G660" s="12"/>
      <c r="H660" s="12"/>
      <c r="I660" s="12"/>
      <c r="J660" s="17" t="str">
        <f aca="false">IF(I660="","",IF(COUNTIF(Emplacements!$A$2:$A$1001,I660)=0,"⚠ emplacement inconnu",IF(AND(H660&lt;&gt;"",LEFT(I660,1)&lt;&gt;H660),"⚠ mauvaise zone","OK")))</f>
        <v/>
      </c>
      <c r="K660" s="12"/>
      <c r="L660" s="12"/>
    </row>
    <row r="661" customFormat="false" ht="15" hidden="false" customHeight="false" outlineLevel="0" collapsed="false">
      <c r="A661" s="12"/>
      <c r="B661" s="12"/>
      <c r="C661" s="12"/>
      <c r="D661" s="12"/>
      <c r="E661" s="12"/>
      <c r="F661" s="17" t="str">
        <f aca="false">IF(B661="","",TRIM(B661&amp;" "&amp;C661&amp;" "&amp;D661))</f>
        <v/>
      </c>
      <c r="G661" s="12"/>
      <c r="H661" s="12"/>
      <c r="I661" s="12"/>
      <c r="J661" s="17" t="str">
        <f aca="false">IF(I661="","",IF(COUNTIF(Emplacements!$A$2:$A$1001,I661)=0,"⚠ emplacement inconnu",IF(AND(H661&lt;&gt;"",LEFT(I661,1)&lt;&gt;H661),"⚠ mauvaise zone","OK")))</f>
        <v/>
      </c>
      <c r="K661" s="12"/>
      <c r="L661" s="12"/>
    </row>
    <row r="662" customFormat="false" ht="15" hidden="false" customHeight="false" outlineLevel="0" collapsed="false">
      <c r="A662" s="12"/>
      <c r="B662" s="12"/>
      <c r="C662" s="12"/>
      <c r="D662" s="12"/>
      <c r="E662" s="12"/>
      <c r="F662" s="17" t="str">
        <f aca="false">IF(B662="","",TRIM(B662&amp;" "&amp;C662&amp;" "&amp;D662))</f>
        <v/>
      </c>
      <c r="G662" s="12"/>
      <c r="H662" s="12"/>
      <c r="I662" s="12"/>
      <c r="J662" s="17" t="str">
        <f aca="false">IF(I662="","",IF(COUNTIF(Emplacements!$A$2:$A$1001,I662)=0,"⚠ emplacement inconnu",IF(AND(H662&lt;&gt;"",LEFT(I662,1)&lt;&gt;H662),"⚠ mauvaise zone","OK")))</f>
        <v/>
      </c>
      <c r="K662" s="12"/>
      <c r="L662" s="12"/>
    </row>
    <row r="663" customFormat="false" ht="15" hidden="false" customHeight="false" outlineLevel="0" collapsed="false">
      <c r="A663" s="12"/>
      <c r="B663" s="12"/>
      <c r="C663" s="12"/>
      <c r="D663" s="12"/>
      <c r="E663" s="12"/>
      <c r="F663" s="17" t="str">
        <f aca="false">IF(B663="","",TRIM(B663&amp;" "&amp;C663&amp;" "&amp;D663))</f>
        <v/>
      </c>
      <c r="G663" s="12"/>
      <c r="H663" s="12"/>
      <c r="I663" s="12"/>
      <c r="J663" s="17" t="str">
        <f aca="false">IF(I663="","",IF(COUNTIF(Emplacements!$A$2:$A$1001,I663)=0,"⚠ emplacement inconnu",IF(AND(H663&lt;&gt;"",LEFT(I663,1)&lt;&gt;H663),"⚠ mauvaise zone","OK")))</f>
        <v/>
      </c>
      <c r="K663" s="12"/>
      <c r="L663" s="12"/>
    </row>
    <row r="664" customFormat="false" ht="15" hidden="false" customHeight="false" outlineLevel="0" collapsed="false">
      <c r="A664" s="12"/>
      <c r="B664" s="12"/>
      <c r="C664" s="12"/>
      <c r="D664" s="12"/>
      <c r="E664" s="12"/>
      <c r="F664" s="17" t="str">
        <f aca="false">IF(B664="","",TRIM(B664&amp;" "&amp;C664&amp;" "&amp;D664))</f>
        <v/>
      </c>
      <c r="G664" s="12"/>
      <c r="H664" s="12"/>
      <c r="I664" s="12"/>
      <c r="J664" s="17" t="str">
        <f aca="false">IF(I664="","",IF(COUNTIF(Emplacements!$A$2:$A$1001,I664)=0,"⚠ emplacement inconnu",IF(AND(H664&lt;&gt;"",LEFT(I664,1)&lt;&gt;H664),"⚠ mauvaise zone","OK")))</f>
        <v/>
      </c>
      <c r="K664" s="12"/>
      <c r="L664" s="12"/>
    </row>
    <row r="665" customFormat="false" ht="15" hidden="false" customHeight="false" outlineLevel="0" collapsed="false">
      <c r="A665" s="12"/>
      <c r="B665" s="12"/>
      <c r="C665" s="12"/>
      <c r="D665" s="12"/>
      <c r="E665" s="12"/>
      <c r="F665" s="17" t="str">
        <f aca="false">IF(B665="","",TRIM(B665&amp;" "&amp;C665&amp;" "&amp;D665))</f>
        <v/>
      </c>
      <c r="G665" s="12"/>
      <c r="H665" s="12"/>
      <c r="I665" s="12"/>
      <c r="J665" s="17" t="str">
        <f aca="false">IF(I665="","",IF(COUNTIF(Emplacements!$A$2:$A$1001,I665)=0,"⚠ emplacement inconnu",IF(AND(H665&lt;&gt;"",LEFT(I665,1)&lt;&gt;H665),"⚠ mauvaise zone","OK")))</f>
        <v/>
      </c>
      <c r="K665" s="12"/>
      <c r="L665" s="12"/>
    </row>
    <row r="666" customFormat="false" ht="15" hidden="false" customHeight="false" outlineLevel="0" collapsed="false">
      <c r="A666" s="12"/>
      <c r="B666" s="12"/>
      <c r="C666" s="12"/>
      <c r="D666" s="12"/>
      <c r="E666" s="12"/>
      <c r="F666" s="17" t="str">
        <f aca="false">IF(B666="","",TRIM(B666&amp;" "&amp;C666&amp;" "&amp;D666))</f>
        <v/>
      </c>
      <c r="G666" s="12"/>
      <c r="H666" s="12"/>
      <c r="I666" s="12"/>
      <c r="J666" s="17" t="str">
        <f aca="false">IF(I666="","",IF(COUNTIF(Emplacements!$A$2:$A$1001,I666)=0,"⚠ emplacement inconnu",IF(AND(H666&lt;&gt;"",LEFT(I666,1)&lt;&gt;H666),"⚠ mauvaise zone","OK")))</f>
        <v/>
      </c>
      <c r="K666" s="12"/>
      <c r="L666" s="12"/>
    </row>
    <row r="667" customFormat="false" ht="15" hidden="false" customHeight="false" outlineLevel="0" collapsed="false">
      <c r="A667" s="12"/>
      <c r="B667" s="12"/>
      <c r="C667" s="12"/>
      <c r="D667" s="12"/>
      <c r="E667" s="12"/>
      <c r="F667" s="17" t="str">
        <f aca="false">IF(B667="","",TRIM(B667&amp;" "&amp;C667&amp;" "&amp;D667))</f>
        <v/>
      </c>
      <c r="G667" s="12"/>
      <c r="H667" s="12"/>
      <c r="I667" s="12"/>
      <c r="J667" s="17" t="str">
        <f aca="false">IF(I667="","",IF(COUNTIF(Emplacements!$A$2:$A$1001,I667)=0,"⚠ emplacement inconnu",IF(AND(H667&lt;&gt;"",LEFT(I667,1)&lt;&gt;H667),"⚠ mauvaise zone","OK")))</f>
        <v/>
      </c>
      <c r="K667" s="12"/>
      <c r="L667" s="12"/>
    </row>
    <row r="668" customFormat="false" ht="15" hidden="false" customHeight="false" outlineLevel="0" collapsed="false">
      <c r="A668" s="12"/>
      <c r="B668" s="12"/>
      <c r="C668" s="12"/>
      <c r="D668" s="12"/>
      <c r="E668" s="12"/>
      <c r="F668" s="17" t="str">
        <f aca="false">IF(B668="","",TRIM(B668&amp;" "&amp;C668&amp;" "&amp;D668))</f>
        <v/>
      </c>
      <c r="G668" s="12"/>
      <c r="H668" s="12"/>
      <c r="I668" s="12"/>
      <c r="J668" s="17" t="str">
        <f aca="false">IF(I668="","",IF(COUNTIF(Emplacements!$A$2:$A$1001,I668)=0,"⚠ emplacement inconnu",IF(AND(H668&lt;&gt;"",LEFT(I668,1)&lt;&gt;H668),"⚠ mauvaise zone","OK")))</f>
        <v/>
      </c>
      <c r="K668" s="12"/>
      <c r="L668" s="12"/>
    </row>
    <row r="669" customFormat="false" ht="15" hidden="false" customHeight="false" outlineLevel="0" collapsed="false">
      <c r="A669" s="12"/>
      <c r="B669" s="12"/>
      <c r="C669" s="12"/>
      <c r="D669" s="12"/>
      <c r="E669" s="12"/>
      <c r="F669" s="17" t="str">
        <f aca="false">IF(B669="","",TRIM(B669&amp;" "&amp;C669&amp;" "&amp;D669))</f>
        <v/>
      </c>
      <c r="G669" s="12"/>
      <c r="H669" s="12"/>
      <c r="I669" s="12"/>
      <c r="J669" s="17" t="str">
        <f aca="false">IF(I669="","",IF(COUNTIF(Emplacements!$A$2:$A$1001,I669)=0,"⚠ emplacement inconnu",IF(AND(H669&lt;&gt;"",LEFT(I669,1)&lt;&gt;H669),"⚠ mauvaise zone","OK")))</f>
        <v/>
      </c>
      <c r="K669" s="12"/>
      <c r="L669" s="12"/>
    </row>
    <row r="670" customFormat="false" ht="15" hidden="false" customHeight="false" outlineLevel="0" collapsed="false">
      <c r="A670" s="12"/>
      <c r="B670" s="12"/>
      <c r="C670" s="12"/>
      <c r="D670" s="12"/>
      <c r="E670" s="12"/>
      <c r="F670" s="17" t="str">
        <f aca="false">IF(B670="","",TRIM(B670&amp;" "&amp;C670&amp;" "&amp;D670))</f>
        <v/>
      </c>
      <c r="G670" s="12"/>
      <c r="H670" s="12"/>
      <c r="I670" s="12"/>
      <c r="J670" s="17" t="str">
        <f aca="false">IF(I670="","",IF(COUNTIF(Emplacements!$A$2:$A$1001,I670)=0,"⚠ emplacement inconnu",IF(AND(H670&lt;&gt;"",LEFT(I670,1)&lt;&gt;H670),"⚠ mauvaise zone","OK")))</f>
        <v/>
      </c>
      <c r="K670" s="12"/>
      <c r="L670" s="12"/>
    </row>
    <row r="671" customFormat="false" ht="15" hidden="false" customHeight="false" outlineLevel="0" collapsed="false">
      <c r="A671" s="12"/>
      <c r="B671" s="12"/>
      <c r="C671" s="12"/>
      <c r="D671" s="12"/>
      <c r="E671" s="12"/>
      <c r="F671" s="17" t="str">
        <f aca="false">IF(B671="","",TRIM(B671&amp;" "&amp;C671&amp;" "&amp;D671))</f>
        <v/>
      </c>
      <c r="G671" s="12"/>
      <c r="H671" s="12"/>
      <c r="I671" s="12"/>
      <c r="J671" s="17" t="str">
        <f aca="false">IF(I671="","",IF(COUNTIF(Emplacements!$A$2:$A$1001,I671)=0,"⚠ emplacement inconnu",IF(AND(H671&lt;&gt;"",LEFT(I671,1)&lt;&gt;H671),"⚠ mauvaise zone","OK")))</f>
        <v/>
      </c>
      <c r="K671" s="12"/>
      <c r="L671" s="12"/>
    </row>
    <row r="672" customFormat="false" ht="15" hidden="false" customHeight="false" outlineLevel="0" collapsed="false">
      <c r="A672" s="12"/>
      <c r="B672" s="12"/>
      <c r="C672" s="12"/>
      <c r="D672" s="12"/>
      <c r="E672" s="12"/>
      <c r="F672" s="17" t="str">
        <f aca="false">IF(B672="","",TRIM(B672&amp;" "&amp;C672&amp;" "&amp;D672))</f>
        <v/>
      </c>
      <c r="G672" s="12"/>
      <c r="H672" s="12"/>
      <c r="I672" s="12"/>
      <c r="J672" s="17" t="str">
        <f aca="false">IF(I672="","",IF(COUNTIF(Emplacements!$A$2:$A$1001,I672)=0,"⚠ emplacement inconnu",IF(AND(H672&lt;&gt;"",LEFT(I672,1)&lt;&gt;H672),"⚠ mauvaise zone","OK")))</f>
        <v/>
      </c>
      <c r="K672" s="12"/>
      <c r="L672" s="12"/>
    </row>
    <row r="673" customFormat="false" ht="15" hidden="false" customHeight="false" outlineLevel="0" collapsed="false">
      <c r="A673" s="12"/>
      <c r="B673" s="12"/>
      <c r="C673" s="12"/>
      <c r="D673" s="12"/>
      <c r="E673" s="12"/>
      <c r="F673" s="17" t="str">
        <f aca="false">IF(B673="","",TRIM(B673&amp;" "&amp;C673&amp;" "&amp;D673))</f>
        <v/>
      </c>
      <c r="G673" s="12"/>
      <c r="H673" s="12"/>
      <c r="I673" s="12"/>
      <c r="J673" s="17" t="str">
        <f aca="false">IF(I673="","",IF(COUNTIF(Emplacements!$A$2:$A$1001,I673)=0,"⚠ emplacement inconnu",IF(AND(H673&lt;&gt;"",LEFT(I673,1)&lt;&gt;H673),"⚠ mauvaise zone","OK")))</f>
        <v/>
      </c>
      <c r="K673" s="12"/>
      <c r="L673" s="12"/>
    </row>
    <row r="674" customFormat="false" ht="15" hidden="false" customHeight="false" outlineLevel="0" collapsed="false">
      <c r="A674" s="12"/>
      <c r="B674" s="12"/>
      <c r="C674" s="12"/>
      <c r="D674" s="12"/>
      <c r="E674" s="12"/>
      <c r="F674" s="17" t="str">
        <f aca="false">IF(B674="","",TRIM(B674&amp;" "&amp;C674&amp;" "&amp;D674))</f>
        <v/>
      </c>
      <c r="G674" s="12"/>
      <c r="H674" s="12"/>
      <c r="I674" s="12"/>
      <c r="J674" s="17" t="str">
        <f aca="false">IF(I674="","",IF(COUNTIF(Emplacements!$A$2:$A$1001,I674)=0,"⚠ emplacement inconnu",IF(AND(H674&lt;&gt;"",LEFT(I674,1)&lt;&gt;H674),"⚠ mauvaise zone","OK")))</f>
        <v/>
      </c>
      <c r="K674" s="12"/>
      <c r="L674" s="12"/>
    </row>
    <row r="675" customFormat="false" ht="15" hidden="false" customHeight="false" outlineLevel="0" collapsed="false">
      <c r="A675" s="12"/>
      <c r="B675" s="12"/>
      <c r="C675" s="12"/>
      <c r="D675" s="12"/>
      <c r="E675" s="12"/>
      <c r="F675" s="17" t="str">
        <f aca="false">IF(B675="","",TRIM(B675&amp;" "&amp;C675&amp;" "&amp;D675))</f>
        <v/>
      </c>
      <c r="G675" s="12"/>
      <c r="H675" s="12"/>
      <c r="I675" s="12"/>
      <c r="J675" s="17" t="str">
        <f aca="false">IF(I675="","",IF(COUNTIF(Emplacements!$A$2:$A$1001,I675)=0,"⚠ emplacement inconnu",IF(AND(H675&lt;&gt;"",LEFT(I675,1)&lt;&gt;H675),"⚠ mauvaise zone","OK")))</f>
        <v/>
      </c>
      <c r="K675" s="12"/>
      <c r="L675" s="12"/>
    </row>
    <row r="676" customFormat="false" ht="15" hidden="false" customHeight="false" outlineLevel="0" collapsed="false">
      <c r="A676" s="12"/>
      <c r="B676" s="12"/>
      <c r="C676" s="12"/>
      <c r="D676" s="12"/>
      <c r="E676" s="12"/>
      <c r="F676" s="17" t="str">
        <f aca="false">IF(B676="","",TRIM(B676&amp;" "&amp;C676&amp;" "&amp;D676))</f>
        <v/>
      </c>
      <c r="G676" s="12"/>
      <c r="H676" s="12"/>
      <c r="I676" s="12"/>
      <c r="J676" s="17" t="str">
        <f aca="false">IF(I676="","",IF(COUNTIF(Emplacements!$A$2:$A$1001,I676)=0,"⚠ emplacement inconnu",IF(AND(H676&lt;&gt;"",LEFT(I676,1)&lt;&gt;H676),"⚠ mauvaise zone","OK")))</f>
        <v/>
      </c>
      <c r="K676" s="12"/>
      <c r="L676" s="12"/>
    </row>
    <row r="677" customFormat="false" ht="15" hidden="false" customHeight="false" outlineLevel="0" collapsed="false">
      <c r="A677" s="12"/>
      <c r="B677" s="12"/>
      <c r="C677" s="12"/>
      <c r="D677" s="12"/>
      <c r="E677" s="12"/>
      <c r="F677" s="17" t="str">
        <f aca="false">IF(B677="","",TRIM(B677&amp;" "&amp;C677&amp;" "&amp;D677))</f>
        <v/>
      </c>
      <c r="G677" s="12"/>
      <c r="H677" s="12"/>
      <c r="I677" s="12"/>
      <c r="J677" s="17" t="str">
        <f aca="false">IF(I677="","",IF(COUNTIF(Emplacements!$A$2:$A$1001,I677)=0,"⚠ emplacement inconnu",IF(AND(H677&lt;&gt;"",LEFT(I677,1)&lt;&gt;H677),"⚠ mauvaise zone","OK")))</f>
        <v/>
      </c>
      <c r="K677" s="12"/>
      <c r="L677" s="12"/>
    </row>
    <row r="678" customFormat="false" ht="15" hidden="false" customHeight="false" outlineLevel="0" collapsed="false">
      <c r="A678" s="12"/>
      <c r="B678" s="12"/>
      <c r="C678" s="12"/>
      <c r="D678" s="12"/>
      <c r="E678" s="12"/>
      <c r="F678" s="17" t="str">
        <f aca="false">IF(B678="","",TRIM(B678&amp;" "&amp;C678&amp;" "&amp;D678))</f>
        <v/>
      </c>
      <c r="G678" s="12"/>
      <c r="H678" s="12"/>
      <c r="I678" s="12"/>
      <c r="J678" s="17" t="str">
        <f aca="false">IF(I678="","",IF(COUNTIF(Emplacements!$A$2:$A$1001,I678)=0,"⚠ emplacement inconnu",IF(AND(H678&lt;&gt;"",LEFT(I678,1)&lt;&gt;H678),"⚠ mauvaise zone","OK")))</f>
        <v/>
      </c>
      <c r="K678" s="12"/>
      <c r="L678" s="12"/>
    </row>
    <row r="679" customFormat="false" ht="15" hidden="false" customHeight="false" outlineLevel="0" collapsed="false">
      <c r="A679" s="12"/>
      <c r="B679" s="12"/>
      <c r="C679" s="12"/>
      <c r="D679" s="12"/>
      <c r="E679" s="12"/>
      <c r="F679" s="17" t="str">
        <f aca="false">IF(B679="","",TRIM(B679&amp;" "&amp;C679&amp;" "&amp;D679))</f>
        <v/>
      </c>
      <c r="G679" s="12"/>
      <c r="H679" s="12"/>
      <c r="I679" s="12"/>
      <c r="J679" s="17" t="str">
        <f aca="false">IF(I679="","",IF(COUNTIF(Emplacements!$A$2:$A$1001,I679)=0,"⚠ emplacement inconnu",IF(AND(H679&lt;&gt;"",LEFT(I679,1)&lt;&gt;H679),"⚠ mauvaise zone","OK")))</f>
        <v/>
      </c>
      <c r="K679" s="12"/>
      <c r="L679" s="12"/>
    </row>
    <row r="680" customFormat="false" ht="15" hidden="false" customHeight="false" outlineLevel="0" collapsed="false">
      <c r="A680" s="12"/>
      <c r="B680" s="12"/>
      <c r="C680" s="12"/>
      <c r="D680" s="12"/>
      <c r="E680" s="12"/>
      <c r="F680" s="17" t="str">
        <f aca="false">IF(B680="","",TRIM(B680&amp;" "&amp;C680&amp;" "&amp;D680))</f>
        <v/>
      </c>
      <c r="G680" s="12"/>
      <c r="H680" s="12"/>
      <c r="I680" s="12"/>
      <c r="J680" s="17" t="str">
        <f aca="false">IF(I680="","",IF(COUNTIF(Emplacements!$A$2:$A$1001,I680)=0,"⚠ emplacement inconnu",IF(AND(H680&lt;&gt;"",LEFT(I680,1)&lt;&gt;H680),"⚠ mauvaise zone","OK")))</f>
        <v/>
      </c>
      <c r="K680" s="12"/>
      <c r="L680" s="12"/>
    </row>
    <row r="681" customFormat="false" ht="15" hidden="false" customHeight="false" outlineLevel="0" collapsed="false">
      <c r="A681" s="12"/>
      <c r="B681" s="12"/>
      <c r="C681" s="12"/>
      <c r="D681" s="12"/>
      <c r="E681" s="12"/>
      <c r="F681" s="17" t="str">
        <f aca="false">IF(B681="","",TRIM(B681&amp;" "&amp;C681&amp;" "&amp;D681))</f>
        <v/>
      </c>
      <c r="G681" s="12"/>
      <c r="H681" s="12"/>
      <c r="I681" s="12"/>
      <c r="J681" s="17" t="str">
        <f aca="false">IF(I681="","",IF(COUNTIF(Emplacements!$A$2:$A$1001,I681)=0,"⚠ emplacement inconnu",IF(AND(H681&lt;&gt;"",LEFT(I681,1)&lt;&gt;H681),"⚠ mauvaise zone","OK")))</f>
        <v/>
      </c>
      <c r="K681" s="12"/>
      <c r="L681" s="12"/>
    </row>
    <row r="682" customFormat="false" ht="15" hidden="false" customHeight="false" outlineLevel="0" collapsed="false">
      <c r="A682" s="12"/>
      <c r="B682" s="12"/>
      <c r="C682" s="12"/>
      <c r="D682" s="12"/>
      <c r="E682" s="12"/>
      <c r="F682" s="17" t="str">
        <f aca="false">IF(B682="","",TRIM(B682&amp;" "&amp;C682&amp;" "&amp;D682))</f>
        <v/>
      </c>
      <c r="G682" s="12"/>
      <c r="H682" s="12"/>
      <c r="I682" s="12"/>
      <c r="J682" s="17" t="str">
        <f aca="false">IF(I682="","",IF(COUNTIF(Emplacements!$A$2:$A$1001,I682)=0,"⚠ emplacement inconnu",IF(AND(H682&lt;&gt;"",LEFT(I682,1)&lt;&gt;H682),"⚠ mauvaise zone","OK")))</f>
        <v/>
      </c>
      <c r="K682" s="12"/>
      <c r="L682" s="12"/>
    </row>
    <row r="683" customFormat="false" ht="15" hidden="false" customHeight="false" outlineLevel="0" collapsed="false">
      <c r="A683" s="12"/>
      <c r="B683" s="12"/>
      <c r="C683" s="12"/>
      <c r="D683" s="12"/>
      <c r="E683" s="12"/>
      <c r="F683" s="17" t="str">
        <f aca="false">IF(B683="","",TRIM(B683&amp;" "&amp;C683&amp;" "&amp;D683))</f>
        <v/>
      </c>
      <c r="G683" s="12"/>
      <c r="H683" s="12"/>
      <c r="I683" s="12"/>
      <c r="J683" s="17" t="str">
        <f aca="false">IF(I683="","",IF(COUNTIF(Emplacements!$A$2:$A$1001,I683)=0,"⚠ emplacement inconnu",IF(AND(H683&lt;&gt;"",LEFT(I683,1)&lt;&gt;H683),"⚠ mauvaise zone","OK")))</f>
        <v/>
      </c>
      <c r="K683" s="12"/>
      <c r="L683" s="12"/>
    </row>
    <row r="684" customFormat="false" ht="15" hidden="false" customHeight="false" outlineLevel="0" collapsed="false">
      <c r="A684" s="12"/>
      <c r="B684" s="12"/>
      <c r="C684" s="12"/>
      <c r="D684" s="12"/>
      <c r="E684" s="12"/>
      <c r="F684" s="17" t="str">
        <f aca="false">IF(B684="","",TRIM(B684&amp;" "&amp;C684&amp;" "&amp;D684))</f>
        <v/>
      </c>
      <c r="G684" s="12"/>
      <c r="H684" s="12"/>
      <c r="I684" s="12"/>
      <c r="J684" s="17" t="str">
        <f aca="false">IF(I684="","",IF(COUNTIF(Emplacements!$A$2:$A$1001,I684)=0,"⚠ emplacement inconnu",IF(AND(H684&lt;&gt;"",LEFT(I684,1)&lt;&gt;H684),"⚠ mauvaise zone","OK")))</f>
        <v/>
      </c>
      <c r="K684" s="12"/>
      <c r="L684" s="12"/>
    </row>
    <row r="685" customFormat="false" ht="15" hidden="false" customHeight="false" outlineLevel="0" collapsed="false">
      <c r="A685" s="12"/>
      <c r="B685" s="12"/>
      <c r="C685" s="12"/>
      <c r="D685" s="12"/>
      <c r="E685" s="12"/>
      <c r="F685" s="17" t="str">
        <f aca="false">IF(B685="","",TRIM(B685&amp;" "&amp;C685&amp;" "&amp;D685))</f>
        <v/>
      </c>
      <c r="G685" s="12"/>
      <c r="H685" s="12"/>
      <c r="I685" s="12"/>
      <c r="J685" s="17" t="str">
        <f aca="false">IF(I685="","",IF(COUNTIF(Emplacements!$A$2:$A$1001,I685)=0,"⚠ emplacement inconnu",IF(AND(H685&lt;&gt;"",LEFT(I685,1)&lt;&gt;H685),"⚠ mauvaise zone","OK")))</f>
        <v/>
      </c>
      <c r="K685" s="12"/>
      <c r="L685" s="12"/>
    </row>
    <row r="686" customFormat="false" ht="15" hidden="false" customHeight="false" outlineLevel="0" collapsed="false">
      <c r="A686" s="12"/>
      <c r="B686" s="12"/>
      <c r="C686" s="12"/>
      <c r="D686" s="12"/>
      <c r="E686" s="12"/>
      <c r="F686" s="17" t="str">
        <f aca="false">IF(B686="","",TRIM(B686&amp;" "&amp;C686&amp;" "&amp;D686))</f>
        <v/>
      </c>
      <c r="G686" s="12"/>
      <c r="H686" s="12"/>
      <c r="I686" s="12"/>
      <c r="J686" s="17" t="str">
        <f aca="false">IF(I686="","",IF(COUNTIF(Emplacements!$A$2:$A$1001,I686)=0,"⚠ emplacement inconnu",IF(AND(H686&lt;&gt;"",LEFT(I686,1)&lt;&gt;H686),"⚠ mauvaise zone","OK")))</f>
        <v/>
      </c>
      <c r="K686" s="12"/>
      <c r="L686" s="12"/>
    </row>
    <row r="687" customFormat="false" ht="15" hidden="false" customHeight="false" outlineLevel="0" collapsed="false">
      <c r="A687" s="12"/>
      <c r="B687" s="12"/>
      <c r="C687" s="12"/>
      <c r="D687" s="12"/>
      <c r="E687" s="12"/>
      <c r="F687" s="17" t="str">
        <f aca="false">IF(B687="","",TRIM(B687&amp;" "&amp;C687&amp;" "&amp;D687))</f>
        <v/>
      </c>
      <c r="G687" s="12"/>
      <c r="H687" s="12"/>
      <c r="I687" s="12"/>
      <c r="J687" s="17" t="str">
        <f aca="false">IF(I687="","",IF(COUNTIF(Emplacements!$A$2:$A$1001,I687)=0,"⚠ emplacement inconnu",IF(AND(H687&lt;&gt;"",LEFT(I687,1)&lt;&gt;H687),"⚠ mauvaise zone","OK")))</f>
        <v/>
      </c>
      <c r="K687" s="12"/>
      <c r="L687" s="12"/>
    </row>
    <row r="688" customFormat="false" ht="15" hidden="false" customHeight="false" outlineLevel="0" collapsed="false">
      <c r="A688" s="12"/>
      <c r="B688" s="12"/>
      <c r="C688" s="12"/>
      <c r="D688" s="12"/>
      <c r="E688" s="12"/>
      <c r="F688" s="17" t="str">
        <f aca="false">IF(B688="","",TRIM(B688&amp;" "&amp;C688&amp;" "&amp;D688))</f>
        <v/>
      </c>
      <c r="G688" s="12"/>
      <c r="H688" s="12"/>
      <c r="I688" s="12"/>
      <c r="J688" s="17" t="str">
        <f aca="false">IF(I688="","",IF(COUNTIF(Emplacements!$A$2:$A$1001,I688)=0,"⚠ emplacement inconnu",IF(AND(H688&lt;&gt;"",LEFT(I688,1)&lt;&gt;H688),"⚠ mauvaise zone","OK")))</f>
        <v/>
      </c>
      <c r="K688" s="12"/>
      <c r="L688" s="12"/>
    </row>
    <row r="689" customFormat="false" ht="15" hidden="false" customHeight="false" outlineLevel="0" collapsed="false">
      <c r="A689" s="12"/>
      <c r="B689" s="12"/>
      <c r="C689" s="12"/>
      <c r="D689" s="12"/>
      <c r="E689" s="12"/>
      <c r="F689" s="17" t="str">
        <f aca="false">IF(B689="","",TRIM(B689&amp;" "&amp;C689&amp;" "&amp;D689))</f>
        <v/>
      </c>
      <c r="G689" s="12"/>
      <c r="H689" s="12"/>
      <c r="I689" s="12"/>
      <c r="J689" s="17" t="str">
        <f aca="false">IF(I689="","",IF(COUNTIF(Emplacements!$A$2:$A$1001,I689)=0,"⚠ emplacement inconnu",IF(AND(H689&lt;&gt;"",LEFT(I689,1)&lt;&gt;H689),"⚠ mauvaise zone","OK")))</f>
        <v/>
      </c>
      <c r="K689" s="12"/>
      <c r="L689" s="12"/>
    </row>
    <row r="690" customFormat="false" ht="15" hidden="false" customHeight="false" outlineLevel="0" collapsed="false">
      <c r="A690" s="12"/>
      <c r="B690" s="12"/>
      <c r="C690" s="12"/>
      <c r="D690" s="12"/>
      <c r="E690" s="12"/>
      <c r="F690" s="17" t="str">
        <f aca="false">IF(B690="","",TRIM(B690&amp;" "&amp;C690&amp;" "&amp;D690))</f>
        <v/>
      </c>
      <c r="G690" s="12"/>
      <c r="H690" s="12"/>
      <c r="I690" s="12"/>
      <c r="J690" s="17" t="str">
        <f aca="false">IF(I690="","",IF(COUNTIF(Emplacements!$A$2:$A$1001,I690)=0,"⚠ emplacement inconnu",IF(AND(H690&lt;&gt;"",LEFT(I690,1)&lt;&gt;H690),"⚠ mauvaise zone","OK")))</f>
        <v/>
      </c>
      <c r="K690" s="12"/>
      <c r="L690" s="12"/>
    </row>
    <row r="691" customFormat="false" ht="15" hidden="false" customHeight="false" outlineLevel="0" collapsed="false">
      <c r="A691" s="12"/>
      <c r="B691" s="12"/>
      <c r="C691" s="12"/>
      <c r="D691" s="12"/>
      <c r="E691" s="12"/>
      <c r="F691" s="17" t="str">
        <f aca="false">IF(B691="","",TRIM(B691&amp;" "&amp;C691&amp;" "&amp;D691))</f>
        <v/>
      </c>
      <c r="G691" s="12"/>
      <c r="H691" s="12"/>
      <c r="I691" s="12"/>
      <c r="J691" s="17" t="str">
        <f aca="false">IF(I691="","",IF(COUNTIF(Emplacements!$A$2:$A$1001,I691)=0,"⚠ emplacement inconnu",IF(AND(H691&lt;&gt;"",LEFT(I691,1)&lt;&gt;H691),"⚠ mauvaise zone","OK")))</f>
        <v/>
      </c>
      <c r="K691" s="12"/>
      <c r="L691" s="12"/>
    </row>
    <row r="692" customFormat="false" ht="15" hidden="false" customHeight="false" outlineLevel="0" collapsed="false">
      <c r="A692" s="12"/>
      <c r="B692" s="12"/>
      <c r="C692" s="12"/>
      <c r="D692" s="12"/>
      <c r="E692" s="12"/>
      <c r="F692" s="17" t="str">
        <f aca="false">IF(B692="","",TRIM(B692&amp;" "&amp;C692&amp;" "&amp;D692))</f>
        <v/>
      </c>
      <c r="G692" s="12"/>
      <c r="H692" s="12"/>
      <c r="I692" s="12"/>
      <c r="J692" s="17" t="str">
        <f aca="false">IF(I692="","",IF(COUNTIF(Emplacements!$A$2:$A$1001,I692)=0,"⚠ emplacement inconnu",IF(AND(H692&lt;&gt;"",LEFT(I692,1)&lt;&gt;H692),"⚠ mauvaise zone","OK")))</f>
        <v/>
      </c>
      <c r="K692" s="12"/>
      <c r="L692" s="12"/>
    </row>
    <row r="693" customFormat="false" ht="15" hidden="false" customHeight="false" outlineLevel="0" collapsed="false">
      <c r="A693" s="12"/>
      <c r="B693" s="12"/>
      <c r="C693" s="12"/>
      <c r="D693" s="12"/>
      <c r="E693" s="12"/>
      <c r="F693" s="17" t="str">
        <f aca="false">IF(B693="","",TRIM(B693&amp;" "&amp;C693&amp;" "&amp;D693))</f>
        <v/>
      </c>
      <c r="G693" s="12"/>
      <c r="H693" s="12"/>
      <c r="I693" s="12"/>
      <c r="J693" s="17" t="str">
        <f aca="false">IF(I693="","",IF(COUNTIF(Emplacements!$A$2:$A$1001,I693)=0,"⚠ emplacement inconnu",IF(AND(H693&lt;&gt;"",LEFT(I693,1)&lt;&gt;H693),"⚠ mauvaise zone","OK")))</f>
        <v/>
      </c>
      <c r="K693" s="12"/>
      <c r="L693" s="12"/>
    </row>
    <row r="694" customFormat="false" ht="15" hidden="false" customHeight="false" outlineLevel="0" collapsed="false">
      <c r="A694" s="12"/>
      <c r="B694" s="12"/>
      <c r="C694" s="12"/>
      <c r="D694" s="12"/>
      <c r="E694" s="12"/>
      <c r="F694" s="17" t="str">
        <f aca="false">IF(B694="","",TRIM(B694&amp;" "&amp;C694&amp;" "&amp;D694))</f>
        <v/>
      </c>
      <c r="G694" s="12"/>
      <c r="H694" s="12"/>
      <c r="I694" s="12"/>
      <c r="J694" s="17" t="str">
        <f aca="false">IF(I694="","",IF(COUNTIF(Emplacements!$A$2:$A$1001,I694)=0,"⚠ emplacement inconnu",IF(AND(H694&lt;&gt;"",LEFT(I694,1)&lt;&gt;H694),"⚠ mauvaise zone","OK")))</f>
        <v/>
      </c>
      <c r="K694" s="12"/>
      <c r="L694" s="12"/>
    </row>
    <row r="695" customFormat="false" ht="15" hidden="false" customHeight="false" outlineLevel="0" collapsed="false">
      <c r="A695" s="12"/>
      <c r="B695" s="12"/>
      <c r="C695" s="12"/>
      <c r="D695" s="12"/>
      <c r="E695" s="12"/>
      <c r="F695" s="17" t="str">
        <f aca="false">IF(B695="","",TRIM(B695&amp;" "&amp;C695&amp;" "&amp;D695))</f>
        <v/>
      </c>
      <c r="G695" s="12"/>
      <c r="H695" s="12"/>
      <c r="I695" s="12"/>
      <c r="J695" s="17" t="str">
        <f aca="false">IF(I695="","",IF(COUNTIF(Emplacements!$A$2:$A$1001,I695)=0,"⚠ emplacement inconnu",IF(AND(H695&lt;&gt;"",LEFT(I695,1)&lt;&gt;H695),"⚠ mauvaise zone","OK")))</f>
        <v/>
      </c>
      <c r="K695" s="12"/>
      <c r="L695" s="12"/>
    </row>
    <row r="696" customFormat="false" ht="15" hidden="false" customHeight="false" outlineLevel="0" collapsed="false">
      <c r="A696" s="12"/>
      <c r="B696" s="12"/>
      <c r="C696" s="12"/>
      <c r="D696" s="12"/>
      <c r="E696" s="12"/>
      <c r="F696" s="17" t="str">
        <f aca="false">IF(B696="","",TRIM(B696&amp;" "&amp;C696&amp;" "&amp;D696))</f>
        <v/>
      </c>
      <c r="G696" s="12"/>
      <c r="H696" s="12"/>
      <c r="I696" s="12"/>
      <c r="J696" s="17" t="str">
        <f aca="false">IF(I696="","",IF(COUNTIF(Emplacements!$A$2:$A$1001,I696)=0,"⚠ emplacement inconnu",IF(AND(H696&lt;&gt;"",LEFT(I696,1)&lt;&gt;H696),"⚠ mauvaise zone","OK")))</f>
        <v/>
      </c>
      <c r="K696" s="12"/>
      <c r="L696" s="12"/>
    </row>
    <row r="697" customFormat="false" ht="15" hidden="false" customHeight="false" outlineLevel="0" collapsed="false">
      <c r="A697" s="12"/>
      <c r="B697" s="12"/>
      <c r="C697" s="12"/>
      <c r="D697" s="12"/>
      <c r="E697" s="12"/>
      <c r="F697" s="17" t="str">
        <f aca="false">IF(B697="","",TRIM(B697&amp;" "&amp;C697&amp;" "&amp;D697))</f>
        <v/>
      </c>
      <c r="G697" s="12"/>
      <c r="H697" s="12"/>
      <c r="I697" s="12"/>
      <c r="J697" s="17" t="str">
        <f aca="false">IF(I697="","",IF(COUNTIF(Emplacements!$A$2:$A$1001,I697)=0,"⚠ emplacement inconnu",IF(AND(H697&lt;&gt;"",LEFT(I697,1)&lt;&gt;H697),"⚠ mauvaise zone","OK")))</f>
        <v/>
      </c>
      <c r="K697" s="12"/>
      <c r="L697" s="12"/>
    </row>
    <row r="698" customFormat="false" ht="15" hidden="false" customHeight="false" outlineLevel="0" collapsed="false">
      <c r="A698" s="12"/>
      <c r="B698" s="12"/>
      <c r="C698" s="12"/>
      <c r="D698" s="12"/>
      <c r="E698" s="12"/>
      <c r="F698" s="17" t="str">
        <f aca="false">IF(B698="","",TRIM(B698&amp;" "&amp;C698&amp;" "&amp;D698))</f>
        <v/>
      </c>
      <c r="G698" s="12"/>
      <c r="H698" s="12"/>
      <c r="I698" s="12"/>
      <c r="J698" s="17" t="str">
        <f aca="false">IF(I698="","",IF(COUNTIF(Emplacements!$A$2:$A$1001,I698)=0,"⚠ emplacement inconnu",IF(AND(H698&lt;&gt;"",LEFT(I698,1)&lt;&gt;H698),"⚠ mauvaise zone","OK")))</f>
        <v/>
      </c>
      <c r="K698" s="12"/>
      <c r="L698" s="12"/>
    </row>
    <row r="699" customFormat="false" ht="15" hidden="false" customHeight="false" outlineLevel="0" collapsed="false">
      <c r="A699" s="12"/>
      <c r="B699" s="12"/>
      <c r="C699" s="12"/>
      <c r="D699" s="12"/>
      <c r="E699" s="12"/>
      <c r="F699" s="17" t="str">
        <f aca="false">IF(B699="","",TRIM(B699&amp;" "&amp;C699&amp;" "&amp;D699))</f>
        <v/>
      </c>
      <c r="G699" s="12"/>
      <c r="H699" s="12"/>
      <c r="I699" s="12"/>
      <c r="J699" s="17" t="str">
        <f aca="false">IF(I699="","",IF(COUNTIF(Emplacements!$A$2:$A$1001,I699)=0,"⚠ emplacement inconnu",IF(AND(H699&lt;&gt;"",LEFT(I699,1)&lt;&gt;H699),"⚠ mauvaise zone","OK")))</f>
        <v/>
      </c>
      <c r="K699" s="12"/>
      <c r="L699" s="12"/>
    </row>
    <row r="700" customFormat="false" ht="15" hidden="false" customHeight="false" outlineLevel="0" collapsed="false">
      <c r="A700" s="12"/>
      <c r="B700" s="12"/>
      <c r="C700" s="12"/>
      <c r="D700" s="12"/>
      <c r="E700" s="12"/>
      <c r="F700" s="17" t="str">
        <f aca="false">IF(B700="","",TRIM(B700&amp;" "&amp;C700&amp;" "&amp;D700))</f>
        <v/>
      </c>
      <c r="G700" s="12"/>
      <c r="H700" s="12"/>
      <c r="I700" s="12"/>
      <c r="J700" s="17" t="str">
        <f aca="false">IF(I700="","",IF(COUNTIF(Emplacements!$A$2:$A$1001,I700)=0,"⚠ emplacement inconnu",IF(AND(H700&lt;&gt;"",LEFT(I700,1)&lt;&gt;H700),"⚠ mauvaise zone","OK")))</f>
        <v/>
      </c>
      <c r="K700" s="12"/>
      <c r="L700" s="12"/>
    </row>
    <row r="701" customFormat="false" ht="15" hidden="false" customHeight="false" outlineLevel="0" collapsed="false">
      <c r="A701" s="12"/>
      <c r="B701" s="12"/>
      <c r="C701" s="12"/>
      <c r="D701" s="12"/>
      <c r="E701" s="12"/>
      <c r="F701" s="17" t="str">
        <f aca="false">IF(B701="","",TRIM(B701&amp;" "&amp;C701&amp;" "&amp;D701))</f>
        <v/>
      </c>
      <c r="G701" s="12"/>
      <c r="H701" s="12"/>
      <c r="I701" s="12"/>
      <c r="J701" s="17" t="str">
        <f aca="false">IF(I701="","",IF(COUNTIF(Emplacements!$A$2:$A$1001,I701)=0,"⚠ emplacement inconnu",IF(AND(H701&lt;&gt;"",LEFT(I701,1)&lt;&gt;H701),"⚠ mauvaise zone","OK")))</f>
        <v/>
      </c>
      <c r="K701" s="12"/>
      <c r="L701" s="12"/>
    </row>
    <row r="702" customFormat="false" ht="15" hidden="false" customHeight="false" outlineLevel="0" collapsed="false">
      <c r="A702" s="12"/>
      <c r="B702" s="12"/>
      <c r="C702" s="12"/>
      <c r="D702" s="12"/>
      <c r="E702" s="12"/>
      <c r="F702" s="17" t="str">
        <f aca="false">IF(B702="","",TRIM(B702&amp;" "&amp;C702&amp;" "&amp;D702))</f>
        <v/>
      </c>
      <c r="G702" s="12"/>
      <c r="H702" s="12"/>
      <c r="I702" s="12"/>
      <c r="J702" s="17" t="str">
        <f aca="false">IF(I702="","",IF(COUNTIF(Emplacements!$A$2:$A$1001,I702)=0,"⚠ emplacement inconnu",IF(AND(H702&lt;&gt;"",LEFT(I702,1)&lt;&gt;H702),"⚠ mauvaise zone","OK")))</f>
        <v/>
      </c>
      <c r="K702" s="12"/>
      <c r="L702" s="12"/>
    </row>
    <row r="703" customFormat="false" ht="15" hidden="false" customHeight="false" outlineLevel="0" collapsed="false">
      <c r="A703" s="12"/>
      <c r="B703" s="12"/>
      <c r="C703" s="12"/>
      <c r="D703" s="12"/>
      <c r="E703" s="12"/>
      <c r="F703" s="17" t="str">
        <f aca="false">IF(B703="","",TRIM(B703&amp;" "&amp;C703&amp;" "&amp;D703))</f>
        <v/>
      </c>
      <c r="G703" s="12"/>
      <c r="H703" s="12"/>
      <c r="I703" s="12"/>
      <c r="J703" s="17" t="str">
        <f aca="false">IF(I703="","",IF(COUNTIF(Emplacements!$A$2:$A$1001,I703)=0,"⚠ emplacement inconnu",IF(AND(H703&lt;&gt;"",LEFT(I703,1)&lt;&gt;H703),"⚠ mauvaise zone","OK")))</f>
        <v/>
      </c>
      <c r="K703" s="12"/>
      <c r="L703" s="12"/>
    </row>
    <row r="704" customFormat="false" ht="15" hidden="false" customHeight="false" outlineLevel="0" collapsed="false">
      <c r="A704" s="12"/>
      <c r="B704" s="12"/>
      <c r="C704" s="12"/>
      <c r="D704" s="12"/>
      <c r="E704" s="12"/>
      <c r="F704" s="17" t="str">
        <f aca="false">IF(B704="","",TRIM(B704&amp;" "&amp;C704&amp;" "&amp;D704))</f>
        <v/>
      </c>
      <c r="G704" s="12"/>
      <c r="H704" s="12"/>
      <c r="I704" s="12"/>
      <c r="J704" s="17" t="str">
        <f aca="false">IF(I704="","",IF(COUNTIF(Emplacements!$A$2:$A$1001,I704)=0,"⚠ emplacement inconnu",IF(AND(H704&lt;&gt;"",LEFT(I704,1)&lt;&gt;H704),"⚠ mauvaise zone","OK")))</f>
        <v/>
      </c>
      <c r="K704" s="12"/>
      <c r="L704" s="12"/>
    </row>
    <row r="705" customFormat="false" ht="15" hidden="false" customHeight="false" outlineLevel="0" collapsed="false">
      <c r="A705" s="12"/>
      <c r="B705" s="12"/>
      <c r="C705" s="12"/>
      <c r="D705" s="12"/>
      <c r="E705" s="12"/>
      <c r="F705" s="17" t="str">
        <f aca="false">IF(B705="","",TRIM(B705&amp;" "&amp;C705&amp;" "&amp;D705))</f>
        <v/>
      </c>
      <c r="G705" s="12"/>
      <c r="H705" s="12"/>
      <c r="I705" s="12"/>
      <c r="J705" s="17" t="str">
        <f aca="false">IF(I705="","",IF(COUNTIF(Emplacements!$A$2:$A$1001,I705)=0,"⚠ emplacement inconnu",IF(AND(H705&lt;&gt;"",LEFT(I705,1)&lt;&gt;H705),"⚠ mauvaise zone","OK")))</f>
        <v/>
      </c>
      <c r="K705" s="12"/>
      <c r="L705" s="12"/>
    </row>
    <row r="706" customFormat="false" ht="15" hidden="false" customHeight="false" outlineLevel="0" collapsed="false">
      <c r="A706" s="12"/>
      <c r="B706" s="12"/>
      <c r="C706" s="12"/>
      <c r="D706" s="12"/>
      <c r="E706" s="12"/>
      <c r="F706" s="17" t="str">
        <f aca="false">IF(B706="","",TRIM(B706&amp;" "&amp;C706&amp;" "&amp;D706))</f>
        <v/>
      </c>
      <c r="G706" s="12"/>
      <c r="H706" s="12"/>
      <c r="I706" s="12"/>
      <c r="J706" s="17" t="str">
        <f aca="false">IF(I706="","",IF(COUNTIF(Emplacements!$A$2:$A$1001,I706)=0,"⚠ emplacement inconnu",IF(AND(H706&lt;&gt;"",LEFT(I706,1)&lt;&gt;H706),"⚠ mauvaise zone","OK")))</f>
        <v/>
      </c>
      <c r="K706" s="12"/>
      <c r="L706" s="12"/>
    </row>
    <row r="707" customFormat="false" ht="15" hidden="false" customHeight="false" outlineLevel="0" collapsed="false">
      <c r="A707" s="12"/>
      <c r="B707" s="12"/>
      <c r="C707" s="12"/>
      <c r="D707" s="12"/>
      <c r="E707" s="12"/>
      <c r="F707" s="17" t="str">
        <f aca="false">IF(B707="","",TRIM(B707&amp;" "&amp;C707&amp;" "&amp;D707))</f>
        <v/>
      </c>
      <c r="G707" s="12"/>
      <c r="H707" s="12"/>
      <c r="I707" s="12"/>
      <c r="J707" s="17" t="str">
        <f aca="false">IF(I707="","",IF(COUNTIF(Emplacements!$A$2:$A$1001,I707)=0,"⚠ emplacement inconnu",IF(AND(H707&lt;&gt;"",LEFT(I707,1)&lt;&gt;H707),"⚠ mauvaise zone","OK")))</f>
        <v/>
      </c>
      <c r="K707" s="12"/>
      <c r="L707" s="12"/>
    </row>
    <row r="708" customFormat="false" ht="15" hidden="false" customHeight="false" outlineLevel="0" collapsed="false">
      <c r="A708" s="12"/>
      <c r="B708" s="12"/>
      <c r="C708" s="12"/>
      <c r="D708" s="12"/>
      <c r="E708" s="12"/>
      <c r="F708" s="17" t="str">
        <f aca="false">IF(B708="","",TRIM(B708&amp;" "&amp;C708&amp;" "&amp;D708))</f>
        <v/>
      </c>
      <c r="G708" s="12"/>
      <c r="H708" s="12"/>
      <c r="I708" s="12"/>
      <c r="J708" s="17" t="str">
        <f aca="false">IF(I708="","",IF(COUNTIF(Emplacements!$A$2:$A$1001,I708)=0,"⚠ emplacement inconnu",IF(AND(H708&lt;&gt;"",LEFT(I708,1)&lt;&gt;H708),"⚠ mauvaise zone","OK")))</f>
        <v/>
      </c>
      <c r="K708" s="12"/>
      <c r="L708" s="12"/>
    </row>
    <row r="709" customFormat="false" ht="15" hidden="false" customHeight="false" outlineLevel="0" collapsed="false">
      <c r="A709" s="12"/>
      <c r="B709" s="12"/>
      <c r="C709" s="12"/>
      <c r="D709" s="12"/>
      <c r="E709" s="12"/>
      <c r="F709" s="17" t="str">
        <f aca="false">IF(B709="","",TRIM(B709&amp;" "&amp;C709&amp;" "&amp;D709))</f>
        <v/>
      </c>
      <c r="G709" s="12"/>
      <c r="H709" s="12"/>
      <c r="I709" s="12"/>
      <c r="J709" s="17" t="str">
        <f aca="false">IF(I709="","",IF(COUNTIF(Emplacements!$A$2:$A$1001,I709)=0,"⚠ emplacement inconnu",IF(AND(H709&lt;&gt;"",LEFT(I709,1)&lt;&gt;H709),"⚠ mauvaise zone","OK")))</f>
        <v/>
      </c>
      <c r="K709" s="12"/>
      <c r="L709" s="12"/>
    </row>
    <row r="710" customFormat="false" ht="15" hidden="false" customHeight="false" outlineLevel="0" collapsed="false">
      <c r="A710" s="12"/>
      <c r="B710" s="12"/>
      <c r="C710" s="12"/>
      <c r="D710" s="12"/>
      <c r="E710" s="12"/>
      <c r="F710" s="17" t="str">
        <f aca="false">IF(B710="","",TRIM(B710&amp;" "&amp;C710&amp;" "&amp;D710))</f>
        <v/>
      </c>
      <c r="G710" s="12"/>
      <c r="H710" s="12"/>
      <c r="I710" s="12"/>
      <c r="J710" s="17" t="str">
        <f aca="false">IF(I710="","",IF(COUNTIF(Emplacements!$A$2:$A$1001,I710)=0,"⚠ emplacement inconnu",IF(AND(H710&lt;&gt;"",LEFT(I710,1)&lt;&gt;H710),"⚠ mauvaise zone","OK")))</f>
        <v/>
      </c>
      <c r="K710" s="12"/>
      <c r="L710" s="12"/>
    </row>
    <row r="711" customFormat="false" ht="15" hidden="false" customHeight="false" outlineLevel="0" collapsed="false">
      <c r="A711" s="12"/>
      <c r="B711" s="12"/>
      <c r="C711" s="12"/>
      <c r="D711" s="12"/>
      <c r="E711" s="12"/>
      <c r="F711" s="17" t="str">
        <f aca="false">IF(B711="","",TRIM(B711&amp;" "&amp;C711&amp;" "&amp;D711))</f>
        <v/>
      </c>
      <c r="G711" s="12"/>
      <c r="H711" s="12"/>
      <c r="I711" s="12"/>
      <c r="J711" s="17" t="str">
        <f aca="false">IF(I711="","",IF(COUNTIF(Emplacements!$A$2:$A$1001,I711)=0,"⚠ emplacement inconnu",IF(AND(H711&lt;&gt;"",LEFT(I711,1)&lt;&gt;H711),"⚠ mauvaise zone","OK")))</f>
        <v/>
      </c>
      <c r="K711" s="12"/>
      <c r="L711" s="12"/>
    </row>
    <row r="712" customFormat="false" ht="15" hidden="false" customHeight="false" outlineLevel="0" collapsed="false">
      <c r="A712" s="12"/>
      <c r="B712" s="12"/>
      <c r="C712" s="12"/>
      <c r="D712" s="12"/>
      <c r="E712" s="12"/>
      <c r="F712" s="17" t="str">
        <f aca="false">IF(B712="","",TRIM(B712&amp;" "&amp;C712&amp;" "&amp;D712))</f>
        <v/>
      </c>
      <c r="G712" s="12"/>
      <c r="H712" s="12"/>
      <c r="I712" s="12"/>
      <c r="J712" s="17" t="str">
        <f aca="false">IF(I712="","",IF(COUNTIF(Emplacements!$A$2:$A$1001,I712)=0,"⚠ emplacement inconnu",IF(AND(H712&lt;&gt;"",LEFT(I712,1)&lt;&gt;H712),"⚠ mauvaise zone","OK")))</f>
        <v/>
      </c>
      <c r="K712" s="12"/>
      <c r="L712" s="12"/>
    </row>
    <row r="713" customFormat="false" ht="15" hidden="false" customHeight="false" outlineLevel="0" collapsed="false">
      <c r="A713" s="12"/>
      <c r="B713" s="12"/>
      <c r="C713" s="12"/>
      <c r="D713" s="12"/>
      <c r="E713" s="12"/>
      <c r="F713" s="17" t="str">
        <f aca="false">IF(B713="","",TRIM(B713&amp;" "&amp;C713&amp;" "&amp;D713))</f>
        <v/>
      </c>
      <c r="G713" s="12"/>
      <c r="H713" s="12"/>
      <c r="I713" s="12"/>
      <c r="J713" s="17" t="str">
        <f aca="false">IF(I713="","",IF(COUNTIF(Emplacements!$A$2:$A$1001,I713)=0,"⚠ emplacement inconnu",IF(AND(H713&lt;&gt;"",LEFT(I713,1)&lt;&gt;H713),"⚠ mauvaise zone","OK")))</f>
        <v/>
      </c>
      <c r="K713" s="12"/>
      <c r="L713" s="12"/>
    </row>
    <row r="714" customFormat="false" ht="15" hidden="false" customHeight="false" outlineLevel="0" collapsed="false">
      <c r="A714" s="12"/>
      <c r="B714" s="12"/>
      <c r="C714" s="12"/>
      <c r="D714" s="12"/>
      <c r="E714" s="12"/>
      <c r="F714" s="17" t="str">
        <f aca="false">IF(B714="","",TRIM(B714&amp;" "&amp;C714&amp;" "&amp;D714))</f>
        <v/>
      </c>
      <c r="G714" s="12"/>
      <c r="H714" s="12"/>
      <c r="I714" s="12"/>
      <c r="J714" s="17" t="str">
        <f aca="false">IF(I714="","",IF(COUNTIF(Emplacements!$A$2:$A$1001,I714)=0,"⚠ emplacement inconnu",IF(AND(H714&lt;&gt;"",LEFT(I714,1)&lt;&gt;H714),"⚠ mauvaise zone","OK")))</f>
        <v/>
      </c>
      <c r="K714" s="12"/>
      <c r="L714" s="12"/>
    </row>
    <row r="715" customFormat="false" ht="15" hidden="false" customHeight="false" outlineLevel="0" collapsed="false">
      <c r="A715" s="12"/>
      <c r="B715" s="12"/>
      <c r="C715" s="12"/>
      <c r="D715" s="12"/>
      <c r="E715" s="12"/>
      <c r="F715" s="17" t="str">
        <f aca="false">IF(B715="","",TRIM(B715&amp;" "&amp;C715&amp;" "&amp;D715))</f>
        <v/>
      </c>
      <c r="G715" s="12"/>
      <c r="H715" s="12"/>
      <c r="I715" s="12"/>
      <c r="J715" s="17" t="str">
        <f aca="false">IF(I715="","",IF(COUNTIF(Emplacements!$A$2:$A$1001,I715)=0,"⚠ emplacement inconnu",IF(AND(H715&lt;&gt;"",LEFT(I715,1)&lt;&gt;H715),"⚠ mauvaise zone","OK")))</f>
        <v/>
      </c>
      <c r="K715" s="12"/>
      <c r="L715" s="12"/>
    </row>
    <row r="716" customFormat="false" ht="15" hidden="false" customHeight="false" outlineLevel="0" collapsed="false">
      <c r="A716" s="12"/>
      <c r="B716" s="12"/>
      <c r="C716" s="12"/>
      <c r="D716" s="12"/>
      <c r="E716" s="12"/>
      <c r="F716" s="17" t="str">
        <f aca="false">IF(B716="","",TRIM(B716&amp;" "&amp;C716&amp;" "&amp;D716))</f>
        <v/>
      </c>
      <c r="G716" s="12"/>
      <c r="H716" s="12"/>
      <c r="I716" s="12"/>
      <c r="J716" s="17" t="str">
        <f aca="false">IF(I716="","",IF(COUNTIF(Emplacements!$A$2:$A$1001,I716)=0,"⚠ emplacement inconnu",IF(AND(H716&lt;&gt;"",LEFT(I716,1)&lt;&gt;H716),"⚠ mauvaise zone","OK")))</f>
        <v/>
      </c>
      <c r="K716" s="12"/>
      <c r="L716" s="12"/>
    </row>
    <row r="717" customFormat="false" ht="15" hidden="false" customHeight="false" outlineLevel="0" collapsed="false">
      <c r="A717" s="12"/>
      <c r="B717" s="12"/>
      <c r="C717" s="12"/>
      <c r="D717" s="12"/>
      <c r="E717" s="12"/>
      <c r="F717" s="17" t="str">
        <f aca="false">IF(B717="","",TRIM(B717&amp;" "&amp;C717&amp;" "&amp;D717))</f>
        <v/>
      </c>
      <c r="G717" s="12"/>
      <c r="H717" s="12"/>
      <c r="I717" s="12"/>
      <c r="J717" s="17" t="str">
        <f aca="false">IF(I717="","",IF(COUNTIF(Emplacements!$A$2:$A$1001,I717)=0,"⚠ emplacement inconnu",IF(AND(H717&lt;&gt;"",LEFT(I717,1)&lt;&gt;H717),"⚠ mauvaise zone","OK")))</f>
        <v/>
      </c>
      <c r="K717" s="12"/>
      <c r="L717" s="12"/>
    </row>
    <row r="718" customFormat="false" ht="15" hidden="false" customHeight="false" outlineLevel="0" collapsed="false">
      <c r="A718" s="12"/>
      <c r="B718" s="12"/>
      <c r="C718" s="12"/>
      <c r="D718" s="12"/>
      <c r="E718" s="12"/>
      <c r="F718" s="17" t="str">
        <f aca="false">IF(B718="","",TRIM(B718&amp;" "&amp;C718&amp;" "&amp;D718))</f>
        <v/>
      </c>
      <c r="G718" s="12"/>
      <c r="H718" s="12"/>
      <c r="I718" s="12"/>
      <c r="J718" s="17" t="str">
        <f aca="false">IF(I718="","",IF(COUNTIF(Emplacements!$A$2:$A$1001,I718)=0,"⚠ emplacement inconnu",IF(AND(H718&lt;&gt;"",LEFT(I718,1)&lt;&gt;H718),"⚠ mauvaise zone","OK")))</f>
        <v/>
      </c>
      <c r="K718" s="12"/>
      <c r="L718" s="12"/>
    </row>
    <row r="719" customFormat="false" ht="15" hidden="false" customHeight="false" outlineLevel="0" collapsed="false">
      <c r="A719" s="12"/>
      <c r="B719" s="12"/>
      <c r="C719" s="12"/>
      <c r="D719" s="12"/>
      <c r="E719" s="12"/>
      <c r="F719" s="17" t="str">
        <f aca="false">IF(B719="","",TRIM(B719&amp;" "&amp;C719&amp;" "&amp;D719))</f>
        <v/>
      </c>
      <c r="G719" s="12"/>
      <c r="H719" s="12"/>
      <c r="I719" s="12"/>
      <c r="J719" s="17" t="str">
        <f aca="false">IF(I719="","",IF(COUNTIF(Emplacements!$A$2:$A$1001,I719)=0,"⚠ emplacement inconnu",IF(AND(H719&lt;&gt;"",LEFT(I719,1)&lt;&gt;H719),"⚠ mauvaise zone","OK")))</f>
        <v/>
      </c>
      <c r="K719" s="12"/>
      <c r="L719" s="12"/>
    </row>
    <row r="720" customFormat="false" ht="15" hidden="false" customHeight="false" outlineLevel="0" collapsed="false">
      <c r="A720" s="12"/>
      <c r="B720" s="12"/>
      <c r="C720" s="12"/>
      <c r="D720" s="12"/>
      <c r="E720" s="12"/>
      <c r="F720" s="17" t="str">
        <f aca="false">IF(B720="","",TRIM(B720&amp;" "&amp;C720&amp;" "&amp;D720))</f>
        <v/>
      </c>
      <c r="G720" s="12"/>
      <c r="H720" s="12"/>
      <c r="I720" s="12"/>
      <c r="J720" s="17" t="str">
        <f aca="false">IF(I720="","",IF(COUNTIF(Emplacements!$A$2:$A$1001,I720)=0,"⚠ emplacement inconnu",IF(AND(H720&lt;&gt;"",LEFT(I720,1)&lt;&gt;H720),"⚠ mauvaise zone","OK")))</f>
        <v/>
      </c>
      <c r="K720" s="12"/>
      <c r="L720" s="12"/>
    </row>
    <row r="721" customFormat="false" ht="15" hidden="false" customHeight="false" outlineLevel="0" collapsed="false">
      <c r="A721" s="12"/>
      <c r="B721" s="12"/>
      <c r="C721" s="12"/>
      <c r="D721" s="12"/>
      <c r="E721" s="12"/>
      <c r="F721" s="17" t="str">
        <f aca="false">IF(B721="","",TRIM(B721&amp;" "&amp;C721&amp;" "&amp;D721))</f>
        <v/>
      </c>
      <c r="G721" s="12"/>
      <c r="H721" s="12"/>
      <c r="I721" s="12"/>
      <c r="J721" s="17" t="str">
        <f aca="false">IF(I721="","",IF(COUNTIF(Emplacements!$A$2:$A$1001,I721)=0,"⚠ emplacement inconnu",IF(AND(H721&lt;&gt;"",LEFT(I721,1)&lt;&gt;H721),"⚠ mauvaise zone","OK")))</f>
        <v/>
      </c>
      <c r="K721" s="12"/>
      <c r="L721" s="12"/>
    </row>
    <row r="722" customFormat="false" ht="15" hidden="false" customHeight="false" outlineLevel="0" collapsed="false">
      <c r="A722" s="12"/>
      <c r="B722" s="12"/>
      <c r="C722" s="12"/>
      <c r="D722" s="12"/>
      <c r="E722" s="12"/>
      <c r="F722" s="17" t="str">
        <f aca="false">IF(B722="","",TRIM(B722&amp;" "&amp;C722&amp;" "&amp;D722))</f>
        <v/>
      </c>
      <c r="G722" s="12"/>
      <c r="H722" s="12"/>
      <c r="I722" s="12"/>
      <c r="J722" s="17" t="str">
        <f aca="false">IF(I722="","",IF(COUNTIF(Emplacements!$A$2:$A$1001,I722)=0,"⚠ emplacement inconnu",IF(AND(H722&lt;&gt;"",LEFT(I722,1)&lt;&gt;H722),"⚠ mauvaise zone","OK")))</f>
        <v/>
      </c>
      <c r="K722" s="12"/>
      <c r="L722" s="12"/>
    </row>
    <row r="723" customFormat="false" ht="15" hidden="false" customHeight="false" outlineLevel="0" collapsed="false">
      <c r="A723" s="12"/>
      <c r="B723" s="12"/>
      <c r="C723" s="12"/>
      <c r="D723" s="12"/>
      <c r="E723" s="12"/>
      <c r="F723" s="17" t="str">
        <f aca="false">IF(B723="","",TRIM(B723&amp;" "&amp;C723&amp;" "&amp;D723))</f>
        <v/>
      </c>
      <c r="G723" s="12"/>
      <c r="H723" s="12"/>
      <c r="I723" s="12"/>
      <c r="J723" s="17" t="str">
        <f aca="false">IF(I723="","",IF(COUNTIF(Emplacements!$A$2:$A$1001,I723)=0,"⚠ emplacement inconnu",IF(AND(H723&lt;&gt;"",LEFT(I723,1)&lt;&gt;H723),"⚠ mauvaise zone","OK")))</f>
        <v/>
      </c>
      <c r="K723" s="12"/>
      <c r="L723" s="12"/>
    </row>
    <row r="724" customFormat="false" ht="15" hidden="false" customHeight="false" outlineLevel="0" collapsed="false">
      <c r="A724" s="12"/>
      <c r="B724" s="12"/>
      <c r="C724" s="12"/>
      <c r="D724" s="12"/>
      <c r="E724" s="12"/>
      <c r="F724" s="17" t="str">
        <f aca="false">IF(B724="","",TRIM(B724&amp;" "&amp;C724&amp;" "&amp;D724))</f>
        <v/>
      </c>
      <c r="G724" s="12"/>
      <c r="H724" s="12"/>
      <c r="I724" s="12"/>
      <c r="J724" s="17" t="str">
        <f aca="false">IF(I724="","",IF(COUNTIF(Emplacements!$A$2:$A$1001,I724)=0,"⚠ emplacement inconnu",IF(AND(H724&lt;&gt;"",LEFT(I724,1)&lt;&gt;H724),"⚠ mauvaise zone","OK")))</f>
        <v/>
      </c>
      <c r="K724" s="12"/>
      <c r="L724" s="12"/>
    </row>
    <row r="725" customFormat="false" ht="15" hidden="false" customHeight="false" outlineLevel="0" collapsed="false">
      <c r="A725" s="12"/>
      <c r="B725" s="12"/>
      <c r="C725" s="12"/>
      <c r="D725" s="12"/>
      <c r="E725" s="12"/>
      <c r="F725" s="17" t="str">
        <f aca="false">IF(B725="","",TRIM(B725&amp;" "&amp;C725&amp;" "&amp;D725))</f>
        <v/>
      </c>
      <c r="G725" s="12"/>
      <c r="H725" s="12"/>
      <c r="I725" s="12"/>
      <c r="J725" s="17" t="str">
        <f aca="false">IF(I725="","",IF(COUNTIF(Emplacements!$A$2:$A$1001,I725)=0,"⚠ emplacement inconnu",IF(AND(H725&lt;&gt;"",LEFT(I725,1)&lt;&gt;H725),"⚠ mauvaise zone","OK")))</f>
        <v/>
      </c>
      <c r="K725" s="12"/>
      <c r="L725" s="12"/>
    </row>
    <row r="726" customFormat="false" ht="15" hidden="false" customHeight="false" outlineLevel="0" collapsed="false">
      <c r="A726" s="12"/>
      <c r="B726" s="12"/>
      <c r="C726" s="12"/>
      <c r="D726" s="12"/>
      <c r="E726" s="12"/>
      <c r="F726" s="17" t="str">
        <f aca="false">IF(B726="","",TRIM(B726&amp;" "&amp;C726&amp;" "&amp;D726))</f>
        <v/>
      </c>
      <c r="G726" s="12"/>
      <c r="H726" s="12"/>
      <c r="I726" s="12"/>
      <c r="J726" s="17" t="str">
        <f aca="false">IF(I726="","",IF(COUNTIF(Emplacements!$A$2:$A$1001,I726)=0,"⚠ emplacement inconnu",IF(AND(H726&lt;&gt;"",LEFT(I726,1)&lt;&gt;H726),"⚠ mauvaise zone","OK")))</f>
        <v/>
      </c>
      <c r="K726" s="12"/>
      <c r="L726" s="12"/>
    </row>
    <row r="727" customFormat="false" ht="15" hidden="false" customHeight="false" outlineLevel="0" collapsed="false">
      <c r="A727" s="12"/>
      <c r="B727" s="12"/>
      <c r="C727" s="12"/>
      <c r="D727" s="12"/>
      <c r="E727" s="12"/>
      <c r="F727" s="17" t="str">
        <f aca="false">IF(B727="","",TRIM(B727&amp;" "&amp;C727&amp;" "&amp;D727))</f>
        <v/>
      </c>
      <c r="G727" s="12"/>
      <c r="H727" s="12"/>
      <c r="I727" s="12"/>
      <c r="J727" s="17" t="str">
        <f aca="false">IF(I727="","",IF(COUNTIF(Emplacements!$A$2:$A$1001,I727)=0,"⚠ emplacement inconnu",IF(AND(H727&lt;&gt;"",LEFT(I727,1)&lt;&gt;H727),"⚠ mauvaise zone","OK")))</f>
        <v/>
      </c>
      <c r="K727" s="12"/>
      <c r="L727" s="12"/>
    </row>
    <row r="728" customFormat="false" ht="15" hidden="false" customHeight="false" outlineLevel="0" collapsed="false">
      <c r="A728" s="12"/>
      <c r="B728" s="12"/>
      <c r="C728" s="12"/>
      <c r="D728" s="12"/>
      <c r="E728" s="12"/>
      <c r="F728" s="17" t="str">
        <f aca="false">IF(B728="","",TRIM(B728&amp;" "&amp;C728&amp;" "&amp;D728))</f>
        <v/>
      </c>
      <c r="G728" s="12"/>
      <c r="H728" s="12"/>
      <c r="I728" s="12"/>
      <c r="J728" s="17" t="str">
        <f aca="false">IF(I728="","",IF(COUNTIF(Emplacements!$A$2:$A$1001,I728)=0,"⚠ emplacement inconnu",IF(AND(H728&lt;&gt;"",LEFT(I728,1)&lt;&gt;H728),"⚠ mauvaise zone","OK")))</f>
        <v/>
      </c>
      <c r="K728" s="12"/>
      <c r="L728" s="12"/>
    </row>
    <row r="729" customFormat="false" ht="15" hidden="false" customHeight="false" outlineLevel="0" collapsed="false">
      <c r="A729" s="12"/>
      <c r="B729" s="12"/>
      <c r="C729" s="12"/>
      <c r="D729" s="12"/>
      <c r="E729" s="12"/>
      <c r="F729" s="17" t="str">
        <f aca="false">IF(B729="","",TRIM(B729&amp;" "&amp;C729&amp;" "&amp;D729))</f>
        <v/>
      </c>
      <c r="G729" s="12"/>
      <c r="H729" s="12"/>
      <c r="I729" s="12"/>
      <c r="J729" s="17" t="str">
        <f aca="false">IF(I729="","",IF(COUNTIF(Emplacements!$A$2:$A$1001,I729)=0,"⚠ emplacement inconnu",IF(AND(H729&lt;&gt;"",LEFT(I729,1)&lt;&gt;H729),"⚠ mauvaise zone","OK")))</f>
        <v/>
      </c>
      <c r="K729" s="12"/>
      <c r="L729" s="12"/>
    </row>
    <row r="730" customFormat="false" ht="15" hidden="false" customHeight="false" outlineLevel="0" collapsed="false">
      <c r="A730" s="12"/>
      <c r="B730" s="12"/>
      <c r="C730" s="12"/>
      <c r="D730" s="12"/>
      <c r="E730" s="12"/>
      <c r="F730" s="17" t="str">
        <f aca="false">IF(B730="","",TRIM(B730&amp;" "&amp;C730&amp;" "&amp;D730))</f>
        <v/>
      </c>
      <c r="G730" s="12"/>
      <c r="H730" s="12"/>
      <c r="I730" s="12"/>
      <c r="J730" s="17" t="str">
        <f aca="false">IF(I730="","",IF(COUNTIF(Emplacements!$A$2:$A$1001,I730)=0,"⚠ emplacement inconnu",IF(AND(H730&lt;&gt;"",LEFT(I730,1)&lt;&gt;H730),"⚠ mauvaise zone","OK")))</f>
        <v/>
      </c>
      <c r="K730" s="12"/>
      <c r="L730" s="12"/>
    </row>
    <row r="731" customFormat="false" ht="15" hidden="false" customHeight="false" outlineLevel="0" collapsed="false">
      <c r="A731" s="12"/>
      <c r="B731" s="12"/>
      <c r="C731" s="12"/>
      <c r="D731" s="12"/>
      <c r="E731" s="12"/>
      <c r="F731" s="17" t="str">
        <f aca="false">IF(B731="","",TRIM(B731&amp;" "&amp;C731&amp;" "&amp;D731))</f>
        <v/>
      </c>
      <c r="G731" s="12"/>
      <c r="H731" s="12"/>
      <c r="I731" s="12"/>
      <c r="J731" s="17" t="str">
        <f aca="false">IF(I731="","",IF(COUNTIF(Emplacements!$A$2:$A$1001,I731)=0,"⚠ emplacement inconnu",IF(AND(H731&lt;&gt;"",LEFT(I731,1)&lt;&gt;H731),"⚠ mauvaise zone","OK")))</f>
        <v/>
      </c>
      <c r="K731" s="12"/>
      <c r="L731" s="12"/>
    </row>
    <row r="732" customFormat="false" ht="15" hidden="false" customHeight="false" outlineLevel="0" collapsed="false">
      <c r="A732" s="12"/>
      <c r="B732" s="12"/>
      <c r="C732" s="12"/>
      <c r="D732" s="12"/>
      <c r="E732" s="12"/>
      <c r="F732" s="17" t="str">
        <f aca="false">IF(B732="","",TRIM(B732&amp;" "&amp;C732&amp;" "&amp;D732))</f>
        <v/>
      </c>
      <c r="G732" s="12"/>
      <c r="H732" s="12"/>
      <c r="I732" s="12"/>
      <c r="J732" s="17" t="str">
        <f aca="false">IF(I732="","",IF(COUNTIF(Emplacements!$A$2:$A$1001,I732)=0,"⚠ emplacement inconnu",IF(AND(H732&lt;&gt;"",LEFT(I732,1)&lt;&gt;H732),"⚠ mauvaise zone","OK")))</f>
        <v/>
      </c>
      <c r="K732" s="12"/>
      <c r="L732" s="12"/>
    </row>
    <row r="733" customFormat="false" ht="15" hidden="false" customHeight="false" outlineLevel="0" collapsed="false">
      <c r="A733" s="12"/>
      <c r="B733" s="12"/>
      <c r="C733" s="12"/>
      <c r="D733" s="12"/>
      <c r="E733" s="12"/>
      <c r="F733" s="17" t="str">
        <f aca="false">IF(B733="","",TRIM(B733&amp;" "&amp;C733&amp;" "&amp;D733))</f>
        <v/>
      </c>
      <c r="G733" s="12"/>
      <c r="H733" s="12"/>
      <c r="I733" s="12"/>
      <c r="J733" s="17" t="str">
        <f aca="false">IF(I733="","",IF(COUNTIF(Emplacements!$A$2:$A$1001,I733)=0,"⚠ emplacement inconnu",IF(AND(H733&lt;&gt;"",LEFT(I733,1)&lt;&gt;H733),"⚠ mauvaise zone","OK")))</f>
        <v/>
      </c>
      <c r="K733" s="12"/>
      <c r="L733" s="12"/>
    </row>
    <row r="734" customFormat="false" ht="15" hidden="false" customHeight="false" outlineLevel="0" collapsed="false">
      <c r="A734" s="12"/>
      <c r="B734" s="12"/>
      <c r="C734" s="12"/>
      <c r="D734" s="12"/>
      <c r="E734" s="12"/>
      <c r="F734" s="17" t="str">
        <f aca="false">IF(B734="","",TRIM(B734&amp;" "&amp;C734&amp;" "&amp;D734))</f>
        <v/>
      </c>
      <c r="G734" s="12"/>
      <c r="H734" s="12"/>
      <c r="I734" s="12"/>
      <c r="J734" s="17" t="str">
        <f aca="false">IF(I734="","",IF(COUNTIF(Emplacements!$A$2:$A$1001,I734)=0,"⚠ emplacement inconnu",IF(AND(H734&lt;&gt;"",LEFT(I734,1)&lt;&gt;H734),"⚠ mauvaise zone","OK")))</f>
        <v/>
      </c>
      <c r="K734" s="12"/>
      <c r="L734" s="12"/>
    </row>
    <row r="735" customFormat="false" ht="15" hidden="false" customHeight="false" outlineLevel="0" collapsed="false">
      <c r="A735" s="12"/>
      <c r="B735" s="12"/>
      <c r="C735" s="12"/>
      <c r="D735" s="12"/>
      <c r="E735" s="12"/>
      <c r="F735" s="17" t="str">
        <f aca="false">IF(B735="","",TRIM(B735&amp;" "&amp;C735&amp;" "&amp;D735))</f>
        <v/>
      </c>
      <c r="G735" s="12"/>
      <c r="H735" s="12"/>
      <c r="I735" s="12"/>
      <c r="J735" s="17" t="str">
        <f aca="false">IF(I735="","",IF(COUNTIF(Emplacements!$A$2:$A$1001,I735)=0,"⚠ emplacement inconnu",IF(AND(H735&lt;&gt;"",LEFT(I735,1)&lt;&gt;H735),"⚠ mauvaise zone","OK")))</f>
        <v/>
      </c>
      <c r="K735" s="12"/>
      <c r="L735" s="12"/>
    </row>
    <row r="736" customFormat="false" ht="15" hidden="false" customHeight="false" outlineLevel="0" collapsed="false">
      <c r="A736" s="12"/>
      <c r="B736" s="12"/>
      <c r="C736" s="12"/>
      <c r="D736" s="12"/>
      <c r="E736" s="12"/>
      <c r="F736" s="17" t="str">
        <f aca="false">IF(B736="","",TRIM(B736&amp;" "&amp;C736&amp;" "&amp;D736))</f>
        <v/>
      </c>
      <c r="G736" s="12"/>
      <c r="H736" s="12"/>
      <c r="I736" s="12"/>
      <c r="J736" s="17" t="str">
        <f aca="false">IF(I736="","",IF(COUNTIF(Emplacements!$A$2:$A$1001,I736)=0,"⚠ emplacement inconnu",IF(AND(H736&lt;&gt;"",LEFT(I736,1)&lt;&gt;H736),"⚠ mauvaise zone","OK")))</f>
        <v/>
      </c>
      <c r="K736" s="12"/>
      <c r="L736" s="12"/>
    </row>
    <row r="737" customFormat="false" ht="15" hidden="false" customHeight="false" outlineLevel="0" collapsed="false">
      <c r="A737" s="12"/>
      <c r="B737" s="12"/>
      <c r="C737" s="12"/>
      <c r="D737" s="12"/>
      <c r="E737" s="12"/>
      <c r="F737" s="17" t="str">
        <f aca="false">IF(B737="","",TRIM(B737&amp;" "&amp;C737&amp;" "&amp;D737))</f>
        <v/>
      </c>
      <c r="G737" s="12"/>
      <c r="H737" s="12"/>
      <c r="I737" s="12"/>
      <c r="J737" s="17" t="str">
        <f aca="false">IF(I737="","",IF(COUNTIF(Emplacements!$A$2:$A$1001,I737)=0,"⚠ emplacement inconnu",IF(AND(H737&lt;&gt;"",LEFT(I737,1)&lt;&gt;H737),"⚠ mauvaise zone","OK")))</f>
        <v/>
      </c>
      <c r="K737" s="12"/>
      <c r="L737" s="12"/>
    </row>
    <row r="738" customFormat="false" ht="15" hidden="false" customHeight="false" outlineLevel="0" collapsed="false">
      <c r="A738" s="12"/>
      <c r="B738" s="12"/>
      <c r="C738" s="12"/>
      <c r="D738" s="12"/>
      <c r="E738" s="12"/>
      <c r="F738" s="17" t="str">
        <f aca="false">IF(B738="","",TRIM(B738&amp;" "&amp;C738&amp;" "&amp;D738))</f>
        <v/>
      </c>
      <c r="G738" s="12"/>
      <c r="H738" s="12"/>
      <c r="I738" s="12"/>
      <c r="J738" s="17" t="str">
        <f aca="false">IF(I738="","",IF(COUNTIF(Emplacements!$A$2:$A$1001,I738)=0,"⚠ emplacement inconnu",IF(AND(H738&lt;&gt;"",LEFT(I738,1)&lt;&gt;H738),"⚠ mauvaise zone","OK")))</f>
        <v/>
      </c>
      <c r="K738" s="12"/>
      <c r="L738" s="12"/>
    </row>
    <row r="739" customFormat="false" ht="15" hidden="false" customHeight="false" outlineLevel="0" collapsed="false">
      <c r="A739" s="12"/>
      <c r="B739" s="12"/>
      <c r="C739" s="12"/>
      <c r="D739" s="12"/>
      <c r="E739" s="12"/>
      <c r="F739" s="17" t="str">
        <f aca="false">IF(B739="","",TRIM(B739&amp;" "&amp;C739&amp;" "&amp;D739))</f>
        <v/>
      </c>
      <c r="G739" s="12"/>
      <c r="H739" s="12"/>
      <c r="I739" s="12"/>
      <c r="J739" s="17" t="str">
        <f aca="false">IF(I739="","",IF(COUNTIF(Emplacements!$A$2:$A$1001,I739)=0,"⚠ emplacement inconnu",IF(AND(H739&lt;&gt;"",LEFT(I739,1)&lt;&gt;H739),"⚠ mauvaise zone","OK")))</f>
        <v/>
      </c>
      <c r="K739" s="12"/>
      <c r="L739" s="12"/>
    </row>
    <row r="740" customFormat="false" ht="15" hidden="false" customHeight="false" outlineLevel="0" collapsed="false">
      <c r="A740" s="12"/>
      <c r="B740" s="12"/>
      <c r="C740" s="12"/>
      <c r="D740" s="12"/>
      <c r="E740" s="12"/>
      <c r="F740" s="17" t="str">
        <f aca="false">IF(B740="","",TRIM(B740&amp;" "&amp;C740&amp;" "&amp;D740))</f>
        <v/>
      </c>
      <c r="G740" s="12"/>
      <c r="H740" s="12"/>
      <c r="I740" s="12"/>
      <c r="J740" s="17" t="str">
        <f aca="false">IF(I740="","",IF(COUNTIF(Emplacements!$A$2:$A$1001,I740)=0,"⚠ emplacement inconnu",IF(AND(H740&lt;&gt;"",LEFT(I740,1)&lt;&gt;H740),"⚠ mauvaise zone","OK")))</f>
        <v/>
      </c>
      <c r="K740" s="12"/>
      <c r="L740" s="12"/>
    </row>
    <row r="741" customFormat="false" ht="15" hidden="false" customHeight="false" outlineLevel="0" collapsed="false">
      <c r="A741" s="12"/>
      <c r="B741" s="12"/>
      <c r="C741" s="12"/>
      <c r="D741" s="12"/>
      <c r="E741" s="12"/>
      <c r="F741" s="17" t="str">
        <f aca="false">IF(B741="","",TRIM(B741&amp;" "&amp;C741&amp;" "&amp;D741))</f>
        <v/>
      </c>
      <c r="G741" s="12"/>
      <c r="H741" s="12"/>
      <c r="I741" s="12"/>
      <c r="J741" s="17" t="str">
        <f aca="false">IF(I741="","",IF(COUNTIF(Emplacements!$A$2:$A$1001,I741)=0,"⚠ emplacement inconnu",IF(AND(H741&lt;&gt;"",LEFT(I741,1)&lt;&gt;H741),"⚠ mauvaise zone","OK")))</f>
        <v/>
      </c>
      <c r="K741" s="12"/>
      <c r="L741" s="12"/>
    </row>
    <row r="742" customFormat="false" ht="15" hidden="false" customHeight="false" outlineLevel="0" collapsed="false">
      <c r="A742" s="12"/>
      <c r="B742" s="12"/>
      <c r="C742" s="12"/>
      <c r="D742" s="12"/>
      <c r="E742" s="12"/>
      <c r="F742" s="17" t="str">
        <f aca="false">IF(B742="","",TRIM(B742&amp;" "&amp;C742&amp;" "&amp;D742))</f>
        <v/>
      </c>
      <c r="G742" s="12"/>
      <c r="H742" s="12"/>
      <c r="I742" s="12"/>
      <c r="J742" s="17" t="str">
        <f aca="false">IF(I742="","",IF(COUNTIF(Emplacements!$A$2:$A$1001,I742)=0,"⚠ emplacement inconnu",IF(AND(H742&lt;&gt;"",LEFT(I742,1)&lt;&gt;H742),"⚠ mauvaise zone","OK")))</f>
        <v/>
      </c>
      <c r="K742" s="12"/>
      <c r="L742" s="12"/>
    </row>
    <row r="743" customFormat="false" ht="15" hidden="false" customHeight="false" outlineLevel="0" collapsed="false">
      <c r="A743" s="12"/>
      <c r="B743" s="12"/>
      <c r="C743" s="12"/>
      <c r="D743" s="12"/>
      <c r="E743" s="12"/>
      <c r="F743" s="17" t="str">
        <f aca="false">IF(B743="","",TRIM(B743&amp;" "&amp;C743&amp;" "&amp;D743))</f>
        <v/>
      </c>
      <c r="G743" s="12"/>
      <c r="H743" s="12"/>
      <c r="I743" s="12"/>
      <c r="J743" s="17" t="str">
        <f aca="false">IF(I743="","",IF(COUNTIF(Emplacements!$A$2:$A$1001,I743)=0,"⚠ emplacement inconnu",IF(AND(H743&lt;&gt;"",LEFT(I743,1)&lt;&gt;H743),"⚠ mauvaise zone","OK")))</f>
        <v/>
      </c>
      <c r="K743" s="12"/>
      <c r="L743" s="12"/>
    </row>
    <row r="744" customFormat="false" ht="15" hidden="false" customHeight="false" outlineLevel="0" collapsed="false">
      <c r="A744" s="12"/>
      <c r="B744" s="12"/>
      <c r="C744" s="12"/>
      <c r="D744" s="12"/>
      <c r="E744" s="12"/>
      <c r="F744" s="17" t="str">
        <f aca="false">IF(B744="","",TRIM(B744&amp;" "&amp;C744&amp;" "&amp;D744))</f>
        <v/>
      </c>
      <c r="G744" s="12"/>
      <c r="H744" s="12"/>
      <c r="I744" s="12"/>
      <c r="J744" s="17" t="str">
        <f aca="false">IF(I744="","",IF(COUNTIF(Emplacements!$A$2:$A$1001,I744)=0,"⚠ emplacement inconnu",IF(AND(H744&lt;&gt;"",LEFT(I744,1)&lt;&gt;H744),"⚠ mauvaise zone","OK")))</f>
        <v/>
      </c>
      <c r="K744" s="12"/>
      <c r="L744" s="12"/>
    </row>
    <row r="745" customFormat="false" ht="15" hidden="false" customHeight="false" outlineLevel="0" collapsed="false">
      <c r="A745" s="12"/>
      <c r="B745" s="12"/>
      <c r="C745" s="12"/>
      <c r="D745" s="12"/>
      <c r="E745" s="12"/>
      <c r="F745" s="17" t="str">
        <f aca="false">IF(B745="","",TRIM(B745&amp;" "&amp;C745&amp;" "&amp;D745))</f>
        <v/>
      </c>
      <c r="G745" s="12"/>
      <c r="H745" s="12"/>
      <c r="I745" s="12"/>
      <c r="J745" s="17" t="str">
        <f aca="false">IF(I745="","",IF(COUNTIF(Emplacements!$A$2:$A$1001,I745)=0,"⚠ emplacement inconnu",IF(AND(H745&lt;&gt;"",LEFT(I745,1)&lt;&gt;H745),"⚠ mauvaise zone","OK")))</f>
        <v/>
      </c>
      <c r="K745" s="12"/>
      <c r="L745" s="12"/>
    </row>
    <row r="746" customFormat="false" ht="15" hidden="false" customHeight="false" outlineLevel="0" collapsed="false">
      <c r="A746" s="12"/>
      <c r="B746" s="12"/>
      <c r="C746" s="12"/>
      <c r="D746" s="12"/>
      <c r="E746" s="12"/>
      <c r="F746" s="17" t="str">
        <f aca="false">IF(B746="","",TRIM(B746&amp;" "&amp;C746&amp;" "&amp;D746))</f>
        <v/>
      </c>
      <c r="G746" s="12"/>
      <c r="H746" s="12"/>
      <c r="I746" s="12"/>
      <c r="J746" s="17" t="str">
        <f aca="false">IF(I746="","",IF(COUNTIF(Emplacements!$A$2:$A$1001,I746)=0,"⚠ emplacement inconnu",IF(AND(H746&lt;&gt;"",LEFT(I746,1)&lt;&gt;H746),"⚠ mauvaise zone","OK")))</f>
        <v/>
      </c>
      <c r="K746" s="12"/>
      <c r="L746" s="12"/>
    </row>
    <row r="747" customFormat="false" ht="15" hidden="false" customHeight="false" outlineLevel="0" collapsed="false">
      <c r="A747" s="12"/>
      <c r="B747" s="12"/>
      <c r="C747" s="12"/>
      <c r="D747" s="12"/>
      <c r="E747" s="12"/>
      <c r="F747" s="17" t="str">
        <f aca="false">IF(B747="","",TRIM(B747&amp;" "&amp;C747&amp;" "&amp;D747))</f>
        <v/>
      </c>
      <c r="G747" s="12"/>
      <c r="H747" s="12"/>
      <c r="I747" s="12"/>
      <c r="J747" s="17" t="str">
        <f aca="false">IF(I747="","",IF(COUNTIF(Emplacements!$A$2:$A$1001,I747)=0,"⚠ emplacement inconnu",IF(AND(H747&lt;&gt;"",LEFT(I747,1)&lt;&gt;H747),"⚠ mauvaise zone","OK")))</f>
        <v/>
      </c>
      <c r="K747" s="12"/>
      <c r="L747" s="12"/>
    </row>
    <row r="748" customFormat="false" ht="15" hidden="false" customHeight="false" outlineLevel="0" collapsed="false">
      <c r="A748" s="12"/>
      <c r="B748" s="12"/>
      <c r="C748" s="12"/>
      <c r="D748" s="12"/>
      <c r="E748" s="12"/>
      <c r="F748" s="17" t="str">
        <f aca="false">IF(B748="","",TRIM(B748&amp;" "&amp;C748&amp;" "&amp;D748))</f>
        <v/>
      </c>
      <c r="G748" s="12"/>
      <c r="H748" s="12"/>
      <c r="I748" s="12"/>
      <c r="J748" s="17" t="str">
        <f aca="false">IF(I748="","",IF(COUNTIF(Emplacements!$A$2:$A$1001,I748)=0,"⚠ emplacement inconnu",IF(AND(H748&lt;&gt;"",LEFT(I748,1)&lt;&gt;H748),"⚠ mauvaise zone","OK")))</f>
        <v/>
      </c>
      <c r="K748" s="12"/>
      <c r="L748" s="12"/>
    </row>
    <row r="749" customFormat="false" ht="15" hidden="false" customHeight="false" outlineLevel="0" collapsed="false">
      <c r="A749" s="12"/>
      <c r="B749" s="12"/>
      <c r="C749" s="12"/>
      <c r="D749" s="12"/>
      <c r="E749" s="12"/>
      <c r="F749" s="17" t="str">
        <f aca="false">IF(B749="","",TRIM(B749&amp;" "&amp;C749&amp;" "&amp;D749))</f>
        <v/>
      </c>
      <c r="G749" s="12"/>
      <c r="H749" s="12"/>
      <c r="I749" s="12"/>
      <c r="J749" s="17" t="str">
        <f aca="false">IF(I749="","",IF(COUNTIF(Emplacements!$A$2:$A$1001,I749)=0,"⚠ emplacement inconnu",IF(AND(H749&lt;&gt;"",LEFT(I749,1)&lt;&gt;H749),"⚠ mauvaise zone","OK")))</f>
        <v/>
      </c>
      <c r="K749" s="12"/>
      <c r="L749" s="12"/>
    </row>
    <row r="750" customFormat="false" ht="15" hidden="false" customHeight="false" outlineLevel="0" collapsed="false">
      <c r="A750" s="12"/>
      <c r="B750" s="12"/>
      <c r="C750" s="12"/>
      <c r="D750" s="12"/>
      <c r="E750" s="12"/>
      <c r="F750" s="17" t="str">
        <f aca="false">IF(B750="","",TRIM(B750&amp;" "&amp;C750&amp;" "&amp;D750))</f>
        <v/>
      </c>
      <c r="G750" s="12"/>
      <c r="H750" s="12"/>
      <c r="I750" s="12"/>
      <c r="J750" s="17" t="str">
        <f aca="false">IF(I750="","",IF(COUNTIF(Emplacements!$A$2:$A$1001,I750)=0,"⚠ emplacement inconnu",IF(AND(H750&lt;&gt;"",LEFT(I750,1)&lt;&gt;H750),"⚠ mauvaise zone","OK")))</f>
        <v/>
      </c>
      <c r="K750" s="12"/>
      <c r="L750" s="12"/>
    </row>
    <row r="751" customFormat="false" ht="15" hidden="false" customHeight="false" outlineLevel="0" collapsed="false">
      <c r="A751" s="12"/>
      <c r="B751" s="12"/>
      <c r="C751" s="12"/>
      <c r="D751" s="12"/>
      <c r="E751" s="12"/>
      <c r="F751" s="17" t="str">
        <f aca="false">IF(B751="","",TRIM(B751&amp;" "&amp;C751&amp;" "&amp;D751))</f>
        <v/>
      </c>
      <c r="G751" s="12"/>
      <c r="H751" s="12"/>
      <c r="I751" s="12"/>
      <c r="J751" s="17" t="str">
        <f aca="false">IF(I751="","",IF(COUNTIF(Emplacements!$A$2:$A$1001,I751)=0,"⚠ emplacement inconnu",IF(AND(H751&lt;&gt;"",LEFT(I751,1)&lt;&gt;H751),"⚠ mauvaise zone","OK")))</f>
        <v/>
      </c>
      <c r="K751" s="12"/>
      <c r="L751" s="12"/>
    </row>
    <row r="752" customFormat="false" ht="15" hidden="false" customHeight="false" outlineLevel="0" collapsed="false">
      <c r="A752" s="12"/>
      <c r="B752" s="12"/>
      <c r="C752" s="12"/>
      <c r="D752" s="12"/>
      <c r="E752" s="12"/>
      <c r="F752" s="17" t="str">
        <f aca="false">IF(B752="","",TRIM(B752&amp;" "&amp;C752&amp;" "&amp;D752))</f>
        <v/>
      </c>
      <c r="G752" s="12"/>
      <c r="H752" s="12"/>
      <c r="I752" s="12"/>
      <c r="J752" s="17" t="str">
        <f aca="false">IF(I752="","",IF(COUNTIF(Emplacements!$A$2:$A$1001,I752)=0,"⚠ emplacement inconnu",IF(AND(H752&lt;&gt;"",LEFT(I752,1)&lt;&gt;H752),"⚠ mauvaise zone","OK")))</f>
        <v/>
      </c>
      <c r="K752" s="12"/>
      <c r="L752" s="12"/>
    </row>
    <row r="753" customFormat="false" ht="15" hidden="false" customHeight="false" outlineLevel="0" collapsed="false">
      <c r="A753" s="12"/>
      <c r="B753" s="12"/>
      <c r="C753" s="12"/>
      <c r="D753" s="12"/>
      <c r="E753" s="12"/>
      <c r="F753" s="17" t="str">
        <f aca="false">IF(B753="","",TRIM(B753&amp;" "&amp;C753&amp;" "&amp;D753))</f>
        <v/>
      </c>
      <c r="G753" s="12"/>
      <c r="H753" s="12"/>
      <c r="I753" s="12"/>
      <c r="J753" s="17" t="str">
        <f aca="false">IF(I753="","",IF(COUNTIF(Emplacements!$A$2:$A$1001,I753)=0,"⚠ emplacement inconnu",IF(AND(H753&lt;&gt;"",LEFT(I753,1)&lt;&gt;H753),"⚠ mauvaise zone","OK")))</f>
        <v/>
      </c>
      <c r="K753" s="12"/>
      <c r="L753" s="12"/>
    </row>
    <row r="754" customFormat="false" ht="15" hidden="false" customHeight="false" outlineLevel="0" collapsed="false">
      <c r="A754" s="12"/>
      <c r="B754" s="12"/>
      <c r="C754" s="12"/>
      <c r="D754" s="12"/>
      <c r="E754" s="12"/>
      <c r="F754" s="17" t="str">
        <f aca="false">IF(B754="","",TRIM(B754&amp;" "&amp;C754&amp;" "&amp;D754))</f>
        <v/>
      </c>
      <c r="G754" s="12"/>
      <c r="H754" s="12"/>
      <c r="I754" s="12"/>
      <c r="J754" s="17" t="str">
        <f aca="false">IF(I754="","",IF(COUNTIF(Emplacements!$A$2:$A$1001,I754)=0,"⚠ emplacement inconnu",IF(AND(H754&lt;&gt;"",LEFT(I754,1)&lt;&gt;H754),"⚠ mauvaise zone","OK")))</f>
        <v/>
      </c>
      <c r="K754" s="12"/>
      <c r="L754" s="12"/>
    </row>
    <row r="755" customFormat="false" ht="15" hidden="false" customHeight="false" outlineLevel="0" collapsed="false">
      <c r="A755" s="12"/>
      <c r="B755" s="12"/>
      <c r="C755" s="12"/>
      <c r="D755" s="12"/>
      <c r="E755" s="12"/>
      <c r="F755" s="17" t="str">
        <f aca="false">IF(B755="","",TRIM(B755&amp;" "&amp;C755&amp;" "&amp;D755))</f>
        <v/>
      </c>
      <c r="G755" s="12"/>
      <c r="H755" s="12"/>
      <c r="I755" s="12"/>
      <c r="J755" s="17" t="str">
        <f aca="false">IF(I755="","",IF(COUNTIF(Emplacements!$A$2:$A$1001,I755)=0,"⚠ emplacement inconnu",IF(AND(H755&lt;&gt;"",LEFT(I755,1)&lt;&gt;H755),"⚠ mauvaise zone","OK")))</f>
        <v/>
      </c>
      <c r="K755" s="12"/>
      <c r="L755" s="12"/>
    </row>
    <row r="756" customFormat="false" ht="15" hidden="false" customHeight="false" outlineLevel="0" collapsed="false">
      <c r="A756" s="12"/>
      <c r="B756" s="12"/>
      <c r="C756" s="12"/>
      <c r="D756" s="12"/>
      <c r="E756" s="12"/>
      <c r="F756" s="17" t="str">
        <f aca="false">IF(B756="","",TRIM(B756&amp;" "&amp;C756&amp;" "&amp;D756))</f>
        <v/>
      </c>
      <c r="G756" s="12"/>
      <c r="H756" s="12"/>
      <c r="I756" s="12"/>
      <c r="J756" s="17" t="str">
        <f aca="false">IF(I756="","",IF(COUNTIF(Emplacements!$A$2:$A$1001,I756)=0,"⚠ emplacement inconnu",IF(AND(H756&lt;&gt;"",LEFT(I756,1)&lt;&gt;H756),"⚠ mauvaise zone","OK")))</f>
        <v/>
      </c>
      <c r="K756" s="12"/>
      <c r="L756" s="12"/>
    </row>
    <row r="757" customFormat="false" ht="15" hidden="false" customHeight="false" outlineLevel="0" collapsed="false">
      <c r="A757" s="12"/>
      <c r="B757" s="12"/>
      <c r="C757" s="12"/>
      <c r="D757" s="12"/>
      <c r="E757" s="12"/>
      <c r="F757" s="17" t="str">
        <f aca="false">IF(B757="","",TRIM(B757&amp;" "&amp;C757&amp;" "&amp;D757))</f>
        <v/>
      </c>
      <c r="G757" s="12"/>
      <c r="H757" s="12"/>
      <c r="I757" s="12"/>
      <c r="J757" s="17" t="str">
        <f aca="false">IF(I757="","",IF(COUNTIF(Emplacements!$A$2:$A$1001,I757)=0,"⚠ emplacement inconnu",IF(AND(H757&lt;&gt;"",LEFT(I757,1)&lt;&gt;H757),"⚠ mauvaise zone","OK")))</f>
        <v/>
      </c>
      <c r="K757" s="12"/>
      <c r="L757" s="12"/>
    </row>
    <row r="758" customFormat="false" ht="15" hidden="false" customHeight="false" outlineLevel="0" collapsed="false">
      <c r="A758" s="12"/>
      <c r="B758" s="12"/>
      <c r="C758" s="12"/>
      <c r="D758" s="12"/>
      <c r="E758" s="12"/>
      <c r="F758" s="17" t="str">
        <f aca="false">IF(B758="","",TRIM(B758&amp;" "&amp;C758&amp;" "&amp;D758))</f>
        <v/>
      </c>
      <c r="G758" s="12"/>
      <c r="H758" s="12"/>
      <c r="I758" s="12"/>
      <c r="J758" s="17" t="str">
        <f aca="false">IF(I758="","",IF(COUNTIF(Emplacements!$A$2:$A$1001,I758)=0,"⚠ emplacement inconnu",IF(AND(H758&lt;&gt;"",LEFT(I758,1)&lt;&gt;H758),"⚠ mauvaise zone","OK")))</f>
        <v/>
      </c>
      <c r="K758" s="12"/>
      <c r="L758" s="12"/>
    </row>
    <row r="759" customFormat="false" ht="15" hidden="false" customHeight="false" outlineLevel="0" collapsed="false">
      <c r="A759" s="12"/>
      <c r="B759" s="12"/>
      <c r="C759" s="12"/>
      <c r="D759" s="12"/>
      <c r="E759" s="12"/>
      <c r="F759" s="17" t="str">
        <f aca="false">IF(B759="","",TRIM(B759&amp;" "&amp;C759&amp;" "&amp;D759))</f>
        <v/>
      </c>
      <c r="G759" s="12"/>
      <c r="H759" s="12"/>
      <c r="I759" s="12"/>
      <c r="J759" s="17" t="str">
        <f aca="false">IF(I759="","",IF(COUNTIF(Emplacements!$A$2:$A$1001,I759)=0,"⚠ emplacement inconnu",IF(AND(H759&lt;&gt;"",LEFT(I759,1)&lt;&gt;H759),"⚠ mauvaise zone","OK")))</f>
        <v/>
      </c>
      <c r="K759" s="12"/>
      <c r="L759" s="12"/>
    </row>
    <row r="760" customFormat="false" ht="15" hidden="false" customHeight="false" outlineLevel="0" collapsed="false">
      <c r="A760" s="12"/>
      <c r="B760" s="12"/>
      <c r="C760" s="12"/>
      <c r="D760" s="12"/>
      <c r="E760" s="12"/>
      <c r="F760" s="17" t="str">
        <f aca="false">IF(B760="","",TRIM(B760&amp;" "&amp;C760&amp;" "&amp;D760))</f>
        <v/>
      </c>
      <c r="G760" s="12"/>
      <c r="H760" s="12"/>
      <c r="I760" s="12"/>
      <c r="J760" s="17" t="str">
        <f aca="false">IF(I760="","",IF(COUNTIF(Emplacements!$A$2:$A$1001,I760)=0,"⚠ emplacement inconnu",IF(AND(H760&lt;&gt;"",LEFT(I760,1)&lt;&gt;H760),"⚠ mauvaise zone","OK")))</f>
        <v/>
      </c>
      <c r="K760" s="12"/>
      <c r="L760" s="12"/>
    </row>
    <row r="761" customFormat="false" ht="15" hidden="false" customHeight="false" outlineLevel="0" collapsed="false">
      <c r="A761" s="12"/>
      <c r="B761" s="12"/>
      <c r="C761" s="12"/>
      <c r="D761" s="12"/>
      <c r="E761" s="12"/>
      <c r="F761" s="17" t="str">
        <f aca="false">IF(B761="","",TRIM(B761&amp;" "&amp;C761&amp;" "&amp;D761))</f>
        <v/>
      </c>
      <c r="G761" s="12"/>
      <c r="H761" s="12"/>
      <c r="I761" s="12"/>
      <c r="J761" s="17" t="str">
        <f aca="false">IF(I761="","",IF(COUNTIF(Emplacements!$A$2:$A$1001,I761)=0,"⚠ emplacement inconnu",IF(AND(H761&lt;&gt;"",LEFT(I761,1)&lt;&gt;H761),"⚠ mauvaise zone","OK")))</f>
        <v/>
      </c>
      <c r="K761" s="12"/>
      <c r="L761" s="12"/>
    </row>
    <row r="762" customFormat="false" ht="15" hidden="false" customHeight="false" outlineLevel="0" collapsed="false">
      <c r="A762" s="12"/>
      <c r="B762" s="12"/>
      <c r="C762" s="12"/>
      <c r="D762" s="12"/>
      <c r="E762" s="12"/>
      <c r="F762" s="17" t="str">
        <f aca="false">IF(B762="","",TRIM(B762&amp;" "&amp;C762&amp;" "&amp;D762))</f>
        <v/>
      </c>
      <c r="G762" s="12"/>
      <c r="H762" s="12"/>
      <c r="I762" s="12"/>
      <c r="J762" s="17" t="str">
        <f aca="false">IF(I762="","",IF(COUNTIF(Emplacements!$A$2:$A$1001,I762)=0,"⚠ emplacement inconnu",IF(AND(H762&lt;&gt;"",LEFT(I762,1)&lt;&gt;H762),"⚠ mauvaise zone","OK")))</f>
        <v/>
      </c>
      <c r="K762" s="12"/>
      <c r="L762" s="12"/>
    </row>
    <row r="763" customFormat="false" ht="15" hidden="false" customHeight="false" outlineLevel="0" collapsed="false">
      <c r="A763" s="12"/>
      <c r="B763" s="12"/>
      <c r="C763" s="12"/>
      <c r="D763" s="12"/>
      <c r="E763" s="12"/>
      <c r="F763" s="17" t="str">
        <f aca="false">IF(B763="","",TRIM(B763&amp;" "&amp;C763&amp;" "&amp;D763))</f>
        <v/>
      </c>
      <c r="G763" s="12"/>
      <c r="H763" s="12"/>
      <c r="I763" s="12"/>
      <c r="J763" s="17" t="str">
        <f aca="false">IF(I763="","",IF(COUNTIF(Emplacements!$A$2:$A$1001,I763)=0,"⚠ emplacement inconnu",IF(AND(H763&lt;&gt;"",LEFT(I763,1)&lt;&gt;H763),"⚠ mauvaise zone","OK")))</f>
        <v/>
      </c>
      <c r="K763" s="12"/>
      <c r="L763" s="12"/>
    </row>
    <row r="764" customFormat="false" ht="15" hidden="false" customHeight="false" outlineLevel="0" collapsed="false">
      <c r="A764" s="12"/>
      <c r="B764" s="12"/>
      <c r="C764" s="12"/>
      <c r="D764" s="12"/>
      <c r="E764" s="12"/>
      <c r="F764" s="17" t="str">
        <f aca="false">IF(B764="","",TRIM(B764&amp;" "&amp;C764&amp;" "&amp;D764))</f>
        <v/>
      </c>
      <c r="G764" s="12"/>
      <c r="H764" s="12"/>
      <c r="I764" s="12"/>
      <c r="J764" s="17" t="str">
        <f aca="false">IF(I764="","",IF(COUNTIF(Emplacements!$A$2:$A$1001,I764)=0,"⚠ emplacement inconnu",IF(AND(H764&lt;&gt;"",LEFT(I764,1)&lt;&gt;H764),"⚠ mauvaise zone","OK")))</f>
        <v/>
      </c>
      <c r="K764" s="12"/>
      <c r="L764" s="12"/>
    </row>
    <row r="765" customFormat="false" ht="15" hidden="false" customHeight="false" outlineLevel="0" collapsed="false">
      <c r="A765" s="12"/>
      <c r="B765" s="12"/>
      <c r="C765" s="12"/>
      <c r="D765" s="12"/>
      <c r="E765" s="12"/>
      <c r="F765" s="17" t="str">
        <f aca="false">IF(B765="","",TRIM(B765&amp;" "&amp;C765&amp;" "&amp;D765))</f>
        <v/>
      </c>
      <c r="G765" s="12"/>
      <c r="H765" s="12"/>
      <c r="I765" s="12"/>
      <c r="J765" s="17" t="str">
        <f aca="false">IF(I765="","",IF(COUNTIF(Emplacements!$A$2:$A$1001,I765)=0,"⚠ emplacement inconnu",IF(AND(H765&lt;&gt;"",LEFT(I765,1)&lt;&gt;H765),"⚠ mauvaise zone","OK")))</f>
        <v/>
      </c>
      <c r="K765" s="12"/>
      <c r="L765" s="12"/>
    </row>
    <row r="766" customFormat="false" ht="15" hidden="false" customHeight="false" outlineLevel="0" collapsed="false">
      <c r="A766" s="12"/>
      <c r="B766" s="12"/>
      <c r="C766" s="12"/>
      <c r="D766" s="12"/>
      <c r="E766" s="12"/>
      <c r="F766" s="17" t="str">
        <f aca="false">IF(B766="","",TRIM(B766&amp;" "&amp;C766&amp;" "&amp;D766))</f>
        <v/>
      </c>
      <c r="G766" s="12"/>
      <c r="H766" s="12"/>
      <c r="I766" s="12"/>
      <c r="J766" s="17" t="str">
        <f aca="false">IF(I766="","",IF(COUNTIF(Emplacements!$A$2:$A$1001,I766)=0,"⚠ emplacement inconnu",IF(AND(H766&lt;&gt;"",LEFT(I766,1)&lt;&gt;H766),"⚠ mauvaise zone","OK")))</f>
        <v/>
      </c>
      <c r="K766" s="12"/>
      <c r="L766" s="12"/>
    </row>
    <row r="767" customFormat="false" ht="15" hidden="false" customHeight="false" outlineLevel="0" collapsed="false">
      <c r="A767" s="12"/>
      <c r="B767" s="12"/>
      <c r="C767" s="12"/>
      <c r="D767" s="12"/>
      <c r="E767" s="12"/>
      <c r="F767" s="17" t="str">
        <f aca="false">IF(B767="","",TRIM(B767&amp;" "&amp;C767&amp;" "&amp;D767))</f>
        <v/>
      </c>
      <c r="G767" s="12"/>
      <c r="H767" s="12"/>
      <c r="I767" s="12"/>
      <c r="J767" s="17" t="str">
        <f aca="false">IF(I767="","",IF(COUNTIF(Emplacements!$A$2:$A$1001,I767)=0,"⚠ emplacement inconnu",IF(AND(H767&lt;&gt;"",LEFT(I767,1)&lt;&gt;H767),"⚠ mauvaise zone","OK")))</f>
        <v/>
      </c>
      <c r="K767" s="12"/>
      <c r="L767" s="12"/>
    </row>
    <row r="768" customFormat="false" ht="15" hidden="false" customHeight="false" outlineLevel="0" collapsed="false">
      <c r="A768" s="12"/>
      <c r="B768" s="12"/>
      <c r="C768" s="12"/>
      <c r="D768" s="12"/>
      <c r="E768" s="12"/>
      <c r="F768" s="17" t="str">
        <f aca="false">IF(B768="","",TRIM(B768&amp;" "&amp;C768&amp;" "&amp;D768))</f>
        <v/>
      </c>
      <c r="G768" s="12"/>
      <c r="H768" s="12"/>
      <c r="I768" s="12"/>
      <c r="J768" s="17" t="str">
        <f aca="false">IF(I768="","",IF(COUNTIF(Emplacements!$A$2:$A$1001,I768)=0,"⚠ emplacement inconnu",IF(AND(H768&lt;&gt;"",LEFT(I768,1)&lt;&gt;H768),"⚠ mauvaise zone","OK")))</f>
        <v/>
      </c>
      <c r="K768" s="12"/>
      <c r="L768" s="12"/>
    </row>
    <row r="769" customFormat="false" ht="15" hidden="false" customHeight="false" outlineLevel="0" collapsed="false">
      <c r="A769" s="12"/>
      <c r="B769" s="12"/>
      <c r="C769" s="12"/>
      <c r="D769" s="12"/>
      <c r="E769" s="12"/>
      <c r="F769" s="17" t="str">
        <f aca="false">IF(B769="","",TRIM(B769&amp;" "&amp;C769&amp;" "&amp;D769))</f>
        <v/>
      </c>
      <c r="G769" s="12"/>
      <c r="H769" s="12"/>
      <c r="I769" s="12"/>
      <c r="J769" s="17" t="str">
        <f aca="false">IF(I769="","",IF(COUNTIF(Emplacements!$A$2:$A$1001,I769)=0,"⚠ emplacement inconnu",IF(AND(H769&lt;&gt;"",LEFT(I769,1)&lt;&gt;H769),"⚠ mauvaise zone","OK")))</f>
        <v/>
      </c>
      <c r="K769" s="12"/>
      <c r="L769" s="12"/>
    </row>
    <row r="770" customFormat="false" ht="15" hidden="false" customHeight="false" outlineLevel="0" collapsed="false">
      <c r="A770" s="12"/>
      <c r="B770" s="12"/>
      <c r="C770" s="12"/>
      <c r="D770" s="12"/>
      <c r="E770" s="12"/>
      <c r="F770" s="17" t="str">
        <f aca="false">IF(B770="","",TRIM(B770&amp;" "&amp;C770&amp;" "&amp;D770))</f>
        <v/>
      </c>
      <c r="G770" s="12"/>
      <c r="H770" s="12"/>
      <c r="I770" s="12"/>
      <c r="J770" s="17" t="str">
        <f aca="false">IF(I770="","",IF(COUNTIF(Emplacements!$A$2:$A$1001,I770)=0,"⚠ emplacement inconnu",IF(AND(H770&lt;&gt;"",LEFT(I770,1)&lt;&gt;H770),"⚠ mauvaise zone","OK")))</f>
        <v/>
      </c>
      <c r="K770" s="12"/>
      <c r="L770" s="12"/>
    </row>
    <row r="771" customFormat="false" ht="15" hidden="false" customHeight="false" outlineLevel="0" collapsed="false">
      <c r="A771" s="12"/>
      <c r="B771" s="12"/>
      <c r="C771" s="12"/>
      <c r="D771" s="12"/>
      <c r="E771" s="12"/>
      <c r="F771" s="17" t="str">
        <f aca="false">IF(B771="","",TRIM(B771&amp;" "&amp;C771&amp;" "&amp;D771))</f>
        <v/>
      </c>
      <c r="G771" s="12"/>
      <c r="H771" s="12"/>
      <c r="I771" s="12"/>
      <c r="J771" s="17" t="str">
        <f aca="false">IF(I771="","",IF(COUNTIF(Emplacements!$A$2:$A$1001,I771)=0,"⚠ emplacement inconnu",IF(AND(H771&lt;&gt;"",LEFT(I771,1)&lt;&gt;H771),"⚠ mauvaise zone","OK")))</f>
        <v/>
      </c>
      <c r="K771" s="12"/>
      <c r="L771" s="12"/>
    </row>
    <row r="772" customFormat="false" ht="15" hidden="false" customHeight="false" outlineLevel="0" collapsed="false">
      <c r="A772" s="12"/>
      <c r="B772" s="12"/>
      <c r="C772" s="12"/>
      <c r="D772" s="12"/>
      <c r="E772" s="12"/>
      <c r="F772" s="17" t="str">
        <f aca="false">IF(B772="","",TRIM(B772&amp;" "&amp;C772&amp;" "&amp;D772))</f>
        <v/>
      </c>
      <c r="G772" s="12"/>
      <c r="H772" s="12"/>
      <c r="I772" s="12"/>
      <c r="J772" s="17" t="str">
        <f aca="false">IF(I772="","",IF(COUNTIF(Emplacements!$A$2:$A$1001,I772)=0,"⚠ emplacement inconnu",IF(AND(H772&lt;&gt;"",LEFT(I772,1)&lt;&gt;H772),"⚠ mauvaise zone","OK")))</f>
        <v/>
      </c>
      <c r="K772" s="12"/>
      <c r="L772" s="12"/>
    </row>
    <row r="773" customFormat="false" ht="15" hidden="false" customHeight="false" outlineLevel="0" collapsed="false">
      <c r="A773" s="12"/>
      <c r="B773" s="12"/>
      <c r="C773" s="12"/>
      <c r="D773" s="12"/>
      <c r="E773" s="12"/>
      <c r="F773" s="17" t="str">
        <f aca="false">IF(B773="","",TRIM(B773&amp;" "&amp;C773&amp;" "&amp;D773))</f>
        <v/>
      </c>
      <c r="G773" s="12"/>
      <c r="H773" s="12"/>
      <c r="I773" s="12"/>
      <c r="J773" s="17" t="str">
        <f aca="false">IF(I773="","",IF(COUNTIF(Emplacements!$A$2:$A$1001,I773)=0,"⚠ emplacement inconnu",IF(AND(H773&lt;&gt;"",LEFT(I773,1)&lt;&gt;H773),"⚠ mauvaise zone","OK")))</f>
        <v/>
      </c>
      <c r="K773" s="12"/>
      <c r="L773" s="12"/>
    </row>
    <row r="774" customFormat="false" ht="15" hidden="false" customHeight="false" outlineLevel="0" collapsed="false">
      <c r="A774" s="12"/>
      <c r="B774" s="12"/>
      <c r="C774" s="12"/>
      <c r="D774" s="12"/>
      <c r="E774" s="12"/>
      <c r="F774" s="17" t="str">
        <f aca="false">IF(B774="","",TRIM(B774&amp;" "&amp;C774&amp;" "&amp;D774))</f>
        <v/>
      </c>
      <c r="G774" s="12"/>
      <c r="H774" s="12"/>
      <c r="I774" s="12"/>
      <c r="J774" s="17" t="str">
        <f aca="false">IF(I774="","",IF(COUNTIF(Emplacements!$A$2:$A$1001,I774)=0,"⚠ emplacement inconnu",IF(AND(H774&lt;&gt;"",LEFT(I774,1)&lt;&gt;H774),"⚠ mauvaise zone","OK")))</f>
        <v/>
      </c>
      <c r="K774" s="12"/>
      <c r="L774" s="12"/>
    </row>
    <row r="775" customFormat="false" ht="15" hidden="false" customHeight="false" outlineLevel="0" collapsed="false">
      <c r="A775" s="12"/>
      <c r="B775" s="12"/>
      <c r="C775" s="12"/>
      <c r="D775" s="12"/>
      <c r="E775" s="12"/>
      <c r="F775" s="17" t="str">
        <f aca="false">IF(B775="","",TRIM(B775&amp;" "&amp;C775&amp;" "&amp;D775))</f>
        <v/>
      </c>
      <c r="G775" s="12"/>
      <c r="H775" s="12"/>
      <c r="I775" s="12"/>
      <c r="J775" s="17" t="str">
        <f aca="false">IF(I775="","",IF(COUNTIF(Emplacements!$A$2:$A$1001,I775)=0,"⚠ emplacement inconnu",IF(AND(H775&lt;&gt;"",LEFT(I775,1)&lt;&gt;H775),"⚠ mauvaise zone","OK")))</f>
        <v/>
      </c>
      <c r="K775" s="12"/>
      <c r="L775" s="12"/>
    </row>
    <row r="776" customFormat="false" ht="15" hidden="false" customHeight="false" outlineLevel="0" collapsed="false">
      <c r="A776" s="12"/>
      <c r="B776" s="12"/>
      <c r="C776" s="12"/>
      <c r="D776" s="12"/>
      <c r="E776" s="12"/>
      <c r="F776" s="17" t="str">
        <f aca="false">IF(B776="","",TRIM(B776&amp;" "&amp;C776&amp;" "&amp;D776))</f>
        <v/>
      </c>
      <c r="G776" s="12"/>
      <c r="H776" s="12"/>
      <c r="I776" s="12"/>
      <c r="J776" s="17" t="str">
        <f aca="false">IF(I776="","",IF(COUNTIF(Emplacements!$A$2:$A$1001,I776)=0,"⚠ emplacement inconnu",IF(AND(H776&lt;&gt;"",LEFT(I776,1)&lt;&gt;H776),"⚠ mauvaise zone","OK")))</f>
        <v/>
      </c>
      <c r="K776" s="12"/>
      <c r="L776" s="12"/>
    </row>
    <row r="777" customFormat="false" ht="15" hidden="false" customHeight="false" outlineLevel="0" collapsed="false">
      <c r="A777" s="12"/>
      <c r="B777" s="12"/>
      <c r="C777" s="12"/>
      <c r="D777" s="12"/>
      <c r="E777" s="12"/>
      <c r="F777" s="17" t="str">
        <f aca="false">IF(B777="","",TRIM(B777&amp;" "&amp;C777&amp;" "&amp;D777))</f>
        <v/>
      </c>
      <c r="G777" s="12"/>
      <c r="H777" s="12"/>
      <c r="I777" s="12"/>
      <c r="J777" s="17" t="str">
        <f aca="false">IF(I777="","",IF(COUNTIF(Emplacements!$A$2:$A$1001,I777)=0,"⚠ emplacement inconnu",IF(AND(H777&lt;&gt;"",LEFT(I777,1)&lt;&gt;H777),"⚠ mauvaise zone","OK")))</f>
        <v/>
      </c>
      <c r="K777" s="12"/>
      <c r="L777" s="12"/>
    </row>
    <row r="778" customFormat="false" ht="15" hidden="false" customHeight="false" outlineLevel="0" collapsed="false">
      <c r="A778" s="12"/>
      <c r="B778" s="12"/>
      <c r="C778" s="12"/>
      <c r="D778" s="12"/>
      <c r="E778" s="12"/>
      <c r="F778" s="17" t="str">
        <f aca="false">IF(B778="","",TRIM(B778&amp;" "&amp;C778&amp;" "&amp;D778))</f>
        <v/>
      </c>
      <c r="G778" s="12"/>
      <c r="H778" s="12"/>
      <c r="I778" s="12"/>
      <c r="J778" s="17" t="str">
        <f aca="false">IF(I778="","",IF(COUNTIF(Emplacements!$A$2:$A$1001,I778)=0,"⚠ emplacement inconnu",IF(AND(H778&lt;&gt;"",LEFT(I778,1)&lt;&gt;H778),"⚠ mauvaise zone","OK")))</f>
        <v/>
      </c>
      <c r="K778" s="12"/>
      <c r="L778" s="12"/>
    </row>
    <row r="779" customFormat="false" ht="15" hidden="false" customHeight="false" outlineLevel="0" collapsed="false">
      <c r="A779" s="12"/>
      <c r="B779" s="12"/>
      <c r="C779" s="12"/>
      <c r="D779" s="12"/>
      <c r="E779" s="12"/>
      <c r="F779" s="17" t="str">
        <f aca="false">IF(B779="","",TRIM(B779&amp;" "&amp;C779&amp;" "&amp;D779))</f>
        <v/>
      </c>
      <c r="G779" s="12"/>
      <c r="H779" s="12"/>
      <c r="I779" s="12"/>
      <c r="J779" s="17" t="str">
        <f aca="false">IF(I779="","",IF(COUNTIF(Emplacements!$A$2:$A$1001,I779)=0,"⚠ emplacement inconnu",IF(AND(H779&lt;&gt;"",LEFT(I779,1)&lt;&gt;H779),"⚠ mauvaise zone","OK")))</f>
        <v/>
      </c>
      <c r="K779" s="12"/>
      <c r="L779" s="12"/>
    </row>
    <row r="780" customFormat="false" ht="15" hidden="false" customHeight="false" outlineLevel="0" collapsed="false">
      <c r="A780" s="12"/>
      <c r="B780" s="12"/>
      <c r="C780" s="12"/>
      <c r="D780" s="12"/>
      <c r="E780" s="12"/>
      <c r="F780" s="17" t="str">
        <f aca="false">IF(B780="","",TRIM(B780&amp;" "&amp;C780&amp;" "&amp;D780))</f>
        <v/>
      </c>
      <c r="G780" s="12"/>
      <c r="H780" s="12"/>
      <c r="I780" s="12"/>
      <c r="J780" s="17" t="str">
        <f aca="false">IF(I780="","",IF(COUNTIF(Emplacements!$A$2:$A$1001,I780)=0,"⚠ emplacement inconnu",IF(AND(H780&lt;&gt;"",LEFT(I780,1)&lt;&gt;H780),"⚠ mauvaise zone","OK")))</f>
        <v/>
      </c>
      <c r="K780" s="12"/>
      <c r="L780" s="12"/>
    </row>
    <row r="781" customFormat="false" ht="15" hidden="false" customHeight="false" outlineLevel="0" collapsed="false">
      <c r="A781" s="12"/>
      <c r="B781" s="12"/>
      <c r="C781" s="12"/>
      <c r="D781" s="12"/>
      <c r="E781" s="12"/>
      <c r="F781" s="17" t="str">
        <f aca="false">IF(B781="","",TRIM(B781&amp;" "&amp;C781&amp;" "&amp;D781))</f>
        <v/>
      </c>
      <c r="G781" s="12"/>
      <c r="H781" s="12"/>
      <c r="I781" s="12"/>
      <c r="J781" s="17" t="str">
        <f aca="false">IF(I781="","",IF(COUNTIF(Emplacements!$A$2:$A$1001,I781)=0,"⚠ emplacement inconnu",IF(AND(H781&lt;&gt;"",LEFT(I781,1)&lt;&gt;H781),"⚠ mauvaise zone","OK")))</f>
        <v/>
      </c>
      <c r="K781" s="12"/>
      <c r="L781" s="12"/>
    </row>
    <row r="782" customFormat="false" ht="15" hidden="false" customHeight="false" outlineLevel="0" collapsed="false">
      <c r="A782" s="12"/>
      <c r="B782" s="12"/>
      <c r="C782" s="12"/>
      <c r="D782" s="12"/>
      <c r="E782" s="12"/>
      <c r="F782" s="17" t="str">
        <f aca="false">IF(B782="","",TRIM(B782&amp;" "&amp;C782&amp;" "&amp;D782))</f>
        <v/>
      </c>
      <c r="G782" s="12"/>
      <c r="H782" s="12"/>
      <c r="I782" s="12"/>
      <c r="J782" s="17" t="str">
        <f aca="false">IF(I782="","",IF(COUNTIF(Emplacements!$A$2:$A$1001,I782)=0,"⚠ emplacement inconnu",IF(AND(H782&lt;&gt;"",LEFT(I782,1)&lt;&gt;H782),"⚠ mauvaise zone","OK")))</f>
        <v/>
      </c>
      <c r="K782" s="12"/>
      <c r="L782" s="12"/>
    </row>
    <row r="783" customFormat="false" ht="15" hidden="false" customHeight="false" outlineLevel="0" collapsed="false">
      <c r="A783" s="12"/>
      <c r="B783" s="12"/>
      <c r="C783" s="12"/>
      <c r="D783" s="12"/>
      <c r="E783" s="12"/>
      <c r="F783" s="17" t="str">
        <f aca="false">IF(B783="","",TRIM(B783&amp;" "&amp;C783&amp;" "&amp;D783))</f>
        <v/>
      </c>
      <c r="G783" s="12"/>
      <c r="H783" s="12"/>
      <c r="I783" s="12"/>
      <c r="J783" s="17" t="str">
        <f aca="false">IF(I783="","",IF(COUNTIF(Emplacements!$A$2:$A$1001,I783)=0,"⚠ emplacement inconnu",IF(AND(H783&lt;&gt;"",LEFT(I783,1)&lt;&gt;H783),"⚠ mauvaise zone","OK")))</f>
        <v/>
      </c>
      <c r="K783" s="12"/>
      <c r="L783" s="12"/>
    </row>
    <row r="784" customFormat="false" ht="15" hidden="false" customHeight="false" outlineLevel="0" collapsed="false">
      <c r="A784" s="12"/>
      <c r="B784" s="12"/>
      <c r="C784" s="12"/>
      <c r="D784" s="12"/>
      <c r="E784" s="12"/>
      <c r="F784" s="17" t="str">
        <f aca="false">IF(B784="","",TRIM(B784&amp;" "&amp;C784&amp;" "&amp;D784))</f>
        <v/>
      </c>
      <c r="G784" s="12"/>
      <c r="H784" s="12"/>
      <c r="I784" s="12"/>
      <c r="J784" s="17" t="str">
        <f aca="false">IF(I784="","",IF(COUNTIF(Emplacements!$A$2:$A$1001,I784)=0,"⚠ emplacement inconnu",IF(AND(H784&lt;&gt;"",LEFT(I784,1)&lt;&gt;H784),"⚠ mauvaise zone","OK")))</f>
        <v/>
      </c>
      <c r="K784" s="12"/>
      <c r="L784" s="12"/>
    </row>
    <row r="785" customFormat="false" ht="15" hidden="false" customHeight="false" outlineLevel="0" collapsed="false">
      <c r="A785" s="12"/>
      <c r="B785" s="12"/>
      <c r="C785" s="12"/>
      <c r="D785" s="12"/>
      <c r="E785" s="12"/>
      <c r="F785" s="17" t="str">
        <f aca="false">IF(B785="","",TRIM(B785&amp;" "&amp;C785&amp;" "&amp;D785))</f>
        <v/>
      </c>
      <c r="G785" s="12"/>
      <c r="H785" s="12"/>
      <c r="I785" s="12"/>
      <c r="J785" s="17" t="str">
        <f aca="false">IF(I785="","",IF(COUNTIF(Emplacements!$A$2:$A$1001,I785)=0,"⚠ emplacement inconnu",IF(AND(H785&lt;&gt;"",LEFT(I785,1)&lt;&gt;H785),"⚠ mauvaise zone","OK")))</f>
        <v/>
      </c>
      <c r="K785" s="12"/>
      <c r="L785" s="12"/>
    </row>
    <row r="786" customFormat="false" ht="15" hidden="false" customHeight="false" outlineLevel="0" collapsed="false">
      <c r="A786" s="12"/>
      <c r="B786" s="12"/>
      <c r="C786" s="12"/>
      <c r="D786" s="12"/>
      <c r="E786" s="12"/>
      <c r="F786" s="17" t="str">
        <f aca="false">IF(B786="","",TRIM(B786&amp;" "&amp;C786&amp;" "&amp;D786))</f>
        <v/>
      </c>
      <c r="G786" s="12"/>
      <c r="H786" s="12"/>
      <c r="I786" s="12"/>
      <c r="J786" s="17" t="str">
        <f aca="false">IF(I786="","",IF(COUNTIF(Emplacements!$A$2:$A$1001,I786)=0,"⚠ emplacement inconnu",IF(AND(H786&lt;&gt;"",LEFT(I786,1)&lt;&gt;H786),"⚠ mauvaise zone","OK")))</f>
        <v/>
      </c>
      <c r="K786" s="12"/>
      <c r="L786" s="12"/>
    </row>
    <row r="787" customFormat="false" ht="15" hidden="false" customHeight="false" outlineLevel="0" collapsed="false">
      <c r="A787" s="12"/>
      <c r="B787" s="12"/>
      <c r="C787" s="12"/>
      <c r="D787" s="12"/>
      <c r="E787" s="12"/>
      <c r="F787" s="17" t="str">
        <f aca="false">IF(B787="","",TRIM(B787&amp;" "&amp;C787&amp;" "&amp;D787))</f>
        <v/>
      </c>
      <c r="G787" s="12"/>
      <c r="H787" s="12"/>
      <c r="I787" s="12"/>
      <c r="J787" s="17" t="str">
        <f aca="false">IF(I787="","",IF(COUNTIF(Emplacements!$A$2:$A$1001,I787)=0,"⚠ emplacement inconnu",IF(AND(H787&lt;&gt;"",LEFT(I787,1)&lt;&gt;H787),"⚠ mauvaise zone","OK")))</f>
        <v/>
      </c>
      <c r="K787" s="12"/>
      <c r="L787" s="12"/>
    </row>
    <row r="788" customFormat="false" ht="15" hidden="false" customHeight="false" outlineLevel="0" collapsed="false">
      <c r="A788" s="12"/>
      <c r="B788" s="12"/>
      <c r="C788" s="12"/>
      <c r="D788" s="12"/>
      <c r="E788" s="12"/>
      <c r="F788" s="17" t="str">
        <f aca="false">IF(B788="","",TRIM(B788&amp;" "&amp;C788&amp;" "&amp;D788))</f>
        <v/>
      </c>
      <c r="G788" s="12"/>
      <c r="H788" s="12"/>
      <c r="I788" s="12"/>
      <c r="J788" s="17" t="str">
        <f aca="false">IF(I788="","",IF(COUNTIF(Emplacements!$A$2:$A$1001,I788)=0,"⚠ emplacement inconnu",IF(AND(H788&lt;&gt;"",LEFT(I788,1)&lt;&gt;H788),"⚠ mauvaise zone","OK")))</f>
        <v/>
      </c>
      <c r="K788" s="12"/>
      <c r="L788" s="12"/>
    </row>
    <row r="789" customFormat="false" ht="15" hidden="false" customHeight="false" outlineLevel="0" collapsed="false">
      <c r="A789" s="12"/>
      <c r="B789" s="12"/>
      <c r="C789" s="12"/>
      <c r="D789" s="12"/>
      <c r="E789" s="12"/>
      <c r="F789" s="17" t="str">
        <f aca="false">IF(B789="","",TRIM(B789&amp;" "&amp;C789&amp;" "&amp;D789))</f>
        <v/>
      </c>
      <c r="G789" s="12"/>
      <c r="H789" s="12"/>
      <c r="I789" s="12"/>
      <c r="J789" s="17" t="str">
        <f aca="false">IF(I789="","",IF(COUNTIF(Emplacements!$A$2:$A$1001,I789)=0,"⚠ emplacement inconnu",IF(AND(H789&lt;&gt;"",LEFT(I789,1)&lt;&gt;H789),"⚠ mauvaise zone","OK")))</f>
        <v/>
      </c>
      <c r="K789" s="12"/>
      <c r="L789" s="12"/>
    </row>
    <row r="790" customFormat="false" ht="15" hidden="false" customHeight="false" outlineLevel="0" collapsed="false">
      <c r="A790" s="12"/>
      <c r="B790" s="12"/>
      <c r="C790" s="12"/>
      <c r="D790" s="12"/>
      <c r="E790" s="12"/>
      <c r="F790" s="17" t="str">
        <f aca="false">IF(B790="","",TRIM(B790&amp;" "&amp;C790&amp;" "&amp;D790))</f>
        <v/>
      </c>
      <c r="G790" s="12"/>
      <c r="H790" s="12"/>
      <c r="I790" s="12"/>
      <c r="J790" s="17" t="str">
        <f aca="false">IF(I790="","",IF(COUNTIF(Emplacements!$A$2:$A$1001,I790)=0,"⚠ emplacement inconnu",IF(AND(H790&lt;&gt;"",LEFT(I790,1)&lt;&gt;H790),"⚠ mauvaise zone","OK")))</f>
        <v/>
      </c>
      <c r="K790" s="12"/>
      <c r="L790" s="12"/>
    </row>
    <row r="791" customFormat="false" ht="15" hidden="false" customHeight="false" outlineLevel="0" collapsed="false">
      <c r="A791" s="12"/>
      <c r="B791" s="12"/>
      <c r="C791" s="12"/>
      <c r="D791" s="12"/>
      <c r="E791" s="12"/>
      <c r="F791" s="17" t="str">
        <f aca="false">IF(B791="","",TRIM(B791&amp;" "&amp;C791&amp;" "&amp;D791))</f>
        <v/>
      </c>
      <c r="G791" s="12"/>
      <c r="H791" s="12"/>
      <c r="I791" s="12"/>
      <c r="J791" s="17" t="str">
        <f aca="false">IF(I791="","",IF(COUNTIF(Emplacements!$A$2:$A$1001,I791)=0,"⚠ emplacement inconnu",IF(AND(H791&lt;&gt;"",LEFT(I791,1)&lt;&gt;H791),"⚠ mauvaise zone","OK")))</f>
        <v/>
      </c>
      <c r="K791" s="12"/>
      <c r="L791" s="12"/>
    </row>
    <row r="792" customFormat="false" ht="15" hidden="false" customHeight="false" outlineLevel="0" collapsed="false">
      <c r="A792" s="12"/>
      <c r="B792" s="12"/>
      <c r="C792" s="12"/>
      <c r="D792" s="12"/>
      <c r="E792" s="12"/>
      <c r="F792" s="17" t="str">
        <f aca="false">IF(B792="","",TRIM(B792&amp;" "&amp;C792&amp;" "&amp;D792))</f>
        <v/>
      </c>
      <c r="G792" s="12"/>
      <c r="H792" s="12"/>
      <c r="I792" s="12"/>
      <c r="J792" s="17" t="str">
        <f aca="false">IF(I792="","",IF(COUNTIF(Emplacements!$A$2:$A$1001,I792)=0,"⚠ emplacement inconnu",IF(AND(H792&lt;&gt;"",LEFT(I792,1)&lt;&gt;H792),"⚠ mauvaise zone","OK")))</f>
        <v/>
      </c>
      <c r="K792" s="12"/>
      <c r="L792" s="12"/>
    </row>
    <row r="793" customFormat="false" ht="15" hidden="false" customHeight="false" outlineLevel="0" collapsed="false">
      <c r="A793" s="12"/>
      <c r="B793" s="12"/>
      <c r="C793" s="12"/>
      <c r="D793" s="12"/>
      <c r="E793" s="12"/>
      <c r="F793" s="17" t="str">
        <f aca="false">IF(B793="","",TRIM(B793&amp;" "&amp;C793&amp;" "&amp;D793))</f>
        <v/>
      </c>
      <c r="G793" s="12"/>
      <c r="H793" s="12"/>
      <c r="I793" s="12"/>
      <c r="J793" s="17" t="str">
        <f aca="false">IF(I793="","",IF(COUNTIF(Emplacements!$A$2:$A$1001,I793)=0,"⚠ emplacement inconnu",IF(AND(H793&lt;&gt;"",LEFT(I793,1)&lt;&gt;H793),"⚠ mauvaise zone","OK")))</f>
        <v/>
      </c>
      <c r="K793" s="12"/>
      <c r="L793" s="12"/>
    </row>
    <row r="794" customFormat="false" ht="15" hidden="false" customHeight="false" outlineLevel="0" collapsed="false">
      <c r="A794" s="12"/>
      <c r="B794" s="12"/>
      <c r="C794" s="12"/>
      <c r="D794" s="12"/>
      <c r="E794" s="12"/>
      <c r="F794" s="17" t="str">
        <f aca="false">IF(B794="","",TRIM(B794&amp;" "&amp;C794&amp;" "&amp;D794))</f>
        <v/>
      </c>
      <c r="G794" s="12"/>
      <c r="H794" s="12"/>
      <c r="I794" s="12"/>
      <c r="J794" s="17" t="str">
        <f aca="false">IF(I794="","",IF(COUNTIF(Emplacements!$A$2:$A$1001,I794)=0,"⚠ emplacement inconnu",IF(AND(H794&lt;&gt;"",LEFT(I794,1)&lt;&gt;H794),"⚠ mauvaise zone","OK")))</f>
        <v/>
      </c>
      <c r="K794" s="12"/>
      <c r="L794" s="12"/>
    </row>
    <row r="795" customFormat="false" ht="15" hidden="false" customHeight="false" outlineLevel="0" collapsed="false">
      <c r="A795" s="12"/>
      <c r="B795" s="12"/>
      <c r="C795" s="12"/>
      <c r="D795" s="12"/>
      <c r="E795" s="12"/>
      <c r="F795" s="17" t="str">
        <f aca="false">IF(B795="","",TRIM(B795&amp;" "&amp;C795&amp;" "&amp;D795))</f>
        <v/>
      </c>
      <c r="G795" s="12"/>
      <c r="H795" s="12"/>
      <c r="I795" s="12"/>
      <c r="J795" s="17" t="str">
        <f aca="false">IF(I795="","",IF(COUNTIF(Emplacements!$A$2:$A$1001,I795)=0,"⚠ emplacement inconnu",IF(AND(H795&lt;&gt;"",LEFT(I795,1)&lt;&gt;H795),"⚠ mauvaise zone","OK")))</f>
        <v/>
      </c>
      <c r="K795" s="12"/>
      <c r="L795" s="12"/>
    </row>
    <row r="796" customFormat="false" ht="15" hidden="false" customHeight="false" outlineLevel="0" collapsed="false">
      <c r="A796" s="12"/>
      <c r="B796" s="12"/>
      <c r="C796" s="12"/>
      <c r="D796" s="12"/>
      <c r="E796" s="12"/>
      <c r="F796" s="17" t="str">
        <f aca="false">IF(B796="","",TRIM(B796&amp;" "&amp;C796&amp;" "&amp;D796))</f>
        <v/>
      </c>
      <c r="G796" s="12"/>
      <c r="H796" s="12"/>
      <c r="I796" s="12"/>
      <c r="J796" s="17" t="str">
        <f aca="false">IF(I796="","",IF(COUNTIF(Emplacements!$A$2:$A$1001,I796)=0,"⚠ emplacement inconnu",IF(AND(H796&lt;&gt;"",LEFT(I796,1)&lt;&gt;H796),"⚠ mauvaise zone","OK")))</f>
        <v/>
      </c>
      <c r="K796" s="12"/>
      <c r="L796" s="12"/>
    </row>
    <row r="797" customFormat="false" ht="15" hidden="false" customHeight="false" outlineLevel="0" collapsed="false">
      <c r="A797" s="12"/>
      <c r="B797" s="12"/>
      <c r="C797" s="12"/>
      <c r="D797" s="12"/>
      <c r="E797" s="12"/>
      <c r="F797" s="17" t="str">
        <f aca="false">IF(B797="","",TRIM(B797&amp;" "&amp;C797&amp;" "&amp;D797))</f>
        <v/>
      </c>
      <c r="G797" s="12"/>
      <c r="H797" s="12"/>
      <c r="I797" s="12"/>
      <c r="J797" s="17" t="str">
        <f aca="false">IF(I797="","",IF(COUNTIF(Emplacements!$A$2:$A$1001,I797)=0,"⚠ emplacement inconnu",IF(AND(H797&lt;&gt;"",LEFT(I797,1)&lt;&gt;H797),"⚠ mauvaise zone","OK")))</f>
        <v/>
      </c>
      <c r="K797" s="12"/>
      <c r="L797" s="12"/>
    </row>
    <row r="798" customFormat="false" ht="15" hidden="false" customHeight="false" outlineLevel="0" collapsed="false">
      <c r="A798" s="12"/>
      <c r="B798" s="12"/>
      <c r="C798" s="12"/>
      <c r="D798" s="12"/>
      <c r="E798" s="12"/>
      <c r="F798" s="17" t="str">
        <f aca="false">IF(B798="","",TRIM(B798&amp;" "&amp;C798&amp;" "&amp;D798))</f>
        <v/>
      </c>
      <c r="G798" s="12"/>
      <c r="H798" s="12"/>
      <c r="I798" s="12"/>
      <c r="J798" s="17" t="str">
        <f aca="false">IF(I798="","",IF(COUNTIF(Emplacements!$A$2:$A$1001,I798)=0,"⚠ emplacement inconnu",IF(AND(H798&lt;&gt;"",LEFT(I798,1)&lt;&gt;H798),"⚠ mauvaise zone","OK")))</f>
        <v/>
      </c>
      <c r="K798" s="12"/>
      <c r="L798" s="12"/>
    </row>
    <row r="799" customFormat="false" ht="15" hidden="false" customHeight="false" outlineLevel="0" collapsed="false">
      <c r="A799" s="12"/>
      <c r="B799" s="12"/>
      <c r="C799" s="12"/>
      <c r="D799" s="12"/>
      <c r="E799" s="12"/>
      <c r="F799" s="17" t="str">
        <f aca="false">IF(B799="","",TRIM(B799&amp;" "&amp;C799&amp;" "&amp;D799))</f>
        <v/>
      </c>
      <c r="G799" s="12"/>
      <c r="H799" s="12"/>
      <c r="I799" s="12"/>
      <c r="J799" s="17" t="str">
        <f aca="false">IF(I799="","",IF(COUNTIF(Emplacements!$A$2:$A$1001,I799)=0,"⚠ emplacement inconnu",IF(AND(H799&lt;&gt;"",LEFT(I799,1)&lt;&gt;H799),"⚠ mauvaise zone","OK")))</f>
        <v/>
      </c>
      <c r="K799" s="12"/>
      <c r="L799" s="12"/>
    </row>
    <row r="800" customFormat="false" ht="15" hidden="false" customHeight="false" outlineLevel="0" collapsed="false">
      <c r="A800" s="12"/>
      <c r="B800" s="12"/>
      <c r="C800" s="12"/>
      <c r="D800" s="12"/>
      <c r="E800" s="12"/>
      <c r="F800" s="17" t="str">
        <f aca="false">IF(B800="","",TRIM(B800&amp;" "&amp;C800&amp;" "&amp;D800))</f>
        <v/>
      </c>
      <c r="G800" s="12"/>
      <c r="H800" s="12"/>
      <c r="I800" s="12"/>
      <c r="J800" s="17" t="str">
        <f aca="false">IF(I800="","",IF(COUNTIF(Emplacements!$A$2:$A$1001,I800)=0,"⚠ emplacement inconnu",IF(AND(H800&lt;&gt;"",LEFT(I800,1)&lt;&gt;H800),"⚠ mauvaise zone","OK")))</f>
        <v/>
      </c>
      <c r="K800" s="12"/>
      <c r="L800" s="12"/>
    </row>
    <row r="801" customFormat="false" ht="15" hidden="false" customHeight="false" outlineLevel="0" collapsed="false">
      <c r="A801" s="12"/>
      <c r="B801" s="12"/>
      <c r="C801" s="12"/>
      <c r="D801" s="12"/>
      <c r="E801" s="12"/>
      <c r="F801" s="17" t="str">
        <f aca="false">IF(B801="","",TRIM(B801&amp;" "&amp;C801&amp;" "&amp;D801))</f>
        <v/>
      </c>
      <c r="G801" s="12"/>
      <c r="H801" s="12"/>
      <c r="I801" s="12"/>
      <c r="J801" s="17" t="str">
        <f aca="false">IF(I801="","",IF(COUNTIF(Emplacements!$A$2:$A$1001,I801)=0,"⚠ emplacement inconnu",IF(AND(H801&lt;&gt;"",LEFT(I801,1)&lt;&gt;H801),"⚠ mauvaise zone","OK")))</f>
        <v/>
      </c>
      <c r="K801" s="12"/>
      <c r="L801" s="12"/>
    </row>
    <row r="802" customFormat="false" ht="15" hidden="false" customHeight="false" outlineLevel="0" collapsed="false">
      <c r="A802" s="12"/>
      <c r="B802" s="12"/>
      <c r="C802" s="12"/>
      <c r="D802" s="12"/>
      <c r="E802" s="12"/>
      <c r="F802" s="17" t="str">
        <f aca="false">IF(B802="","",TRIM(B802&amp;" "&amp;C802&amp;" "&amp;D802))</f>
        <v/>
      </c>
      <c r="G802" s="12"/>
      <c r="H802" s="12"/>
      <c r="I802" s="12"/>
      <c r="J802" s="17" t="str">
        <f aca="false">IF(I802="","",IF(COUNTIF(Emplacements!$A$2:$A$1001,I802)=0,"⚠ emplacement inconnu",IF(AND(H802&lt;&gt;"",LEFT(I802,1)&lt;&gt;H802),"⚠ mauvaise zone","OK")))</f>
        <v/>
      </c>
      <c r="K802" s="12"/>
      <c r="L802" s="12"/>
    </row>
    <row r="803" customFormat="false" ht="15" hidden="false" customHeight="false" outlineLevel="0" collapsed="false">
      <c r="A803" s="12"/>
      <c r="B803" s="12"/>
      <c r="C803" s="12"/>
      <c r="D803" s="12"/>
      <c r="E803" s="12"/>
      <c r="F803" s="17" t="str">
        <f aca="false">IF(B803="","",TRIM(B803&amp;" "&amp;C803&amp;" "&amp;D803))</f>
        <v/>
      </c>
      <c r="G803" s="12"/>
      <c r="H803" s="12"/>
      <c r="I803" s="12"/>
      <c r="J803" s="17" t="str">
        <f aca="false">IF(I803="","",IF(COUNTIF(Emplacements!$A$2:$A$1001,I803)=0,"⚠ emplacement inconnu",IF(AND(H803&lt;&gt;"",LEFT(I803,1)&lt;&gt;H803),"⚠ mauvaise zone","OK")))</f>
        <v/>
      </c>
      <c r="K803" s="12"/>
      <c r="L803" s="12"/>
    </row>
    <row r="804" customFormat="false" ht="15" hidden="false" customHeight="false" outlineLevel="0" collapsed="false">
      <c r="A804" s="12"/>
      <c r="B804" s="12"/>
      <c r="C804" s="12"/>
      <c r="D804" s="12"/>
      <c r="E804" s="12"/>
      <c r="F804" s="17" t="str">
        <f aca="false">IF(B804="","",TRIM(B804&amp;" "&amp;C804&amp;" "&amp;D804))</f>
        <v/>
      </c>
      <c r="G804" s="12"/>
      <c r="H804" s="12"/>
      <c r="I804" s="12"/>
      <c r="J804" s="17" t="str">
        <f aca="false">IF(I804="","",IF(COUNTIF(Emplacements!$A$2:$A$1001,I804)=0,"⚠ emplacement inconnu",IF(AND(H804&lt;&gt;"",LEFT(I804,1)&lt;&gt;H804),"⚠ mauvaise zone","OK")))</f>
        <v/>
      </c>
      <c r="K804" s="12"/>
      <c r="L804" s="12"/>
    </row>
    <row r="805" customFormat="false" ht="15" hidden="false" customHeight="false" outlineLevel="0" collapsed="false">
      <c r="A805" s="12"/>
      <c r="B805" s="12"/>
      <c r="C805" s="12"/>
      <c r="D805" s="12"/>
      <c r="E805" s="12"/>
      <c r="F805" s="17" t="str">
        <f aca="false">IF(B805="","",TRIM(B805&amp;" "&amp;C805&amp;" "&amp;D805))</f>
        <v/>
      </c>
      <c r="G805" s="12"/>
      <c r="H805" s="12"/>
      <c r="I805" s="12"/>
      <c r="J805" s="17" t="str">
        <f aca="false">IF(I805="","",IF(COUNTIF(Emplacements!$A$2:$A$1001,I805)=0,"⚠ emplacement inconnu",IF(AND(H805&lt;&gt;"",LEFT(I805,1)&lt;&gt;H805),"⚠ mauvaise zone","OK")))</f>
        <v/>
      </c>
      <c r="K805" s="12"/>
      <c r="L805" s="12"/>
    </row>
    <row r="806" customFormat="false" ht="15" hidden="false" customHeight="false" outlineLevel="0" collapsed="false">
      <c r="A806" s="12"/>
      <c r="B806" s="12"/>
      <c r="C806" s="12"/>
      <c r="D806" s="12"/>
      <c r="E806" s="12"/>
      <c r="F806" s="17" t="str">
        <f aca="false">IF(B806="","",TRIM(B806&amp;" "&amp;C806&amp;" "&amp;D806))</f>
        <v/>
      </c>
      <c r="G806" s="12"/>
      <c r="H806" s="12"/>
      <c r="I806" s="12"/>
      <c r="J806" s="17" t="str">
        <f aca="false">IF(I806="","",IF(COUNTIF(Emplacements!$A$2:$A$1001,I806)=0,"⚠ emplacement inconnu",IF(AND(H806&lt;&gt;"",LEFT(I806,1)&lt;&gt;H806),"⚠ mauvaise zone","OK")))</f>
        <v/>
      </c>
      <c r="K806" s="12"/>
      <c r="L806" s="12"/>
    </row>
    <row r="807" customFormat="false" ht="15" hidden="false" customHeight="false" outlineLevel="0" collapsed="false">
      <c r="A807" s="12"/>
      <c r="B807" s="12"/>
      <c r="C807" s="12"/>
      <c r="D807" s="12"/>
      <c r="E807" s="12"/>
      <c r="F807" s="17" t="str">
        <f aca="false">IF(B807="","",TRIM(B807&amp;" "&amp;C807&amp;" "&amp;D807))</f>
        <v/>
      </c>
      <c r="G807" s="12"/>
      <c r="H807" s="12"/>
      <c r="I807" s="12"/>
      <c r="J807" s="17" t="str">
        <f aca="false">IF(I807="","",IF(COUNTIF(Emplacements!$A$2:$A$1001,I807)=0,"⚠ emplacement inconnu",IF(AND(H807&lt;&gt;"",LEFT(I807,1)&lt;&gt;H807),"⚠ mauvaise zone","OK")))</f>
        <v/>
      </c>
      <c r="K807" s="12"/>
      <c r="L807" s="12"/>
    </row>
    <row r="808" customFormat="false" ht="15" hidden="false" customHeight="false" outlineLevel="0" collapsed="false">
      <c r="A808" s="12"/>
      <c r="B808" s="12"/>
      <c r="C808" s="12"/>
      <c r="D808" s="12"/>
      <c r="E808" s="12"/>
      <c r="F808" s="17" t="str">
        <f aca="false">IF(B808="","",TRIM(B808&amp;" "&amp;C808&amp;" "&amp;D808))</f>
        <v/>
      </c>
      <c r="G808" s="12"/>
      <c r="H808" s="12"/>
      <c r="I808" s="12"/>
      <c r="J808" s="17" t="str">
        <f aca="false">IF(I808="","",IF(COUNTIF(Emplacements!$A$2:$A$1001,I808)=0,"⚠ emplacement inconnu",IF(AND(H808&lt;&gt;"",LEFT(I808,1)&lt;&gt;H808),"⚠ mauvaise zone","OK")))</f>
        <v/>
      </c>
      <c r="K808" s="12"/>
      <c r="L808" s="12"/>
    </row>
    <row r="809" customFormat="false" ht="15" hidden="false" customHeight="false" outlineLevel="0" collapsed="false">
      <c r="A809" s="12"/>
      <c r="B809" s="12"/>
      <c r="C809" s="12"/>
      <c r="D809" s="12"/>
      <c r="E809" s="12"/>
      <c r="F809" s="17" t="str">
        <f aca="false">IF(B809="","",TRIM(B809&amp;" "&amp;C809&amp;" "&amp;D809))</f>
        <v/>
      </c>
      <c r="G809" s="12"/>
      <c r="H809" s="12"/>
      <c r="I809" s="12"/>
      <c r="J809" s="17" t="str">
        <f aca="false">IF(I809="","",IF(COUNTIF(Emplacements!$A$2:$A$1001,I809)=0,"⚠ emplacement inconnu",IF(AND(H809&lt;&gt;"",LEFT(I809,1)&lt;&gt;H809),"⚠ mauvaise zone","OK")))</f>
        <v/>
      </c>
      <c r="K809" s="12"/>
      <c r="L809" s="12"/>
    </row>
    <row r="810" customFormat="false" ht="15" hidden="false" customHeight="false" outlineLevel="0" collapsed="false">
      <c r="A810" s="12"/>
      <c r="B810" s="12"/>
      <c r="C810" s="12"/>
      <c r="D810" s="12"/>
      <c r="E810" s="12"/>
      <c r="F810" s="17" t="str">
        <f aca="false">IF(B810="","",TRIM(B810&amp;" "&amp;C810&amp;" "&amp;D810))</f>
        <v/>
      </c>
      <c r="G810" s="12"/>
      <c r="H810" s="12"/>
      <c r="I810" s="12"/>
      <c r="J810" s="17" t="str">
        <f aca="false">IF(I810="","",IF(COUNTIF(Emplacements!$A$2:$A$1001,I810)=0,"⚠ emplacement inconnu",IF(AND(H810&lt;&gt;"",LEFT(I810,1)&lt;&gt;H810),"⚠ mauvaise zone","OK")))</f>
        <v/>
      </c>
      <c r="K810" s="12"/>
      <c r="L810" s="12"/>
    </row>
    <row r="811" customFormat="false" ht="15" hidden="false" customHeight="false" outlineLevel="0" collapsed="false">
      <c r="A811" s="12"/>
      <c r="B811" s="12"/>
      <c r="C811" s="12"/>
      <c r="D811" s="12"/>
      <c r="E811" s="12"/>
      <c r="F811" s="17" t="str">
        <f aca="false">IF(B811="","",TRIM(B811&amp;" "&amp;C811&amp;" "&amp;D811))</f>
        <v/>
      </c>
      <c r="G811" s="12"/>
      <c r="H811" s="12"/>
      <c r="I811" s="12"/>
      <c r="J811" s="17" t="str">
        <f aca="false">IF(I811="","",IF(COUNTIF(Emplacements!$A$2:$A$1001,I811)=0,"⚠ emplacement inconnu",IF(AND(H811&lt;&gt;"",LEFT(I811,1)&lt;&gt;H811),"⚠ mauvaise zone","OK")))</f>
        <v/>
      </c>
      <c r="K811" s="12"/>
      <c r="L811" s="12"/>
    </row>
    <row r="812" customFormat="false" ht="15" hidden="false" customHeight="false" outlineLevel="0" collapsed="false">
      <c r="A812" s="12"/>
      <c r="B812" s="12"/>
      <c r="C812" s="12"/>
      <c r="D812" s="12"/>
      <c r="E812" s="12"/>
      <c r="F812" s="17" t="str">
        <f aca="false">IF(B812="","",TRIM(B812&amp;" "&amp;C812&amp;" "&amp;D812))</f>
        <v/>
      </c>
      <c r="G812" s="12"/>
      <c r="H812" s="12"/>
      <c r="I812" s="12"/>
      <c r="J812" s="17" t="str">
        <f aca="false">IF(I812="","",IF(COUNTIF(Emplacements!$A$2:$A$1001,I812)=0,"⚠ emplacement inconnu",IF(AND(H812&lt;&gt;"",LEFT(I812,1)&lt;&gt;H812),"⚠ mauvaise zone","OK")))</f>
        <v/>
      </c>
      <c r="K812" s="12"/>
      <c r="L812" s="12"/>
    </row>
    <row r="813" customFormat="false" ht="15" hidden="false" customHeight="false" outlineLevel="0" collapsed="false">
      <c r="A813" s="12"/>
      <c r="B813" s="12"/>
      <c r="C813" s="12"/>
      <c r="D813" s="12"/>
      <c r="E813" s="12"/>
      <c r="F813" s="17" t="str">
        <f aca="false">IF(B813="","",TRIM(B813&amp;" "&amp;C813&amp;" "&amp;D813))</f>
        <v/>
      </c>
      <c r="G813" s="12"/>
      <c r="H813" s="12"/>
      <c r="I813" s="12"/>
      <c r="J813" s="17" t="str">
        <f aca="false">IF(I813="","",IF(COUNTIF(Emplacements!$A$2:$A$1001,I813)=0,"⚠ emplacement inconnu",IF(AND(H813&lt;&gt;"",LEFT(I813,1)&lt;&gt;H813),"⚠ mauvaise zone","OK")))</f>
        <v/>
      </c>
      <c r="K813" s="12"/>
      <c r="L813" s="12"/>
    </row>
    <row r="814" customFormat="false" ht="15" hidden="false" customHeight="false" outlineLevel="0" collapsed="false">
      <c r="A814" s="12"/>
      <c r="B814" s="12"/>
      <c r="C814" s="12"/>
      <c r="D814" s="12"/>
      <c r="E814" s="12"/>
      <c r="F814" s="17" t="str">
        <f aca="false">IF(B814="","",TRIM(B814&amp;" "&amp;C814&amp;" "&amp;D814))</f>
        <v/>
      </c>
      <c r="G814" s="12"/>
      <c r="H814" s="12"/>
      <c r="I814" s="12"/>
      <c r="J814" s="17" t="str">
        <f aca="false">IF(I814="","",IF(COUNTIF(Emplacements!$A$2:$A$1001,I814)=0,"⚠ emplacement inconnu",IF(AND(H814&lt;&gt;"",LEFT(I814,1)&lt;&gt;H814),"⚠ mauvaise zone","OK")))</f>
        <v/>
      </c>
      <c r="K814" s="12"/>
      <c r="L814" s="12"/>
    </row>
    <row r="815" customFormat="false" ht="15" hidden="false" customHeight="false" outlineLevel="0" collapsed="false">
      <c r="A815" s="12"/>
      <c r="B815" s="12"/>
      <c r="C815" s="12"/>
      <c r="D815" s="12"/>
      <c r="E815" s="12"/>
      <c r="F815" s="17" t="str">
        <f aca="false">IF(B815="","",TRIM(B815&amp;" "&amp;C815&amp;" "&amp;D815))</f>
        <v/>
      </c>
      <c r="G815" s="12"/>
      <c r="H815" s="12"/>
      <c r="I815" s="12"/>
      <c r="J815" s="17" t="str">
        <f aca="false">IF(I815="","",IF(COUNTIF(Emplacements!$A$2:$A$1001,I815)=0,"⚠ emplacement inconnu",IF(AND(H815&lt;&gt;"",LEFT(I815,1)&lt;&gt;H815),"⚠ mauvaise zone","OK")))</f>
        <v/>
      </c>
      <c r="K815" s="12"/>
      <c r="L815" s="12"/>
    </row>
    <row r="816" customFormat="false" ht="15" hidden="false" customHeight="false" outlineLevel="0" collapsed="false">
      <c r="A816" s="12"/>
      <c r="B816" s="12"/>
      <c r="C816" s="12"/>
      <c r="D816" s="12"/>
      <c r="E816" s="12"/>
      <c r="F816" s="17" t="str">
        <f aca="false">IF(B816="","",TRIM(B816&amp;" "&amp;C816&amp;" "&amp;D816))</f>
        <v/>
      </c>
      <c r="G816" s="12"/>
      <c r="H816" s="12"/>
      <c r="I816" s="12"/>
      <c r="J816" s="17" t="str">
        <f aca="false">IF(I816="","",IF(COUNTIF(Emplacements!$A$2:$A$1001,I816)=0,"⚠ emplacement inconnu",IF(AND(H816&lt;&gt;"",LEFT(I816,1)&lt;&gt;H816),"⚠ mauvaise zone","OK")))</f>
        <v/>
      </c>
      <c r="K816" s="12"/>
      <c r="L816" s="12"/>
    </row>
    <row r="817" customFormat="false" ht="15" hidden="false" customHeight="false" outlineLevel="0" collapsed="false">
      <c r="A817" s="12"/>
      <c r="B817" s="12"/>
      <c r="C817" s="12"/>
      <c r="D817" s="12"/>
      <c r="E817" s="12"/>
      <c r="F817" s="17" t="str">
        <f aca="false">IF(B817="","",TRIM(B817&amp;" "&amp;C817&amp;" "&amp;D817))</f>
        <v/>
      </c>
      <c r="G817" s="12"/>
      <c r="H817" s="12"/>
      <c r="I817" s="12"/>
      <c r="J817" s="17" t="str">
        <f aca="false">IF(I817="","",IF(COUNTIF(Emplacements!$A$2:$A$1001,I817)=0,"⚠ emplacement inconnu",IF(AND(H817&lt;&gt;"",LEFT(I817,1)&lt;&gt;H817),"⚠ mauvaise zone","OK")))</f>
        <v/>
      </c>
      <c r="K817" s="12"/>
      <c r="L817" s="12"/>
    </row>
    <row r="818" customFormat="false" ht="15" hidden="false" customHeight="false" outlineLevel="0" collapsed="false">
      <c r="A818" s="12"/>
      <c r="B818" s="12"/>
      <c r="C818" s="12"/>
      <c r="D818" s="12"/>
      <c r="E818" s="12"/>
      <c r="F818" s="17" t="str">
        <f aca="false">IF(B818="","",TRIM(B818&amp;" "&amp;C818&amp;" "&amp;D818))</f>
        <v/>
      </c>
      <c r="G818" s="12"/>
      <c r="H818" s="12"/>
      <c r="I818" s="12"/>
      <c r="J818" s="17" t="str">
        <f aca="false">IF(I818="","",IF(COUNTIF(Emplacements!$A$2:$A$1001,I818)=0,"⚠ emplacement inconnu",IF(AND(H818&lt;&gt;"",LEFT(I818,1)&lt;&gt;H818),"⚠ mauvaise zone","OK")))</f>
        <v/>
      </c>
      <c r="K818" s="12"/>
      <c r="L818" s="12"/>
    </row>
    <row r="819" customFormat="false" ht="15" hidden="false" customHeight="false" outlineLevel="0" collapsed="false">
      <c r="A819" s="12"/>
      <c r="B819" s="12"/>
      <c r="C819" s="12"/>
      <c r="D819" s="12"/>
      <c r="E819" s="12"/>
      <c r="F819" s="17" t="str">
        <f aca="false">IF(B819="","",TRIM(B819&amp;" "&amp;C819&amp;" "&amp;D819))</f>
        <v/>
      </c>
      <c r="G819" s="12"/>
      <c r="H819" s="12"/>
      <c r="I819" s="12"/>
      <c r="J819" s="17" t="str">
        <f aca="false">IF(I819="","",IF(COUNTIF(Emplacements!$A$2:$A$1001,I819)=0,"⚠ emplacement inconnu",IF(AND(H819&lt;&gt;"",LEFT(I819,1)&lt;&gt;H819),"⚠ mauvaise zone","OK")))</f>
        <v/>
      </c>
      <c r="K819" s="12"/>
      <c r="L819" s="12"/>
    </row>
    <row r="820" customFormat="false" ht="15" hidden="false" customHeight="false" outlineLevel="0" collapsed="false">
      <c r="A820" s="12"/>
      <c r="B820" s="12"/>
      <c r="C820" s="12"/>
      <c r="D820" s="12"/>
      <c r="E820" s="12"/>
      <c r="F820" s="17" t="str">
        <f aca="false">IF(B820="","",TRIM(B820&amp;" "&amp;C820&amp;" "&amp;D820))</f>
        <v/>
      </c>
      <c r="G820" s="12"/>
      <c r="H820" s="12"/>
      <c r="I820" s="12"/>
      <c r="J820" s="17" t="str">
        <f aca="false">IF(I820="","",IF(COUNTIF(Emplacements!$A$2:$A$1001,I820)=0,"⚠ emplacement inconnu",IF(AND(H820&lt;&gt;"",LEFT(I820,1)&lt;&gt;H820),"⚠ mauvaise zone","OK")))</f>
        <v/>
      </c>
      <c r="K820" s="12"/>
      <c r="L820" s="12"/>
    </row>
    <row r="821" customFormat="false" ht="15" hidden="false" customHeight="false" outlineLevel="0" collapsed="false">
      <c r="A821" s="12"/>
      <c r="B821" s="12"/>
      <c r="C821" s="12"/>
      <c r="D821" s="12"/>
      <c r="E821" s="12"/>
      <c r="F821" s="17" t="str">
        <f aca="false">IF(B821="","",TRIM(B821&amp;" "&amp;C821&amp;" "&amp;D821))</f>
        <v/>
      </c>
      <c r="G821" s="12"/>
      <c r="H821" s="12"/>
      <c r="I821" s="12"/>
      <c r="J821" s="17" t="str">
        <f aca="false">IF(I821="","",IF(COUNTIF(Emplacements!$A$2:$A$1001,I821)=0,"⚠ emplacement inconnu",IF(AND(H821&lt;&gt;"",LEFT(I821,1)&lt;&gt;H821),"⚠ mauvaise zone","OK")))</f>
        <v/>
      </c>
      <c r="K821" s="12"/>
      <c r="L821" s="12"/>
    </row>
    <row r="822" customFormat="false" ht="15" hidden="false" customHeight="false" outlineLevel="0" collapsed="false">
      <c r="A822" s="12"/>
      <c r="B822" s="12"/>
      <c r="C822" s="12"/>
      <c r="D822" s="12"/>
      <c r="E822" s="12"/>
      <c r="F822" s="17" t="str">
        <f aca="false">IF(B822="","",TRIM(B822&amp;" "&amp;C822&amp;" "&amp;D822))</f>
        <v/>
      </c>
      <c r="G822" s="12"/>
      <c r="H822" s="12"/>
      <c r="I822" s="12"/>
      <c r="J822" s="17" t="str">
        <f aca="false">IF(I822="","",IF(COUNTIF(Emplacements!$A$2:$A$1001,I822)=0,"⚠ emplacement inconnu",IF(AND(H822&lt;&gt;"",LEFT(I822,1)&lt;&gt;H822),"⚠ mauvaise zone","OK")))</f>
        <v/>
      </c>
      <c r="K822" s="12"/>
      <c r="L822" s="12"/>
    </row>
    <row r="823" customFormat="false" ht="15" hidden="false" customHeight="false" outlineLevel="0" collapsed="false">
      <c r="A823" s="12"/>
      <c r="B823" s="12"/>
      <c r="C823" s="12"/>
      <c r="D823" s="12"/>
      <c r="E823" s="12"/>
      <c r="F823" s="17" t="str">
        <f aca="false">IF(B823="","",TRIM(B823&amp;" "&amp;C823&amp;" "&amp;D823))</f>
        <v/>
      </c>
      <c r="G823" s="12"/>
      <c r="H823" s="12"/>
      <c r="I823" s="12"/>
      <c r="J823" s="17" t="str">
        <f aca="false">IF(I823="","",IF(COUNTIF(Emplacements!$A$2:$A$1001,I823)=0,"⚠ emplacement inconnu",IF(AND(H823&lt;&gt;"",LEFT(I823,1)&lt;&gt;H823),"⚠ mauvaise zone","OK")))</f>
        <v/>
      </c>
      <c r="K823" s="12"/>
      <c r="L823" s="12"/>
    </row>
    <row r="824" customFormat="false" ht="15" hidden="false" customHeight="false" outlineLevel="0" collapsed="false">
      <c r="A824" s="12"/>
      <c r="B824" s="12"/>
      <c r="C824" s="12"/>
      <c r="D824" s="12"/>
      <c r="E824" s="12"/>
      <c r="F824" s="17" t="str">
        <f aca="false">IF(B824="","",TRIM(B824&amp;" "&amp;C824&amp;" "&amp;D824))</f>
        <v/>
      </c>
      <c r="G824" s="12"/>
      <c r="H824" s="12"/>
      <c r="I824" s="12"/>
      <c r="J824" s="17" t="str">
        <f aca="false">IF(I824="","",IF(COUNTIF(Emplacements!$A$2:$A$1001,I824)=0,"⚠ emplacement inconnu",IF(AND(H824&lt;&gt;"",LEFT(I824,1)&lt;&gt;H824),"⚠ mauvaise zone","OK")))</f>
        <v/>
      </c>
      <c r="K824" s="12"/>
      <c r="L824" s="12"/>
    </row>
    <row r="825" customFormat="false" ht="15" hidden="false" customHeight="false" outlineLevel="0" collapsed="false">
      <c r="A825" s="12"/>
      <c r="B825" s="12"/>
      <c r="C825" s="12"/>
      <c r="D825" s="12"/>
      <c r="E825" s="12"/>
      <c r="F825" s="17" t="str">
        <f aca="false">IF(B825="","",TRIM(B825&amp;" "&amp;C825&amp;" "&amp;D825))</f>
        <v/>
      </c>
      <c r="G825" s="12"/>
      <c r="H825" s="12"/>
      <c r="I825" s="12"/>
      <c r="J825" s="17" t="str">
        <f aca="false">IF(I825="","",IF(COUNTIF(Emplacements!$A$2:$A$1001,I825)=0,"⚠ emplacement inconnu",IF(AND(H825&lt;&gt;"",LEFT(I825,1)&lt;&gt;H825),"⚠ mauvaise zone","OK")))</f>
        <v/>
      </c>
      <c r="K825" s="12"/>
      <c r="L825" s="12"/>
    </row>
    <row r="826" customFormat="false" ht="15" hidden="false" customHeight="false" outlineLevel="0" collapsed="false">
      <c r="A826" s="12"/>
      <c r="B826" s="12"/>
      <c r="C826" s="12"/>
      <c r="D826" s="12"/>
      <c r="E826" s="12"/>
      <c r="F826" s="17" t="str">
        <f aca="false">IF(B826="","",TRIM(B826&amp;" "&amp;C826&amp;" "&amp;D826))</f>
        <v/>
      </c>
      <c r="G826" s="12"/>
      <c r="H826" s="12"/>
      <c r="I826" s="12"/>
      <c r="J826" s="17" t="str">
        <f aca="false">IF(I826="","",IF(COUNTIF(Emplacements!$A$2:$A$1001,I826)=0,"⚠ emplacement inconnu",IF(AND(H826&lt;&gt;"",LEFT(I826,1)&lt;&gt;H826),"⚠ mauvaise zone","OK")))</f>
        <v/>
      </c>
      <c r="K826" s="12"/>
      <c r="L826" s="12"/>
    </row>
    <row r="827" customFormat="false" ht="15" hidden="false" customHeight="false" outlineLevel="0" collapsed="false">
      <c r="A827" s="12"/>
      <c r="B827" s="12"/>
      <c r="C827" s="12"/>
      <c r="D827" s="12"/>
      <c r="E827" s="12"/>
      <c r="F827" s="17" t="str">
        <f aca="false">IF(B827="","",TRIM(B827&amp;" "&amp;C827&amp;" "&amp;D827))</f>
        <v/>
      </c>
      <c r="G827" s="12"/>
      <c r="H827" s="12"/>
      <c r="I827" s="12"/>
      <c r="J827" s="17" t="str">
        <f aca="false">IF(I827="","",IF(COUNTIF(Emplacements!$A$2:$A$1001,I827)=0,"⚠ emplacement inconnu",IF(AND(H827&lt;&gt;"",LEFT(I827,1)&lt;&gt;H827),"⚠ mauvaise zone","OK")))</f>
        <v/>
      </c>
      <c r="K827" s="12"/>
      <c r="L827" s="12"/>
    </row>
    <row r="828" customFormat="false" ht="15" hidden="false" customHeight="false" outlineLevel="0" collapsed="false">
      <c r="A828" s="12"/>
      <c r="B828" s="12"/>
      <c r="C828" s="12"/>
      <c r="D828" s="12"/>
      <c r="E828" s="12"/>
      <c r="F828" s="17" t="str">
        <f aca="false">IF(B828="","",TRIM(B828&amp;" "&amp;C828&amp;" "&amp;D828))</f>
        <v/>
      </c>
      <c r="G828" s="12"/>
      <c r="H828" s="12"/>
      <c r="I828" s="12"/>
      <c r="J828" s="17" t="str">
        <f aca="false">IF(I828="","",IF(COUNTIF(Emplacements!$A$2:$A$1001,I828)=0,"⚠ emplacement inconnu",IF(AND(H828&lt;&gt;"",LEFT(I828,1)&lt;&gt;H828),"⚠ mauvaise zone","OK")))</f>
        <v/>
      </c>
      <c r="K828" s="12"/>
      <c r="L828" s="12"/>
    </row>
    <row r="829" customFormat="false" ht="15" hidden="false" customHeight="false" outlineLevel="0" collapsed="false">
      <c r="A829" s="12"/>
      <c r="B829" s="12"/>
      <c r="C829" s="12"/>
      <c r="D829" s="12"/>
      <c r="E829" s="12"/>
      <c r="F829" s="17" t="str">
        <f aca="false">IF(B829="","",TRIM(B829&amp;" "&amp;C829&amp;" "&amp;D829))</f>
        <v/>
      </c>
      <c r="G829" s="12"/>
      <c r="H829" s="12"/>
      <c r="I829" s="12"/>
      <c r="J829" s="17" t="str">
        <f aca="false">IF(I829="","",IF(COUNTIF(Emplacements!$A$2:$A$1001,I829)=0,"⚠ emplacement inconnu",IF(AND(H829&lt;&gt;"",LEFT(I829,1)&lt;&gt;H829),"⚠ mauvaise zone","OK")))</f>
        <v/>
      </c>
      <c r="K829" s="12"/>
      <c r="L829" s="12"/>
    </row>
    <row r="830" customFormat="false" ht="15" hidden="false" customHeight="false" outlineLevel="0" collapsed="false">
      <c r="A830" s="12"/>
      <c r="B830" s="12"/>
      <c r="C830" s="12"/>
      <c r="D830" s="12"/>
      <c r="E830" s="12"/>
      <c r="F830" s="17" t="str">
        <f aca="false">IF(B830="","",TRIM(B830&amp;" "&amp;C830&amp;" "&amp;D830))</f>
        <v/>
      </c>
      <c r="G830" s="12"/>
      <c r="H830" s="12"/>
      <c r="I830" s="12"/>
      <c r="J830" s="17" t="str">
        <f aca="false">IF(I830="","",IF(COUNTIF(Emplacements!$A$2:$A$1001,I830)=0,"⚠ emplacement inconnu",IF(AND(H830&lt;&gt;"",LEFT(I830,1)&lt;&gt;H830),"⚠ mauvaise zone","OK")))</f>
        <v/>
      </c>
      <c r="K830" s="12"/>
      <c r="L830" s="12"/>
    </row>
    <row r="831" customFormat="false" ht="15" hidden="false" customHeight="false" outlineLevel="0" collapsed="false">
      <c r="A831" s="12"/>
      <c r="B831" s="12"/>
      <c r="C831" s="12"/>
      <c r="D831" s="12"/>
      <c r="E831" s="12"/>
      <c r="F831" s="17" t="str">
        <f aca="false">IF(B831="","",TRIM(B831&amp;" "&amp;C831&amp;" "&amp;D831))</f>
        <v/>
      </c>
      <c r="G831" s="12"/>
      <c r="H831" s="12"/>
      <c r="I831" s="12"/>
      <c r="J831" s="17" t="str">
        <f aca="false">IF(I831="","",IF(COUNTIF(Emplacements!$A$2:$A$1001,I831)=0,"⚠ emplacement inconnu",IF(AND(H831&lt;&gt;"",LEFT(I831,1)&lt;&gt;H831),"⚠ mauvaise zone","OK")))</f>
        <v/>
      </c>
      <c r="K831" s="12"/>
      <c r="L831" s="12"/>
    </row>
    <row r="832" customFormat="false" ht="15" hidden="false" customHeight="false" outlineLevel="0" collapsed="false">
      <c r="A832" s="12"/>
      <c r="B832" s="12"/>
      <c r="C832" s="12"/>
      <c r="D832" s="12"/>
      <c r="E832" s="12"/>
      <c r="F832" s="17" t="str">
        <f aca="false">IF(B832="","",TRIM(B832&amp;" "&amp;C832&amp;" "&amp;D832))</f>
        <v/>
      </c>
      <c r="G832" s="12"/>
      <c r="H832" s="12"/>
      <c r="I832" s="12"/>
      <c r="J832" s="17" t="str">
        <f aca="false">IF(I832="","",IF(COUNTIF(Emplacements!$A$2:$A$1001,I832)=0,"⚠ emplacement inconnu",IF(AND(H832&lt;&gt;"",LEFT(I832,1)&lt;&gt;H832),"⚠ mauvaise zone","OK")))</f>
        <v/>
      </c>
      <c r="K832" s="12"/>
      <c r="L832" s="12"/>
    </row>
    <row r="833" customFormat="false" ht="15" hidden="false" customHeight="false" outlineLevel="0" collapsed="false">
      <c r="A833" s="12"/>
      <c r="B833" s="12"/>
      <c r="C833" s="12"/>
      <c r="D833" s="12"/>
      <c r="E833" s="12"/>
      <c r="F833" s="17" t="str">
        <f aca="false">IF(B833="","",TRIM(B833&amp;" "&amp;C833&amp;" "&amp;D833))</f>
        <v/>
      </c>
      <c r="G833" s="12"/>
      <c r="H833" s="12"/>
      <c r="I833" s="12"/>
      <c r="J833" s="17" t="str">
        <f aca="false">IF(I833="","",IF(COUNTIF(Emplacements!$A$2:$A$1001,I833)=0,"⚠ emplacement inconnu",IF(AND(H833&lt;&gt;"",LEFT(I833,1)&lt;&gt;H833),"⚠ mauvaise zone","OK")))</f>
        <v/>
      </c>
      <c r="K833" s="12"/>
      <c r="L833" s="12"/>
    </row>
    <row r="834" customFormat="false" ht="15" hidden="false" customHeight="false" outlineLevel="0" collapsed="false">
      <c r="A834" s="12"/>
      <c r="B834" s="12"/>
      <c r="C834" s="12"/>
      <c r="D834" s="12"/>
      <c r="E834" s="12"/>
      <c r="F834" s="17" t="str">
        <f aca="false">IF(B834="","",TRIM(B834&amp;" "&amp;C834&amp;" "&amp;D834))</f>
        <v/>
      </c>
      <c r="G834" s="12"/>
      <c r="H834" s="12"/>
      <c r="I834" s="12"/>
      <c r="J834" s="17" t="str">
        <f aca="false">IF(I834="","",IF(COUNTIF(Emplacements!$A$2:$A$1001,I834)=0,"⚠ emplacement inconnu",IF(AND(H834&lt;&gt;"",LEFT(I834,1)&lt;&gt;H834),"⚠ mauvaise zone","OK")))</f>
        <v/>
      </c>
      <c r="K834" s="12"/>
      <c r="L834" s="12"/>
    </row>
    <row r="835" customFormat="false" ht="15" hidden="false" customHeight="false" outlineLevel="0" collapsed="false">
      <c r="A835" s="12"/>
      <c r="B835" s="12"/>
      <c r="C835" s="12"/>
      <c r="D835" s="12"/>
      <c r="E835" s="12"/>
      <c r="F835" s="17" t="str">
        <f aca="false">IF(B835="","",TRIM(B835&amp;" "&amp;C835&amp;" "&amp;D835))</f>
        <v/>
      </c>
      <c r="G835" s="12"/>
      <c r="H835" s="12"/>
      <c r="I835" s="12"/>
      <c r="J835" s="17" t="str">
        <f aca="false">IF(I835="","",IF(COUNTIF(Emplacements!$A$2:$A$1001,I835)=0,"⚠ emplacement inconnu",IF(AND(H835&lt;&gt;"",LEFT(I835,1)&lt;&gt;H835),"⚠ mauvaise zone","OK")))</f>
        <v/>
      </c>
      <c r="K835" s="12"/>
      <c r="L835" s="12"/>
    </row>
    <row r="836" customFormat="false" ht="15" hidden="false" customHeight="false" outlineLevel="0" collapsed="false">
      <c r="A836" s="12"/>
      <c r="B836" s="12"/>
      <c r="C836" s="12"/>
      <c r="D836" s="12"/>
      <c r="E836" s="12"/>
      <c r="F836" s="17" t="str">
        <f aca="false">IF(B836="","",TRIM(B836&amp;" "&amp;C836&amp;" "&amp;D836))</f>
        <v/>
      </c>
      <c r="G836" s="12"/>
      <c r="H836" s="12"/>
      <c r="I836" s="12"/>
      <c r="J836" s="17" t="str">
        <f aca="false">IF(I836="","",IF(COUNTIF(Emplacements!$A$2:$A$1001,I836)=0,"⚠ emplacement inconnu",IF(AND(H836&lt;&gt;"",LEFT(I836,1)&lt;&gt;H836),"⚠ mauvaise zone","OK")))</f>
        <v/>
      </c>
      <c r="K836" s="12"/>
      <c r="L836" s="12"/>
    </row>
    <row r="837" customFormat="false" ht="15" hidden="false" customHeight="false" outlineLevel="0" collapsed="false">
      <c r="A837" s="12"/>
      <c r="B837" s="12"/>
      <c r="C837" s="12"/>
      <c r="D837" s="12"/>
      <c r="E837" s="12"/>
      <c r="F837" s="17" t="str">
        <f aca="false">IF(B837="","",TRIM(B837&amp;" "&amp;C837&amp;" "&amp;D837))</f>
        <v/>
      </c>
      <c r="G837" s="12"/>
      <c r="H837" s="12"/>
      <c r="I837" s="12"/>
      <c r="J837" s="17" t="str">
        <f aca="false">IF(I837="","",IF(COUNTIF(Emplacements!$A$2:$A$1001,I837)=0,"⚠ emplacement inconnu",IF(AND(H837&lt;&gt;"",LEFT(I837,1)&lt;&gt;H837),"⚠ mauvaise zone","OK")))</f>
        <v/>
      </c>
      <c r="K837" s="12"/>
      <c r="L837" s="12"/>
    </row>
    <row r="838" customFormat="false" ht="15" hidden="false" customHeight="false" outlineLevel="0" collapsed="false">
      <c r="A838" s="12"/>
      <c r="B838" s="12"/>
      <c r="C838" s="12"/>
      <c r="D838" s="12"/>
      <c r="E838" s="12"/>
      <c r="F838" s="17" t="str">
        <f aca="false">IF(B838="","",TRIM(B838&amp;" "&amp;C838&amp;" "&amp;D838))</f>
        <v/>
      </c>
      <c r="G838" s="12"/>
      <c r="H838" s="12"/>
      <c r="I838" s="12"/>
      <c r="J838" s="17" t="str">
        <f aca="false">IF(I838="","",IF(COUNTIF(Emplacements!$A$2:$A$1001,I838)=0,"⚠ emplacement inconnu",IF(AND(H838&lt;&gt;"",LEFT(I838,1)&lt;&gt;H838),"⚠ mauvaise zone","OK")))</f>
        <v/>
      </c>
      <c r="K838" s="12"/>
      <c r="L838" s="12"/>
    </row>
    <row r="839" customFormat="false" ht="15" hidden="false" customHeight="false" outlineLevel="0" collapsed="false">
      <c r="A839" s="12"/>
      <c r="B839" s="12"/>
      <c r="C839" s="12"/>
      <c r="D839" s="12"/>
      <c r="E839" s="12"/>
      <c r="F839" s="17" t="str">
        <f aca="false">IF(B839="","",TRIM(B839&amp;" "&amp;C839&amp;" "&amp;D839))</f>
        <v/>
      </c>
      <c r="G839" s="12"/>
      <c r="H839" s="12"/>
      <c r="I839" s="12"/>
      <c r="J839" s="17" t="str">
        <f aca="false">IF(I839="","",IF(COUNTIF(Emplacements!$A$2:$A$1001,I839)=0,"⚠ emplacement inconnu",IF(AND(H839&lt;&gt;"",LEFT(I839,1)&lt;&gt;H839),"⚠ mauvaise zone","OK")))</f>
        <v/>
      </c>
      <c r="K839" s="12"/>
      <c r="L839" s="12"/>
    </row>
    <row r="840" customFormat="false" ht="15" hidden="false" customHeight="false" outlineLevel="0" collapsed="false">
      <c r="A840" s="12"/>
      <c r="B840" s="12"/>
      <c r="C840" s="12"/>
      <c r="D840" s="12"/>
      <c r="E840" s="12"/>
      <c r="F840" s="17" t="str">
        <f aca="false">IF(B840="","",TRIM(B840&amp;" "&amp;C840&amp;" "&amp;D840))</f>
        <v/>
      </c>
      <c r="G840" s="12"/>
      <c r="H840" s="12"/>
      <c r="I840" s="12"/>
      <c r="J840" s="17" t="str">
        <f aca="false">IF(I840="","",IF(COUNTIF(Emplacements!$A$2:$A$1001,I840)=0,"⚠ emplacement inconnu",IF(AND(H840&lt;&gt;"",LEFT(I840,1)&lt;&gt;H840),"⚠ mauvaise zone","OK")))</f>
        <v/>
      </c>
      <c r="K840" s="12"/>
      <c r="L840" s="12"/>
    </row>
    <row r="841" customFormat="false" ht="15" hidden="false" customHeight="false" outlineLevel="0" collapsed="false">
      <c r="A841" s="12"/>
      <c r="B841" s="12"/>
      <c r="C841" s="12"/>
      <c r="D841" s="12"/>
      <c r="E841" s="12"/>
      <c r="F841" s="17" t="str">
        <f aca="false">IF(B841="","",TRIM(B841&amp;" "&amp;C841&amp;" "&amp;D841))</f>
        <v/>
      </c>
      <c r="G841" s="12"/>
      <c r="H841" s="12"/>
      <c r="I841" s="12"/>
      <c r="J841" s="17" t="str">
        <f aca="false">IF(I841="","",IF(COUNTIF(Emplacements!$A$2:$A$1001,I841)=0,"⚠ emplacement inconnu",IF(AND(H841&lt;&gt;"",LEFT(I841,1)&lt;&gt;H841),"⚠ mauvaise zone","OK")))</f>
        <v/>
      </c>
      <c r="K841" s="12"/>
      <c r="L841" s="12"/>
    </row>
    <row r="842" customFormat="false" ht="15" hidden="false" customHeight="false" outlineLevel="0" collapsed="false">
      <c r="A842" s="12"/>
      <c r="B842" s="12"/>
      <c r="C842" s="12"/>
      <c r="D842" s="12"/>
      <c r="E842" s="12"/>
      <c r="F842" s="17" t="str">
        <f aca="false">IF(B842="","",TRIM(B842&amp;" "&amp;C842&amp;" "&amp;D842))</f>
        <v/>
      </c>
      <c r="G842" s="12"/>
      <c r="H842" s="12"/>
      <c r="I842" s="12"/>
      <c r="J842" s="17" t="str">
        <f aca="false">IF(I842="","",IF(COUNTIF(Emplacements!$A$2:$A$1001,I842)=0,"⚠ emplacement inconnu",IF(AND(H842&lt;&gt;"",LEFT(I842,1)&lt;&gt;H842),"⚠ mauvaise zone","OK")))</f>
        <v/>
      </c>
      <c r="K842" s="12"/>
      <c r="L842" s="12"/>
    </row>
    <row r="843" customFormat="false" ht="15" hidden="false" customHeight="false" outlineLevel="0" collapsed="false">
      <c r="A843" s="12"/>
      <c r="B843" s="12"/>
      <c r="C843" s="12"/>
      <c r="D843" s="12"/>
      <c r="E843" s="12"/>
      <c r="F843" s="17" t="str">
        <f aca="false">IF(B843="","",TRIM(B843&amp;" "&amp;C843&amp;" "&amp;D843))</f>
        <v/>
      </c>
      <c r="G843" s="12"/>
      <c r="H843" s="12"/>
      <c r="I843" s="12"/>
      <c r="J843" s="17" t="str">
        <f aca="false">IF(I843="","",IF(COUNTIF(Emplacements!$A$2:$A$1001,I843)=0,"⚠ emplacement inconnu",IF(AND(H843&lt;&gt;"",LEFT(I843,1)&lt;&gt;H843),"⚠ mauvaise zone","OK")))</f>
        <v/>
      </c>
      <c r="K843" s="12"/>
      <c r="L843" s="12"/>
    </row>
    <row r="844" customFormat="false" ht="15" hidden="false" customHeight="false" outlineLevel="0" collapsed="false">
      <c r="A844" s="12"/>
      <c r="B844" s="12"/>
      <c r="C844" s="12"/>
      <c r="D844" s="12"/>
      <c r="E844" s="12"/>
      <c r="F844" s="17" t="str">
        <f aca="false">IF(B844="","",TRIM(B844&amp;" "&amp;C844&amp;" "&amp;D844))</f>
        <v/>
      </c>
      <c r="G844" s="12"/>
      <c r="H844" s="12"/>
      <c r="I844" s="12"/>
      <c r="J844" s="17" t="str">
        <f aca="false">IF(I844="","",IF(COUNTIF(Emplacements!$A$2:$A$1001,I844)=0,"⚠ emplacement inconnu",IF(AND(H844&lt;&gt;"",LEFT(I844,1)&lt;&gt;H844),"⚠ mauvaise zone","OK")))</f>
        <v/>
      </c>
      <c r="K844" s="12"/>
      <c r="L844" s="12"/>
    </row>
    <row r="845" customFormat="false" ht="15" hidden="false" customHeight="false" outlineLevel="0" collapsed="false">
      <c r="A845" s="12"/>
      <c r="B845" s="12"/>
      <c r="C845" s="12"/>
      <c r="D845" s="12"/>
      <c r="E845" s="12"/>
      <c r="F845" s="17" t="str">
        <f aca="false">IF(B845="","",TRIM(B845&amp;" "&amp;C845&amp;" "&amp;D845))</f>
        <v/>
      </c>
      <c r="G845" s="12"/>
      <c r="H845" s="12"/>
      <c r="I845" s="12"/>
      <c r="J845" s="17" t="str">
        <f aca="false">IF(I845="","",IF(COUNTIF(Emplacements!$A$2:$A$1001,I845)=0,"⚠ emplacement inconnu",IF(AND(H845&lt;&gt;"",LEFT(I845,1)&lt;&gt;H845),"⚠ mauvaise zone","OK")))</f>
        <v/>
      </c>
      <c r="K845" s="12"/>
      <c r="L845" s="12"/>
    </row>
    <row r="846" customFormat="false" ht="15" hidden="false" customHeight="false" outlineLevel="0" collapsed="false">
      <c r="A846" s="12"/>
      <c r="B846" s="12"/>
      <c r="C846" s="12"/>
      <c r="D846" s="12"/>
      <c r="E846" s="12"/>
      <c r="F846" s="17" t="str">
        <f aca="false">IF(B846="","",TRIM(B846&amp;" "&amp;C846&amp;" "&amp;D846))</f>
        <v/>
      </c>
      <c r="G846" s="12"/>
      <c r="H846" s="12"/>
      <c r="I846" s="12"/>
      <c r="J846" s="17" t="str">
        <f aca="false">IF(I846="","",IF(COUNTIF(Emplacements!$A$2:$A$1001,I846)=0,"⚠ emplacement inconnu",IF(AND(H846&lt;&gt;"",LEFT(I846,1)&lt;&gt;H846),"⚠ mauvaise zone","OK")))</f>
        <v/>
      </c>
      <c r="K846" s="12"/>
      <c r="L846" s="12"/>
    </row>
    <row r="847" customFormat="false" ht="15" hidden="false" customHeight="false" outlineLevel="0" collapsed="false">
      <c r="A847" s="12"/>
      <c r="B847" s="12"/>
      <c r="C847" s="12"/>
      <c r="D847" s="12"/>
      <c r="E847" s="12"/>
      <c r="F847" s="17" t="str">
        <f aca="false">IF(B847="","",TRIM(B847&amp;" "&amp;C847&amp;" "&amp;D847))</f>
        <v/>
      </c>
      <c r="G847" s="12"/>
      <c r="H847" s="12"/>
      <c r="I847" s="12"/>
      <c r="J847" s="17" t="str">
        <f aca="false">IF(I847="","",IF(COUNTIF(Emplacements!$A$2:$A$1001,I847)=0,"⚠ emplacement inconnu",IF(AND(H847&lt;&gt;"",LEFT(I847,1)&lt;&gt;H847),"⚠ mauvaise zone","OK")))</f>
        <v/>
      </c>
      <c r="K847" s="12"/>
      <c r="L847" s="12"/>
    </row>
    <row r="848" customFormat="false" ht="15" hidden="false" customHeight="false" outlineLevel="0" collapsed="false">
      <c r="A848" s="12"/>
      <c r="B848" s="12"/>
      <c r="C848" s="12"/>
      <c r="D848" s="12"/>
      <c r="E848" s="12"/>
      <c r="F848" s="17" t="str">
        <f aca="false">IF(B848="","",TRIM(B848&amp;" "&amp;C848&amp;" "&amp;D848))</f>
        <v/>
      </c>
      <c r="G848" s="12"/>
      <c r="H848" s="12"/>
      <c r="I848" s="12"/>
      <c r="J848" s="17" t="str">
        <f aca="false">IF(I848="","",IF(COUNTIF(Emplacements!$A$2:$A$1001,I848)=0,"⚠ emplacement inconnu",IF(AND(H848&lt;&gt;"",LEFT(I848,1)&lt;&gt;H848),"⚠ mauvaise zone","OK")))</f>
        <v/>
      </c>
      <c r="K848" s="12"/>
      <c r="L848" s="12"/>
    </row>
    <row r="849" customFormat="false" ht="15" hidden="false" customHeight="false" outlineLevel="0" collapsed="false">
      <c r="A849" s="12"/>
      <c r="B849" s="12"/>
      <c r="C849" s="12"/>
      <c r="D849" s="12"/>
      <c r="E849" s="12"/>
      <c r="F849" s="17" t="str">
        <f aca="false">IF(B849="","",TRIM(B849&amp;" "&amp;C849&amp;" "&amp;D849))</f>
        <v/>
      </c>
      <c r="G849" s="12"/>
      <c r="H849" s="12"/>
      <c r="I849" s="12"/>
      <c r="J849" s="17" t="str">
        <f aca="false">IF(I849="","",IF(COUNTIF(Emplacements!$A$2:$A$1001,I849)=0,"⚠ emplacement inconnu",IF(AND(H849&lt;&gt;"",LEFT(I849,1)&lt;&gt;H849),"⚠ mauvaise zone","OK")))</f>
        <v/>
      </c>
      <c r="K849" s="12"/>
      <c r="L849" s="12"/>
    </row>
    <row r="850" customFormat="false" ht="15" hidden="false" customHeight="false" outlineLevel="0" collapsed="false">
      <c r="A850" s="12"/>
      <c r="B850" s="12"/>
      <c r="C850" s="12"/>
      <c r="D850" s="12"/>
      <c r="E850" s="12"/>
      <c r="F850" s="17" t="str">
        <f aca="false">IF(B850="","",TRIM(B850&amp;" "&amp;C850&amp;" "&amp;D850))</f>
        <v/>
      </c>
      <c r="G850" s="12"/>
      <c r="H850" s="12"/>
      <c r="I850" s="12"/>
      <c r="J850" s="17" t="str">
        <f aca="false">IF(I850="","",IF(COUNTIF(Emplacements!$A$2:$A$1001,I850)=0,"⚠ emplacement inconnu",IF(AND(H850&lt;&gt;"",LEFT(I850,1)&lt;&gt;H850),"⚠ mauvaise zone","OK")))</f>
        <v/>
      </c>
      <c r="K850" s="12"/>
      <c r="L850" s="12"/>
    </row>
    <row r="851" customFormat="false" ht="15" hidden="false" customHeight="false" outlineLevel="0" collapsed="false">
      <c r="A851" s="12"/>
      <c r="B851" s="12"/>
      <c r="C851" s="12"/>
      <c r="D851" s="12"/>
      <c r="E851" s="12"/>
      <c r="F851" s="17" t="str">
        <f aca="false">IF(B851="","",TRIM(B851&amp;" "&amp;C851&amp;" "&amp;D851))</f>
        <v/>
      </c>
      <c r="G851" s="12"/>
      <c r="H851" s="12"/>
      <c r="I851" s="12"/>
      <c r="J851" s="17" t="str">
        <f aca="false">IF(I851="","",IF(COUNTIF(Emplacements!$A$2:$A$1001,I851)=0,"⚠ emplacement inconnu",IF(AND(H851&lt;&gt;"",LEFT(I851,1)&lt;&gt;H851),"⚠ mauvaise zone","OK")))</f>
        <v/>
      </c>
      <c r="K851" s="12"/>
      <c r="L851" s="12"/>
    </row>
    <row r="852" customFormat="false" ht="15" hidden="false" customHeight="false" outlineLevel="0" collapsed="false">
      <c r="A852" s="12"/>
      <c r="B852" s="12"/>
      <c r="C852" s="12"/>
      <c r="D852" s="12"/>
      <c r="E852" s="12"/>
      <c r="F852" s="17" t="str">
        <f aca="false">IF(B852="","",TRIM(B852&amp;" "&amp;C852&amp;" "&amp;D852))</f>
        <v/>
      </c>
      <c r="G852" s="12"/>
      <c r="H852" s="12"/>
      <c r="I852" s="12"/>
      <c r="J852" s="17" t="str">
        <f aca="false">IF(I852="","",IF(COUNTIF(Emplacements!$A$2:$A$1001,I852)=0,"⚠ emplacement inconnu",IF(AND(H852&lt;&gt;"",LEFT(I852,1)&lt;&gt;H852),"⚠ mauvaise zone","OK")))</f>
        <v/>
      </c>
      <c r="K852" s="12"/>
      <c r="L852" s="12"/>
    </row>
    <row r="853" customFormat="false" ht="15" hidden="false" customHeight="false" outlineLevel="0" collapsed="false">
      <c r="A853" s="12"/>
      <c r="B853" s="12"/>
      <c r="C853" s="12"/>
      <c r="D853" s="12"/>
      <c r="E853" s="12"/>
      <c r="F853" s="17" t="str">
        <f aca="false">IF(B853="","",TRIM(B853&amp;" "&amp;C853&amp;" "&amp;D853))</f>
        <v/>
      </c>
      <c r="G853" s="12"/>
      <c r="H853" s="12"/>
      <c r="I853" s="12"/>
      <c r="J853" s="17" t="str">
        <f aca="false">IF(I853="","",IF(COUNTIF(Emplacements!$A$2:$A$1001,I853)=0,"⚠ emplacement inconnu",IF(AND(H853&lt;&gt;"",LEFT(I853,1)&lt;&gt;H853),"⚠ mauvaise zone","OK")))</f>
        <v/>
      </c>
      <c r="K853" s="12"/>
      <c r="L853" s="12"/>
    </row>
    <row r="854" customFormat="false" ht="15" hidden="false" customHeight="false" outlineLevel="0" collapsed="false">
      <c r="A854" s="12"/>
      <c r="B854" s="12"/>
      <c r="C854" s="12"/>
      <c r="D854" s="12"/>
      <c r="E854" s="12"/>
      <c r="F854" s="17" t="str">
        <f aca="false">IF(B854="","",TRIM(B854&amp;" "&amp;C854&amp;" "&amp;D854))</f>
        <v/>
      </c>
      <c r="G854" s="12"/>
      <c r="H854" s="12"/>
      <c r="I854" s="12"/>
      <c r="J854" s="17" t="str">
        <f aca="false">IF(I854="","",IF(COUNTIF(Emplacements!$A$2:$A$1001,I854)=0,"⚠ emplacement inconnu",IF(AND(H854&lt;&gt;"",LEFT(I854,1)&lt;&gt;H854),"⚠ mauvaise zone","OK")))</f>
        <v/>
      </c>
      <c r="K854" s="12"/>
      <c r="L854" s="12"/>
    </row>
    <row r="855" customFormat="false" ht="15" hidden="false" customHeight="false" outlineLevel="0" collapsed="false">
      <c r="A855" s="12"/>
      <c r="B855" s="12"/>
      <c r="C855" s="12"/>
      <c r="D855" s="12"/>
      <c r="E855" s="12"/>
      <c r="F855" s="17" t="str">
        <f aca="false">IF(B855="","",TRIM(B855&amp;" "&amp;C855&amp;" "&amp;D855))</f>
        <v/>
      </c>
      <c r="G855" s="12"/>
      <c r="H855" s="12"/>
      <c r="I855" s="12"/>
      <c r="J855" s="17" t="str">
        <f aca="false">IF(I855="","",IF(COUNTIF(Emplacements!$A$2:$A$1001,I855)=0,"⚠ emplacement inconnu",IF(AND(H855&lt;&gt;"",LEFT(I855,1)&lt;&gt;H855),"⚠ mauvaise zone","OK")))</f>
        <v/>
      </c>
      <c r="K855" s="12"/>
      <c r="L855" s="12"/>
    </row>
    <row r="856" customFormat="false" ht="15" hidden="false" customHeight="false" outlineLevel="0" collapsed="false">
      <c r="A856" s="12"/>
      <c r="B856" s="12"/>
      <c r="C856" s="12"/>
      <c r="D856" s="12"/>
      <c r="E856" s="12"/>
      <c r="F856" s="17" t="str">
        <f aca="false">IF(B856="","",TRIM(B856&amp;" "&amp;C856&amp;" "&amp;D856))</f>
        <v/>
      </c>
      <c r="G856" s="12"/>
      <c r="H856" s="12"/>
      <c r="I856" s="12"/>
      <c r="J856" s="17" t="str">
        <f aca="false">IF(I856="","",IF(COUNTIF(Emplacements!$A$2:$A$1001,I856)=0,"⚠ emplacement inconnu",IF(AND(H856&lt;&gt;"",LEFT(I856,1)&lt;&gt;H856),"⚠ mauvaise zone","OK")))</f>
        <v/>
      </c>
      <c r="K856" s="12"/>
      <c r="L856" s="12"/>
    </row>
    <row r="857" customFormat="false" ht="15" hidden="false" customHeight="false" outlineLevel="0" collapsed="false">
      <c r="A857" s="12"/>
      <c r="B857" s="12"/>
      <c r="C857" s="12"/>
      <c r="D857" s="12"/>
      <c r="E857" s="12"/>
      <c r="F857" s="17" t="str">
        <f aca="false">IF(B857="","",TRIM(B857&amp;" "&amp;C857&amp;" "&amp;D857))</f>
        <v/>
      </c>
      <c r="G857" s="12"/>
      <c r="H857" s="12"/>
      <c r="I857" s="12"/>
      <c r="J857" s="17" t="str">
        <f aca="false">IF(I857="","",IF(COUNTIF(Emplacements!$A$2:$A$1001,I857)=0,"⚠ emplacement inconnu",IF(AND(H857&lt;&gt;"",LEFT(I857,1)&lt;&gt;H857),"⚠ mauvaise zone","OK")))</f>
        <v/>
      </c>
      <c r="K857" s="12"/>
      <c r="L857" s="12"/>
    </row>
    <row r="858" customFormat="false" ht="15" hidden="false" customHeight="false" outlineLevel="0" collapsed="false">
      <c r="A858" s="12"/>
      <c r="B858" s="12"/>
      <c r="C858" s="12"/>
      <c r="D858" s="12"/>
      <c r="E858" s="12"/>
      <c r="F858" s="17" t="str">
        <f aca="false">IF(B858="","",TRIM(B858&amp;" "&amp;C858&amp;" "&amp;D858))</f>
        <v/>
      </c>
      <c r="G858" s="12"/>
      <c r="H858" s="12"/>
      <c r="I858" s="12"/>
      <c r="J858" s="17" t="str">
        <f aca="false">IF(I858="","",IF(COUNTIF(Emplacements!$A$2:$A$1001,I858)=0,"⚠ emplacement inconnu",IF(AND(H858&lt;&gt;"",LEFT(I858,1)&lt;&gt;H858),"⚠ mauvaise zone","OK")))</f>
        <v/>
      </c>
      <c r="K858" s="12"/>
      <c r="L858" s="12"/>
    </row>
    <row r="859" customFormat="false" ht="15" hidden="false" customHeight="false" outlineLevel="0" collapsed="false">
      <c r="A859" s="12"/>
      <c r="B859" s="12"/>
      <c r="C859" s="12"/>
      <c r="D859" s="12"/>
      <c r="E859" s="12"/>
      <c r="F859" s="17" t="str">
        <f aca="false">IF(B859="","",TRIM(B859&amp;" "&amp;C859&amp;" "&amp;D859))</f>
        <v/>
      </c>
      <c r="G859" s="12"/>
      <c r="H859" s="12"/>
      <c r="I859" s="12"/>
      <c r="J859" s="17" t="str">
        <f aca="false">IF(I859="","",IF(COUNTIF(Emplacements!$A$2:$A$1001,I859)=0,"⚠ emplacement inconnu",IF(AND(H859&lt;&gt;"",LEFT(I859,1)&lt;&gt;H859),"⚠ mauvaise zone","OK")))</f>
        <v/>
      </c>
      <c r="K859" s="12"/>
      <c r="L859" s="12"/>
    </row>
    <row r="860" customFormat="false" ht="15" hidden="false" customHeight="false" outlineLevel="0" collapsed="false">
      <c r="A860" s="12"/>
      <c r="B860" s="12"/>
      <c r="C860" s="12"/>
      <c r="D860" s="12"/>
      <c r="E860" s="12"/>
      <c r="F860" s="17" t="str">
        <f aca="false">IF(B860="","",TRIM(B860&amp;" "&amp;C860&amp;" "&amp;D860))</f>
        <v/>
      </c>
      <c r="G860" s="12"/>
      <c r="H860" s="12"/>
      <c r="I860" s="12"/>
      <c r="J860" s="17" t="str">
        <f aca="false">IF(I860="","",IF(COUNTIF(Emplacements!$A$2:$A$1001,I860)=0,"⚠ emplacement inconnu",IF(AND(H860&lt;&gt;"",LEFT(I860,1)&lt;&gt;H860),"⚠ mauvaise zone","OK")))</f>
        <v/>
      </c>
      <c r="K860" s="12"/>
      <c r="L860" s="12"/>
    </row>
    <row r="861" customFormat="false" ht="15" hidden="false" customHeight="false" outlineLevel="0" collapsed="false">
      <c r="A861" s="12"/>
      <c r="B861" s="12"/>
      <c r="C861" s="12"/>
      <c r="D861" s="12"/>
      <c r="E861" s="12"/>
      <c r="F861" s="17" t="str">
        <f aca="false">IF(B861="","",TRIM(B861&amp;" "&amp;C861&amp;" "&amp;D861))</f>
        <v/>
      </c>
      <c r="G861" s="12"/>
      <c r="H861" s="12"/>
      <c r="I861" s="12"/>
      <c r="J861" s="17" t="str">
        <f aca="false">IF(I861="","",IF(COUNTIF(Emplacements!$A$2:$A$1001,I861)=0,"⚠ emplacement inconnu",IF(AND(H861&lt;&gt;"",LEFT(I861,1)&lt;&gt;H861),"⚠ mauvaise zone","OK")))</f>
        <v/>
      </c>
      <c r="K861" s="12"/>
      <c r="L861" s="12"/>
    </row>
    <row r="862" customFormat="false" ht="15" hidden="false" customHeight="false" outlineLevel="0" collapsed="false">
      <c r="A862" s="12"/>
      <c r="B862" s="12"/>
      <c r="C862" s="12"/>
      <c r="D862" s="12"/>
      <c r="E862" s="12"/>
      <c r="F862" s="17" t="str">
        <f aca="false">IF(B862="","",TRIM(B862&amp;" "&amp;C862&amp;" "&amp;D862))</f>
        <v/>
      </c>
      <c r="G862" s="12"/>
      <c r="H862" s="12"/>
      <c r="I862" s="12"/>
      <c r="J862" s="17" t="str">
        <f aca="false">IF(I862="","",IF(COUNTIF(Emplacements!$A$2:$A$1001,I862)=0,"⚠ emplacement inconnu",IF(AND(H862&lt;&gt;"",LEFT(I862,1)&lt;&gt;H862),"⚠ mauvaise zone","OK")))</f>
        <v/>
      </c>
      <c r="K862" s="12"/>
      <c r="L862" s="12"/>
    </row>
    <row r="863" customFormat="false" ht="15" hidden="false" customHeight="false" outlineLevel="0" collapsed="false">
      <c r="A863" s="12"/>
      <c r="B863" s="12"/>
      <c r="C863" s="12"/>
      <c r="D863" s="12"/>
      <c r="E863" s="12"/>
      <c r="F863" s="17" t="str">
        <f aca="false">IF(B863="","",TRIM(B863&amp;" "&amp;C863&amp;" "&amp;D863))</f>
        <v/>
      </c>
      <c r="G863" s="12"/>
      <c r="H863" s="12"/>
      <c r="I863" s="12"/>
      <c r="J863" s="17" t="str">
        <f aca="false">IF(I863="","",IF(COUNTIF(Emplacements!$A$2:$A$1001,I863)=0,"⚠ emplacement inconnu",IF(AND(H863&lt;&gt;"",LEFT(I863,1)&lt;&gt;H863),"⚠ mauvaise zone","OK")))</f>
        <v/>
      </c>
      <c r="K863" s="12"/>
      <c r="L863" s="12"/>
    </row>
    <row r="864" customFormat="false" ht="15" hidden="false" customHeight="false" outlineLevel="0" collapsed="false">
      <c r="A864" s="12"/>
      <c r="B864" s="12"/>
      <c r="C864" s="12"/>
      <c r="D864" s="12"/>
      <c r="E864" s="12"/>
      <c r="F864" s="17" t="str">
        <f aca="false">IF(B864="","",TRIM(B864&amp;" "&amp;C864&amp;" "&amp;D864))</f>
        <v/>
      </c>
      <c r="G864" s="12"/>
      <c r="H864" s="12"/>
      <c r="I864" s="12"/>
      <c r="J864" s="17" t="str">
        <f aca="false">IF(I864="","",IF(COUNTIF(Emplacements!$A$2:$A$1001,I864)=0,"⚠ emplacement inconnu",IF(AND(H864&lt;&gt;"",LEFT(I864,1)&lt;&gt;H864),"⚠ mauvaise zone","OK")))</f>
        <v/>
      </c>
      <c r="K864" s="12"/>
      <c r="L864" s="12"/>
    </row>
    <row r="865" customFormat="false" ht="15" hidden="false" customHeight="false" outlineLevel="0" collapsed="false">
      <c r="A865" s="12"/>
      <c r="B865" s="12"/>
      <c r="C865" s="12"/>
      <c r="D865" s="12"/>
      <c r="E865" s="12"/>
      <c r="F865" s="17" t="str">
        <f aca="false">IF(B865="","",TRIM(B865&amp;" "&amp;C865&amp;" "&amp;D865))</f>
        <v/>
      </c>
      <c r="G865" s="12"/>
      <c r="H865" s="12"/>
      <c r="I865" s="12"/>
      <c r="J865" s="17" t="str">
        <f aca="false">IF(I865="","",IF(COUNTIF(Emplacements!$A$2:$A$1001,I865)=0,"⚠ emplacement inconnu",IF(AND(H865&lt;&gt;"",LEFT(I865,1)&lt;&gt;H865),"⚠ mauvaise zone","OK")))</f>
        <v/>
      </c>
      <c r="K865" s="12"/>
      <c r="L865" s="12"/>
    </row>
    <row r="866" customFormat="false" ht="15" hidden="false" customHeight="false" outlineLevel="0" collapsed="false">
      <c r="A866" s="12"/>
      <c r="B866" s="12"/>
      <c r="C866" s="12"/>
      <c r="D866" s="12"/>
      <c r="E866" s="12"/>
      <c r="F866" s="17" t="str">
        <f aca="false">IF(B866="","",TRIM(B866&amp;" "&amp;C866&amp;" "&amp;D866))</f>
        <v/>
      </c>
      <c r="G866" s="12"/>
      <c r="H866" s="12"/>
      <c r="I866" s="12"/>
      <c r="J866" s="17" t="str">
        <f aca="false">IF(I866="","",IF(COUNTIF(Emplacements!$A$2:$A$1001,I866)=0,"⚠ emplacement inconnu",IF(AND(H866&lt;&gt;"",LEFT(I866,1)&lt;&gt;H866),"⚠ mauvaise zone","OK")))</f>
        <v/>
      </c>
      <c r="K866" s="12"/>
      <c r="L866" s="12"/>
    </row>
    <row r="867" customFormat="false" ht="15" hidden="false" customHeight="false" outlineLevel="0" collapsed="false">
      <c r="A867" s="12"/>
      <c r="B867" s="12"/>
      <c r="C867" s="12"/>
      <c r="D867" s="12"/>
      <c r="E867" s="12"/>
      <c r="F867" s="17" t="str">
        <f aca="false">IF(B867="","",TRIM(B867&amp;" "&amp;C867&amp;" "&amp;D867))</f>
        <v/>
      </c>
      <c r="G867" s="12"/>
      <c r="H867" s="12"/>
      <c r="I867" s="12"/>
      <c r="J867" s="17" t="str">
        <f aca="false">IF(I867="","",IF(COUNTIF(Emplacements!$A$2:$A$1001,I867)=0,"⚠ emplacement inconnu",IF(AND(H867&lt;&gt;"",LEFT(I867,1)&lt;&gt;H867),"⚠ mauvaise zone","OK")))</f>
        <v/>
      </c>
      <c r="K867" s="12"/>
      <c r="L867" s="12"/>
    </row>
    <row r="868" customFormat="false" ht="15" hidden="false" customHeight="false" outlineLevel="0" collapsed="false">
      <c r="A868" s="12"/>
      <c r="B868" s="12"/>
      <c r="C868" s="12"/>
      <c r="D868" s="12"/>
      <c r="E868" s="12"/>
      <c r="F868" s="17" t="str">
        <f aca="false">IF(B868="","",TRIM(B868&amp;" "&amp;C868&amp;" "&amp;D868))</f>
        <v/>
      </c>
      <c r="G868" s="12"/>
      <c r="H868" s="12"/>
      <c r="I868" s="12"/>
      <c r="J868" s="17" t="str">
        <f aca="false">IF(I868="","",IF(COUNTIF(Emplacements!$A$2:$A$1001,I868)=0,"⚠ emplacement inconnu",IF(AND(H868&lt;&gt;"",LEFT(I868,1)&lt;&gt;H868),"⚠ mauvaise zone","OK")))</f>
        <v/>
      </c>
      <c r="K868" s="12"/>
      <c r="L868" s="12"/>
    </row>
    <row r="869" customFormat="false" ht="15" hidden="false" customHeight="false" outlineLevel="0" collapsed="false">
      <c r="A869" s="12"/>
      <c r="B869" s="12"/>
      <c r="C869" s="12"/>
      <c r="D869" s="12"/>
      <c r="E869" s="12"/>
      <c r="F869" s="17" t="str">
        <f aca="false">IF(B869="","",TRIM(B869&amp;" "&amp;C869&amp;" "&amp;D869))</f>
        <v/>
      </c>
      <c r="G869" s="12"/>
      <c r="H869" s="12"/>
      <c r="I869" s="12"/>
      <c r="J869" s="17" t="str">
        <f aca="false">IF(I869="","",IF(COUNTIF(Emplacements!$A$2:$A$1001,I869)=0,"⚠ emplacement inconnu",IF(AND(H869&lt;&gt;"",LEFT(I869,1)&lt;&gt;H869),"⚠ mauvaise zone","OK")))</f>
        <v/>
      </c>
      <c r="K869" s="12"/>
      <c r="L869" s="12"/>
    </row>
    <row r="870" customFormat="false" ht="15" hidden="false" customHeight="false" outlineLevel="0" collapsed="false">
      <c r="A870" s="12"/>
      <c r="B870" s="12"/>
      <c r="C870" s="12"/>
      <c r="D870" s="12"/>
      <c r="E870" s="12"/>
      <c r="F870" s="17" t="str">
        <f aca="false">IF(B870="","",TRIM(B870&amp;" "&amp;C870&amp;" "&amp;D870))</f>
        <v/>
      </c>
      <c r="G870" s="12"/>
      <c r="H870" s="12"/>
      <c r="I870" s="12"/>
      <c r="J870" s="17" t="str">
        <f aca="false">IF(I870="","",IF(COUNTIF(Emplacements!$A$2:$A$1001,I870)=0,"⚠ emplacement inconnu",IF(AND(H870&lt;&gt;"",LEFT(I870,1)&lt;&gt;H870),"⚠ mauvaise zone","OK")))</f>
        <v/>
      </c>
      <c r="K870" s="12"/>
      <c r="L870" s="12"/>
    </row>
    <row r="871" customFormat="false" ht="15" hidden="false" customHeight="false" outlineLevel="0" collapsed="false">
      <c r="A871" s="12"/>
      <c r="B871" s="12"/>
      <c r="C871" s="12"/>
      <c r="D871" s="12"/>
      <c r="E871" s="12"/>
      <c r="F871" s="17" t="str">
        <f aca="false">IF(B871="","",TRIM(B871&amp;" "&amp;C871&amp;" "&amp;D871))</f>
        <v/>
      </c>
      <c r="G871" s="12"/>
      <c r="H871" s="12"/>
      <c r="I871" s="12"/>
      <c r="J871" s="17" t="str">
        <f aca="false">IF(I871="","",IF(COUNTIF(Emplacements!$A$2:$A$1001,I871)=0,"⚠ emplacement inconnu",IF(AND(H871&lt;&gt;"",LEFT(I871,1)&lt;&gt;H871),"⚠ mauvaise zone","OK")))</f>
        <v/>
      </c>
      <c r="K871" s="12"/>
      <c r="L871" s="12"/>
    </row>
    <row r="872" customFormat="false" ht="15" hidden="false" customHeight="false" outlineLevel="0" collapsed="false">
      <c r="A872" s="12"/>
      <c r="B872" s="12"/>
      <c r="C872" s="12"/>
      <c r="D872" s="12"/>
      <c r="E872" s="12"/>
      <c r="F872" s="17" t="str">
        <f aca="false">IF(B872="","",TRIM(B872&amp;" "&amp;C872&amp;" "&amp;D872))</f>
        <v/>
      </c>
      <c r="G872" s="12"/>
      <c r="H872" s="12"/>
      <c r="I872" s="12"/>
      <c r="J872" s="17" t="str">
        <f aca="false">IF(I872="","",IF(COUNTIF(Emplacements!$A$2:$A$1001,I872)=0,"⚠ emplacement inconnu",IF(AND(H872&lt;&gt;"",LEFT(I872,1)&lt;&gt;H872),"⚠ mauvaise zone","OK")))</f>
        <v/>
      </c>
      <c r="K872" s="12"/>
      <c r="L872" s="12"/>
    </row>
    <row r="873" customFormat="false" ht="15" hidden="false" customHeight="false" outlineLevel="0" collapsed="false">
      <c r="A873" s="12"/>
      <c r="B873" s="12"/>
      <c r="C873" s="12"/>
      <c r="D873" s="12"/>
      <c r="E873" s="12"/>
      <c r="F873" s="17" t="str">
        <f aca="false">IF(B873="","",TRIM(B873&amp;" "&amp;C873&amp;" "&amp;D873))</f>
        <v/>
      </c>
      <c r="G873" s="12"/>
      <c r="H873" s="12"/>
      <c r="I873" s="12"/>
      <c r="J873" s="17" t="str">
        <f aca="false">IF(I873="","",IF(COUNTIF(Emplacements!$A$2:$A$1001,I873)=0,"⚠ emplacement inconnu",IF(AND(H873&lt;&gt;"",LEFT(I873,1)&lt;&gt;H873),"⚠ mauvaise zone","OK")))</f>
        <v/>
      </c>
      <c r="K873" s="12"/>
      <c r="L873" s="12"/>
    </row>
    <row r="874" customFormat="false" ht="15" hidden="false" customHeight="false" outlineLevel="0" collapsed="false">
      <c r="A874" s="12"/>
      <c r="B874" s="12"/>
      <c r="C874" s="12"/>
      <c r="D874" s="12"/>
      <c r="E874" s="12"/>
      <c r="F874" s="17" t="str">
        <f aca="false">IF(B874="","",TRIM(B874&amp;" "&amp;C874&amp;" "&amp;D874))</f>
        <v/>
      </c>
      <c r="G874" s="12"/>
      <c r="H874" s="12"/>
      <c r="I874" s="12"/>
      <c r="J874" s="17" t="str">
        <f aca="false">IF(I874="","",IF(COUNTIF(Emplacements!$A$2:$A$1001,I874)=0,"⚠ emplacement inconnu",IF(AND(H874&lt;&gt;"",LEFT(I874,1)&lt;&gt;H874),"⚠ mauvaise zone","OK")))</f>
        <v/>
      </c>
      <c r="K874" s="12"/>
      <c r="L874" s="12"/>
    </row>
    <row r="875" customFormat="false" ht="15" hidden="false" customHeight="false" outlineLevel="0" collapsed="false">
      <c r="A875" s="12"/>
      <c r="B875" s="12"/>
      <c r="C875" s="12"/>
      <c r="D875" s="12"/>
      <c r="E875" s="12"/>
      <c r="F875" s="17" t="str">
        <f aca="false">IF(B875="","",TRIM(B875&amp;" "&amp;C875&amp;" "&amp;D875))</f>
        <v/>
      </c>
      <c r="G875" s="12"/>
      <c r="H875" s="12"/>
      <c r="I875" s="12"/>
      <c r="J875" s="17" t="str">
        <f aca="false">IF(I875="","",IF(COUNTIF(Emplacements!$A$2:$A$1001,I875)=0,"⚠ emplacement inconnu",IF(AND(H875&lt;&gt;"",LEFT(I875,1)&lt;&gt;H875),"⚠ mauvaise zone","OK")))</f>
        <v/>
      </c>
      <c r="K875" s="12"/>
      <c r="L875" s="12"/>
    </row>
    <row r="876" customFormat="false" ht="15" hidden="false" customHeight="false" outlineLevel="0" collapsed="false">
      <c r="A876" s="12"/>
      <c r="B876" s="12"/>
      <c r="C876" s="12"/>
      <c r="D876" s="12"/>
      <c r="E876" s="12"/>
      <c r="F876" s="17" t="str">
        <f aca="false">IF(B876="","",TRIM(B876&amp;" "&amp;C876&amp;" "&amp;D876))</f>
        <v/>
      </c>
      <c r="G876" s="12"/>
      <c r="H876" s="12"/>
      <c r="I876" s="12"/>
      <c r="J876" s="17" t="str">
        <f aca="false">IF(I876="","",IF(COUNTIF(Emplacements!$A$2:$A$1001,I876)=0,"⚠ emplacement inconnu",IF(AND(H876&lt;&gt;"",LEFT(I876,1)&lt;&gt;H876),"⚠ mauvaise zone","OK")))</f>
        <v/>
      </c>
      <c r="K876" s="12"/>
      <c r="L876" s="12"/>
    </row>
    <row r="877" customFormat="false" ht="15" hidden="false" customHeight="false" outlineLevel="0" collapsed="false">
      <c r="A877" s="12"/>
      <c r="B877" s="12"/>
      <c r="C877" s="12"/>
      <c r="D877" s="12"/>
      <c r="E877" s="12"/>
      <c r="F877" s="17" t="str">
        <f aca="false">IF(B877="","",TRIM(B877&amp;" "&amp;C877&amp;" "&amp;D877))</f>
        <v/>
      </c>
      <c r="G877" s="12"/>
      <c r="H877" s="12"/>
      <c r="I877" s="12"/>
      <c r="J877" s="17" t="str">
        <f aca="false">IF(I877="","",IF(COUNTIF(Emplacements!$A$2:$A$1001,I877)=0,"⚠ emplacement inconnu",IF(AND(H877&lt;&gt;"",LEFT(I877,1)&lt;&gt;H877),"⚠ mauvaise zone","OK")))</f>
        <v/>
      </c>
      <c r="K877" s="12"/>
      <c r="L877" s="12"/>
    </row>
    <row r="878" customFormat="false" ht="15" hidden="false" customHeight="false" outlineLevel="0" collapsed="false">
      <c r="A878" s="12"/>
      <c r="B878" s="12"/>
      <c r="C878" s="12"/>
      <c r="D878" s="12"/>
      <c r="E878" s="12"/>
      <c r="F878" s="17" t="str">
        <f aca="false">IF(B878="","",TRIM(B878&amp;" "&amp;C878&amp;" "&amp;D878))</f>
        <v/>
      </c>
      <c r="G878" s="12"/>
      <c r="H878" s="12"/>
      <c r="I878" s="12"/>
      <c r="J878" s="17" t="str">
        <f aca="false">IF(I878="","",IF(COUNTIF(Emplacements!$A$2:$A$1001,I878)=0,"⚠ emplacement inconnu",IF(AND(H878&lt;&gt;"",LEFT(I878,1)&lt;&gt;H878),"⚠ mauvaise zone","OK")))</f>
        <v/>
      </c>
      <c r="K878" s="12"/>
      <c r="L878" s="12"/>
    </row>
    <row r="879" customFormat="false" ht="15" hidden="false" customHeight="false" outlineLevel="0" collapsed="false">
      <c r="A879" s="12"/>
      <c r="B879" s="12"/>
      <c r="C879" s="12"/>
      <c r="D879" s="12"/>
      <c r="E879" s="12"/>
      <c r="F879" s="17" t="str">
        <f aca="false">IF(B879="","",TRIM(B879&amp;" "&amp;C879&amp;" "&amp;D879))</f>
        <v/>
      </c>
      <c r="G879" s="12"/>
      <c r="H879" s="12"/>
      <c r="I879" s="12"/>
      <c r="J879" s="17" t="str">
        <f aca="false">IF(I879="","",IF(COUNTIF(Emplacements!$A$2:$A$1001,I879)=0,"⚠ emplacement inconnu",IF(AND(H879&lt;&gt;"",LEFT(I879,1)&lt;&gt;H879),"⚠ mauvaise zone","OK")))</f>
        <v/>
      </c>
      <c r="K879" s="12"/>
      <c r="L879" s="12"/>
    </row>
    <row r="880" customFormat="false" ht="15" hidden="false" customHeight="false" outlineLevel="0" collapsed="false">
      <c r="A880" s="12"/>
      <c r="B880" s="12"/>
      <c r="C880" s="12"/>
      <c r="D880" s="12"/>
      <c r="E880" s="12"/>
      <c r="F880" s="17" t="str">
        <f aca="false">IF(B880="","",TRIM(B880&amp;" "&amp;C880&amp;" "&amp;D880))</f>
        <v/>
      </c>
      <c r="G880" s="12"/>
      <c r="H880" s="12"/>
      <c r="I880" s="12"/>
      <c r="J880" s="17" t="str">
        <f aca="false">IF(I880="","",IF(COUNTIF(Emplacements!$A$2:$A$1001,I880)=0,"⚠ emplacement inconnu",IF(AND(H880&lt;&gt;"",LEFT(I880,1)&lt;&gt;H880),"⚠ mauvaise zone","OK")))</f>
        <v/>
      </c>
      <c r="K880" s="12"/>
      <c r="L880" s="12"/>
    </row>
    <row r="881" customFormat="false" ht="15" hidden="false" customHeight="false" outlineLevel="0" collapsed="false">
      <c r="A881" s="12"/>
      <c r="B881" s="12"/>
      <c r="C881" s="12"/>
      <c r="D881" s="12"/>
      <c r="E881" s="12"/>
      <c r="F881" s="17" t="str">
        <f aca="false">IF(B881="","",TRIM(B881&amp;" "&amp;C881&amp;" "&amp;D881))</f>
        <v/>
      </c>
      <c r="G881" s="12"/>
      <c r="H881" s="12"/>
      <c r="I881" s="12"/>
      <c r="J881" s="17" t="str">
        <f aca="false">IF(I881="","",IF(COUNTIF(Emplacements!$A$2:$A$1001,I881)=0,"⚠ emplacement inconnu",IF(AND(H881&lt;&gt;"",LEFT(I881,1)&lt;&gt;H881),"⚠ mauvaise zone","OK")))</f>
        <v/>
      </c>
      <c r="K881" s="12"/>
      <c r="L881" s="12"/>
    </row>
    <row r="882" customFormat="false" ht="15" hidden="false" customHeight="false" outlineLevel="0" collapsed="false">
      <c r="A882" s="12"/>
      <c r="B882" s="12"/>
      <c r="C882" s="12"/>
      <c r="D882" s="12"/>
      <c r="E882" s="12"/>
      <c r="F882" s="17" t="str">
        <f aca="false">IF(B882="","",TRIM(B882&amp;" "&amp;C882&amp;" "&amp;D882))</f>
        <v/>
      </c>
      <c r="G882" s="12"/>
      <c r="H882" s="12"/>
      <c r="I882" s="12"/>
      <c r="J882" s="17" t="str">
        <f aca="false">IF(I882="","",IF(COUNTIF(Emplacements!$A$2:$A$1001,I882)=0,"⚠ emplacement inconnu",IF(AND(H882&lt;&gt;"",LEFT(I882,1)&lt;&gt;H882),"⚠ mauvaise zone","OK")))</f>
        <v/>
      </c>
      <c r="K882" s="12"/>
      <c r="L882" s="12"/>
    </row>
    <row r="883" customFormat="false" ht="15" hidden="false" customHeight="false" outlineLevel="0" collapsed="false">
      <c r="A883" s="12"/>
      <c r="B883" s="12"/>
      <c r="C883" s="12"/>
      <c r="D883" s="12"/>
      <c r="E883" s="12"/>
      <c r="F883" s="17" t="str">
        <f aca="false">IF(B883="","",TRIM(B883&amp;" "&amp;C883&amp;" "&amp;D883))</f>
        <v/>
      </c>
      <c r="G883" s="12"/>
      <c r="H883" s="12"/>
      <c r="I883" s="12"/>
      <c r="J883" s="17" t="str">
        <f aca="false">IF(I883="","",IF(COUNTIF(Emplacements!$A$2:$A$1001,I883)=0,"⚠ emplacement inconnu",IF(AND(H883&lt;&gt;"",LEFT(I883,1)&lt;&gt;H883),"⚠ mauvaise zone","OK")))</f>
        <v/>
      </c>
      <c r="K883" s="12"/>
      <c r="L883" s="12"/>
    </row>
    <row r="884" customFormat="false" ht="15" hidden="false" customHeight="false" outlineLevel="0" collapsed="false">
      <c r="A884" s="12"/>
      <c r="B884" s="12"/>
      <c r="C884" s="12"/>
      <c r="D884" s="12"/>
      <c r="E884" s="12"/>
      <c r="F884" s="17" t="str">
        <f aca="false">IF(B884="","",TRIM(B884&amp;" "&amp;C884&amp;" "&amp;D884))</f>
        <v/>
      </c>
      <c r="G884" s="12"/>
      <c r="H884" s="12"/>
      <c r="I884" s="12"/>
      <c r="J884" s="17" t="str">
        <f aca="false">IF(I884="","",IF(COUNTIF(Emplacements!$A$2:$A$1001,I884)=0,"⚠ emplacement inconnu",IF(AND(H884&lt;&gt;"",LEFT(I884,1)&lt;&gt;H884),"⚠ mauvaise zone","OK")))</f>
        <v/>
      </c>
      <c r="K884" s="12"/>
      <c r="L884" s="12"/>
    </row>
    <row r="885" customFormat="false" ht="15" hidden="false" customHeight="false" outlineLevel="0" collapsed="false">
      <c r="A885" s="12"/>
      <c r="B885" s="12"/>
      <c r="C885" s="12"/>
      <c r="D885" s="12"/>
      <c r="E885" s="12"/>
      <c r="F885" s="17" t="str">
        <f aca="false">IF(B885="","",TRIM(B885&amp;" "&amp;C885&amp;" "&amp;D885))</f>
        <v/>
      </c>
      <c r="G885" s="12"/>
      <c r="H885" s="12"/>
      <c r="I885" s="12"/>
      <c r="J885" s="17" t="str">
        <f aca="false">IF(I885="","",IF(COUNTIF(Emplacements!$A$2:$A$1001,I885)=0,"⚠ emplacement inconnu",IF(AND(H885&lt;&gt;"",LEFT(I885,1)&lt;&gt;H885),"⚠ mauvaise zone","OK")))</f>
        <v/>
      </c>
      <c r="K885" s="12"/>
      <c r="L885" s="12"/>
    </row>
    <row r="886" customFormat="false" ht="15" hidden="false" customHeight="false" outlineLevel="0" collapsed="false">
      <c r="A886" s="12"/>
      <c r="B886" s="12"/>
      <c r="C886" s="12"/>
      <c r="D886" s="12"/>
      <c r="E886" s="12"/>
      <c r="F886" s="17" t="str">
        <f aca="false">IF(B886="","",TRIM(B886&amp;" "&amp;C886&amp;" "&amp;D886))</f>
        <v/>
      </c>
      <c r="G886" s="12"/>
      <c r="H886" s="12"/>
      <c r="I886" s="12"/>
      <c r="J886" s="17" t="str">
        <f aca="false">IF(I886="","",IF(COUNTIF(Emplacements!$A$2:$A$1001,I886)=0,"⚠ emplacement inconnu",IF(AND(H886&lt;&gt;"",LEFT(I886,1)&lt;&gt;H886),"⚠ mauvaise zone","OK")))</f>
        <v/>
      </c>
      <c r="K886" s="12"/>
      <c r="L886" s="12"/>
    </row>
    <row r="887" customFormat="false" ht="15" hidden="false" customHeight="false" outlineLevel="0" collapsed="false">
      <c r="A887" s="12"/>
      <c r="B887" s="12"/>
      <c r="C887" s="12"/>
      <c r="D887" s="12"/>
      <c r="E887" s="12"/>
      <c r="F887" s="17" t="str">
        <f aca="false">IF(B887="","",TRIM(B887&amp;" "&amp;C887&amp;" "&amp;D887))</f>
        <v/>
      </c>
      <c r="G887" s="12"/>
      <c r="H887" s="12"/>
      <c r="I887" s="12"/>
      <c r="J887" s="17" t="str">
        <f aca="false">IF(I887="","",IF(COUNTIF(Emplacements!$A$2:$A$1001,I887)=0,"⚠ emplacement inconnu",IF(AND(H887&lt;&gt;"",LEFT(I887,1)&lt;&gt;H887),"⚠ mauvaise zone","OK")))</f>
        <v/>
      </c>
      <c r="K887" s="12"/>
      <c r="L887" s="12"/>
    </row>
    <row r="888" customFormat="false" ht="15" hidden="false" customHeight="false" outlineLevel="0" collapsed="false">
      <c r="A888" s="12"/>
      <c r="B888" s="12"/>
      <c r="C888" s="12"/>
      <c r="D888" s="12"/>
      <c r="E888" s="12"/>
      <c r="F888" s="17" t="str">
        <f aca="false">IF(B888="","",TRIM(B888&amp;" "&amp;C888&amp;" "&amp;D888))</f>
        <v/>
      </c>
      <c r="G888" s="12"/>
      <c r="H888" s="12"/>
      <c r="I888" s="12"/>
      <c r="J888" s="17" t="str">
        <f aca="false">IF(I888="","",IF(COUNTIF(Emplacements!$A$2:$A$1001,I888)=0,"⚠ emplacement inconnu",IF(AND(H888&lt;&gt;"",LEFT(I888,1)&lt;&gt;H888),"⚠ mauvaise zone","OK")))</f>
        <v/>
      </c>
      <c r="K888" s="12"/>
      <c r="L888" s="12"/>
    </row>
    <row r="889" customFormat="false" ht="15" hidden="false" customHeight="false" outlineLevel="0" collapsed="false">
      <c r="A889" s="12"/>
      <c r="B889" s="12"/>
      <c r="C889" s="12"/>
      <c r="D889" s="12"/>
      <c r="E889" s="12"/>
      <c r="F889" s="17" t="str">
        <f aca="false">IF(B889="","",TRIM(B889&amp;" "&amp;C889&amp;" "&amp;D889))</f>
        <v/>
      </c>
      <c r="G889" s="12"/>
      <c r="H889" s="12"/>
      <c r="I889" s="12"/>
      <c r="J889" s="17" t="str">
        <f aca="false">IF(I889="","",IF(COUNTIF(Emplacements!$A$2:$A$1001,I889)=0,"⚠ emplacement inconnu",IF(AND(H889&lt;&gt;"",LEFT(I889,1)&lt;&gt;H889),"⚠ mauvaise zone","OK")))</f>
        <v/>
      </c>
      <c r="K889" s="12"/>
      <c r="L889" s="12"/>
    </row>
    <row r="890" customFormat="false" ht="15" hidden="false" customHeight="false" outlineLevel="0" collapsed="false">
      <c r="A890" s="12"/>
      <c r="B890" s="12"/>
      <c r="C890" s="12"/>
      <c r="D890" s="12"/>
      <c r="E890" s="12"/>
      <c r="F890" s="17" t="str">
        <f aca="false">IF(B890="","",TRIM(B890&amp;" "&amp;C890&amp;" "&amp;D890))</f>
        <v/>
      </c>
      <c r="G890" s="12"/>
      <c r="H890" s="12"/>
      <c r="I890" s="12"/>
      <c r="J890" s="17" t="str">
        <f aca="false">IF(I890="","",IF(COUNTIF(Emplacements!$A$2:$A$1001,I890)=0,"⚠ emplacement inconnu",IF(AND(H890&lt;&gt;"",LEFT(I890,1)&lt;&gt;H890),"⚠ mauvaise zone","OK")))</f>
        <v/>
      </c>
      <c r="K890" s="12"/>
      <c r="L890" s="12"/>
    </row>
    <row r="891" customFormat="false" ht="15" hidden="false" customHeight="false" outlineLevel="0" collapsed="false">
      <c r="A891" s="12"/>
      <c r="B891" s="12"/>
      <c r="C891" s="12"/>
      <c r="D891" s="12"/>
      <c r="E891" s="12"/>
      <c r="F891" s="17" t="str">
        <f aca="false">IF(B891="","",TRIM(B891&amp;" "&amp;C891&amp;" "&amp;D891))</f>
        <v/>
      </c>
      <c r="G891" s="12"/>
      <c r="H891" s="12"/>
      <c r="I891" s="12"/>
      <c r="J891" s="17" t="str">
        <f aca="false">IF(I891="","",IF(COUNTIF(Emplacements!$A$2:$A$1001,I891)=0,"⚠ emplacement inconnu",IF(AND(H891&lt;&gt;"",LEFT(I891,1)&lt;&gt;H891),"⚠ mauvaise zone","OK")))</f>
        <v/>
      </c>
      <c r="K891" s="12"/>
      <c r="L891" s="12"/>
    </row>
    <row r="892" customFormat="false" ht="15" hidden="false" customHeight="false" outlineLevel="0" collapsed="false">
      <c r="A892" s="12"/>
      <c r="B892" s="12"/>
      <c r="C892" s="12"/>
      <c r="D892" s="12"/>
      <c r="E892" s="12"/>
      <c r="F892" s="17" t="str">
        <f aca="false">IF(B892="","",TRIM(B892&amp;" "&amp;C892&amp;" "&amp;D892))</f>
        <v/>
      </c>
      <c r="G892" s="12"/>
      <c r="H892" s="12"/>
      <c r="I892" s="12"/>
      <c r="J892" s="17" t="str">
        <f aca="false">IF(I892="","",IF(COUNTIF(Emplacements!$A$2:$A$1001,I892)=0,"⚠ emplacement inconnu",IF(AND(H892&lt;&gt;"",LEFT(I892,1)&lt;&gt;H892),"⚠ mauvaise zone","OK")))</f>
        <v/>
      </c>
      <c r="K892" s="12"/>
      <c r="L892" s="12"/>
    </row>
    <row r="893" customFormat="false" ht="15" hidden="false" customHeight="false" outlineLevel="0" collapsed="false">
      <c r="A893" s="12"/>
      <c r="B893" s="12"/>
      <c r="C893" s="12"/>
      <c r="D893" s="12"/>
      <c r="E893" s="12"/>
      <c r="F893" s="17" t="str">
        <f aca="false">IF(B893="","",TRIM(B893&amp;" "&amp;C893&amp;" "&amp;D893))</f>
        <v/>
      </c>
      <c r="G893" s="12"/>
      <c r="H893" s="12"/>
      <c r="I893" s="12"/>
      <c r="J893" s="17" t="str">
        <f aca="false">IF(I893="","",IF(COUNTIF(Emplacements!$A$2:$A$1001,I893)=0,"⚠ emplacement inconnu",IF(AND(H893&lt;&gt;"",LEFT(I893,1)&lt;&gt;H893),"⚠ mauvaise zone","OK")))</f>
        <v/>
      </c>
      <c r="K893" s="12"/>
      <c r="L893" s="12"/>
    </row>
    <row r="894" customFormat="false" ht="15" hidden="false" customHeight="false" outlineLevel="0" collapsed="false">
      <c r="A894" s="12"/>
      <c r="B894" s="12"/>
      <c r="C894" s="12"/>
      <c r="D894" s="12"/>
      <c r="E894" s="12"/>
      <c r="F894" s="17" t="str">
        <f aca="false">IF(B894="","",TRIM(B894&amp;" "&amp;C894&amp;" "&amp;D894))</f>
        <v/>
      </c>
      <c r="G894" s="12"/>
      <c r="H894" s="12"/>
      <c r="I894" s="12"/>
      <c r="J894" s="17" t="str">
        <f aca="false">IF(I894="","",IF(COUNTIF(Emplacements!$A$2:$A$1001,I894)=0,"⚠ emplacement inconnu",IF(AND(H894&lt;&gt;"",LEFT(I894,1)&lt;&gt;H894),"⚠ mauvaise zone","OK")))</f>
        <v/>
      </c>
      <c r="K894" s="12"/>
      <c r="L894" s="12"/>
    </row>
    <row r="895" customFormat="false" ht="15" hidden="false" customHeight="false" outlineLevel="0" collapsed="false">
      <c r="A895" s="12"/>
      <c r="B895" s="12"/>
      <c r="C895" s="12"/>
      <c r="D895" s="12"/>
      <c r="E895" s="12"/>
      <c r="F895" s="17" t="str">
        <f aca="false">IF(B895="","",TRIM(B895&amp;" "&amp;C895&amp;" "&amp;D895))</f>
        <v/>
      </c>
      <c r="G895" s="12"/>
      <c r="H895" s="12"/>
      <c r="I895" s="12"/>
      <c r="J895" s="17" t="str">
        <f aca="false">IF(I895="","",IF(COUNTIF(Emplacements!$A$2:$A$1001,I895)=0,"⚠ emplacement inconnu",IF(AND(H895&lt;&gt;"",LEFT(I895,1)&lt;&gt;H895),"⚠ mauvaise zone","OK")))</f>
        <v/>
      </c>
      <c r="K895" s="12"/>
      <c r="L895" s="12"/>
    </row>
    <row r="896" customFormat="false" ht="15" hidden="false" customHeight="false" outlineLevel="0" collapsed="false">
      <c r="A896" s="12"/>
      <c r="B896" s="12"/>
      <c r="C896" s="12"/>
      <c r="D896" s="12"/>
      <c r="E896" s="12"/>
      <c r="F896" s="17" t="str">
        <f aca="false">IF(B896="","",TRIM(B896&amp;" "&amp;C896&amp;" "&amp;D896))</f>
        <v/>
      </c>
      <c r="G896" s="12"/>
      <c r="H896" s="12"/>
      <c r="I896" s="12"/>
      <c r="J896" s="17" t="str">
        <f aca="false">IF(I896="","",IF(COUNTIF(Emplacements!$A$2:$A$1001,I896)=0,"⚠ emplacement inconnu",IF(AND(H896&lt;&gt;"",LEFT(I896,1)&lt;&gt;H896),"⚠ mauvaise zone","OK")))</f>
        <v/>
      </c>
      <c r="K896" s="12"/>
      <c r="L896" s="12"/>
    </row>
    <row r="897" customFormat="false" ht="15" hidden="false" customHeight="false" outlineLevel="0" collapsed="false">
      <c r="A897" s="12"/>
      <c r="B897" s="12"/>
      <c r="C897" s="12"/>
      <c r="D897" s="12"/>
      <c r="E897" s="12"/>
      <c r="F897" s="17" t="str">
        <f aca="false">IF(B897="","",TRIM(B897&amp;" "&amp;C897&amp;" "&amp;D897))</f>
        <v/>
      </c>
      <c r="G897" s="12"/>
      <c r="H897" s="12"/>
      <c r="I897" s="12"/>
      <c r="J897" s="17" t="str">
        <f aca="false">IF(I897="","",IF(COUNTIF(Emplacements!$A$2:$A$1001,I897)=0,"⚠ emplacement inconnu",IF(AND(H897&lt;&gt;"",LEFT(I897,1)&lt;&gt;H897),"⚠ mauvaise zone","OK")))</f>
        <v/>
      </c>
      <c r="K897" s="12"/>
      <c r="L897" s="12"/>
    </row>
    <row r="898" customFormat="false" ht="15" hidden="false" customHeight="false" outlineLevel="0" collapsed="false">
      <c r="A898" s="12"/>
      <c r="B898" s="12"/>
      <c r="C898" s="12"/>
      <c r="D898" s="12"/>
      <c r="E898" s="12"/>
      <c r="F898" s="17" t="str">
        <f aca="false">IF(B898="","",TRIM(B898&amp;" "&amp;C898&amp;" "&amp;D898))</f>
        <v/>
      </c>
      <c r="G898" s="12"/>
      <c r="H898" s="12"/>
      <c r="I898" s="12"/>
      <c r="J898" s="17" t="str">
        <f aca="false">IF(I898="","",IF(COUNTIF(Emplacements!$A$2:$A$1001,I898)=0,"⚠ emplacement inconnu",IF(AND(H898&lt;&gt;"",LEFT(I898,1)&lt;&gt;H898),"⚠ mauvaise zone","OK")))</f>
        <v/>
      </c>
      <c r="K898" s="12"/>
      <c r="L898" s="12"/>
    </row>
    <row r="899" customFormat="false" ht="15" hidden="false" customHeight="false" outlineLevel="0" collapsed="false">
      <c r="A899" s="12"/>
      <c r="B899" s="12"/>
      <c r="C899" s="12"/>
      <c r="D899" s="12"/>
      <c r="E899" s="12"/>
      <c r="F899" s="17" t="str">
        <f aca="false">IF(B899="","",TRIM(B899&amp;" "&amp;C899&amp;" "&amp;D899))</f>
        <v/>
      </c>
      <c r="G899" s="12"/>
      <c r="H899" s="12"/>
      <c r="I899" s="12"/>
      <c r="J899" s="17" t="str">
        <f aca="false">IF(I899="","",IF(COUNTIF(Emplacements!$A$2:$A$1001,I899)=0,"⚠ emplacement inconnu",IF(AND(H899&lt;&gt;"",LEFT(I899,1)&lt;&gt;H899),"⚠ mauvaise zone","OK")))</f>
        <v/>
      </c>
      <c r="K899" s="12"/>
      <c r="L899" s="12"/>
    </row>
    <row r="900" customFormat="false" ht="15" hidden="false" customHeight="false" outlineLevel="0" collapsed="false">
      <c r="A900" s="12"/>
      <c r="B900" s="12"/>
      <c r="C900" s="12"/>
      <c r="D900" s="12"/>
      <c r="E900" s="12"/>
      <c r="F900" s="17" t="str">
        <f aca="false">IF(B900="","",TRIM(B900&amp;" "&amp;C900&amp;" "&amp;D900))</f>
        <v/>
      </c>
      <c r="G900" s="12"/>
      <c r="H900" s="12"/>
      <c r="I900" s="12"/>
      <c r="J900" s="17" t="str">
        <f aca="false">IF(I900="","",IF(COUNTIF(Emplacements!$A$2:$A$1001,I900)=0,"⚠ emplacement inconnu",IF(AND(H900&lt;&gt;"",LEFT(I900,1)&lt;&gt;H900),"⚠ mauvaise zone","OK")))</f>
        <v/>
      </c>
      <c r="K900" s="12"/>
      <c r="L900" s="12"/>
    </row>
    <row r="901" customFormat="false" ht="15" hidden="false" customHeight="false" outlineLevel="0" collapsed="false">
      <c r="A901" s="12"/>
      <c r="B901" s="12"/>
      <c r="C901" s="12"/>
      <c r="D901" s="12"/>
      <c r="E901" s="12"/>
      <c r="F901" s="17" t="str">
        <f aca="false">IF(B901="","",TRIM(B901&amp;" "&amp;C901&amp;" "&amp;D901))</f>
        <v/>
      </c>
      <c r="G901" s="12"/>
      <c r="H901" s="12"/>
      <c r="I901" s="12"/>
      <c r="J901" s="17" t="str">
        <f aca="false">IF(I901="","",IF(COUNTIF(Emplacements!$A$2:$A$1001,I901)=0,"⚠ emplacement inconnu",IF(AND(H901&lt;&gt;"",LEFT(I901,1)&lt;&gt;H901),"⚠ mauvaise zone","OK")))</f>
        <v/>
      </c>
      <c r="K901" s="12"/>
      <c r="L901" s="12"/>
    </row>
    <row r="902" customFormat="false" ht="15" hidden="false" customHeight="false" outlineLevel="0" collapsed="false">
      <c r="A902" s="12"/>
      <c r="B902" s="12"/>
      <c r="C902" s="12"/>
      <c r="D902" s="12"/>
      <c r="E902" s="12"/>
      <c r="F902" s="17" t="str">
        <f aca="false">IF(B902="","",TRIM(B902&amp;" "&amp;C902&amp;" "&amp;D902))</f>
        <v/>
      </c>
      <c r="G902" s="12"/>
      <c r="H902" s="12"/>
      <c r="I902" s="12"/>
      <c r="J902" s="17" t="str">
        <f aca="false">IF(I902="","",IF(COUNTIF(Emplacements!$A$2:$A$1001,I902)=0,"⚠ emplacement inconnu",IF(AND(H902&lt;&gt;"",LEFT(I902,1)&lt;&gt;H902),"⚠ mauvaise zone","OK")))</f>
        <v/>
      </c>
      <c r="K902" s="12"/>
      <c r="L902" s="12"/>
    </row>
    <row r="903" customFormat="false" ht="15" hidden="false" customHeight="false" outlineLevel="0" collapsed="false">
      <c r="A903" s="12"/>
      <c r="B903" s="12"/>
      <c r="C903" s="12"/>
      <c r="D903" s="12"/>
      <c r="E903" s="12"/>
      <c r="F903" s="17" t="str">
        <f aca="false">IF(B903="","",TRIM(B903&amp;" "&amp;C903&amp;" "&amp;D903))</f>
        <v/>
      </c>
      <c r="G903" s="12"/>
      <c r="H903" s="12"/>
      <c r="I903" s="12"/>
      <c r="J903" s="17" t="str">
        <f aca="false">IF(I903="","",IF(COUNTIF(Emplacements!$A$2:$A$1001,I903)=0,"⚠ emplacement inconnu",IF(AND(H903&lt;&gt;"",LEFT(I903,1)&lt;&gt;H903),"⚠ mauvaise zone","OK")))</f>
        <v/>
      </c>
      <c r="K903" s="12"/>
      <c r="L903" s="12"/>
    </row>
    <row r="904" customFormat="false" ht="15" hidden="false" customHeight="false" outlineLevel="0" collapsed="false">
      <c r="A904" s="12"/>
      <c r="B904" s="12"/>
      <c r="C904" s="12"/>
      <c r="D904" s="12"/>
      <c r="E904" s="12"/>
      <c r="F904" s="17" t="str">
        <f aca="false">IF(B904="","",TRIM(B904&amp;" "&amp;C904&amp;" "&amp;D904))</f>
        <v/>
      </c>
      <c r="G904" s="12"/>
      <c r="H904" s="12"/>
      <c r="I904" s="12"/>
      <c r="J904" s="17" t="str">
        <f aca="false">IF(I904="","",IF(COUNTIF(Emplacements!$A$2:$A$1001,I904)=0,"⚠ emplacement inconnu",IF(AND(H904&lt;&gt;"",LEFT(I904,1)&lt;&gt;H904),"⚠ mauvaise zone","OK")))</f>
        <v/>
      </c>
      <c r="K904" s="12"/>
      <c r="L904" s="12"/>
    </row>
    <row r="905" customFormat="false" ht="15" hidden="false" customHeight="false" outlineLevel="0" collapsed="false">
      <c r="A905" s="12"/>
      <c r="B905" s="12"/>
      <c r="C905" s="12"/>
      <c r="D905" s="12"/>
      <c r="E905" s="12"/>
      <c r="F905" s="17" t="str">
        <f aca="false">IF(B905="","",TRIM(B905&amp;" "&amp;C905&amp;" "&amp;D905))</f>
        <v/>
      </c>
      <c r="G905" s="12"/>
      <c r="H905" s="12"/>
      <c r="I905" s="12"/>
      <c r="J905" s="17" t="str">
        <f aca="false">IF(I905="","",IF(COUNTIF(Emplacements!$A$2:$A$1001,I905)=0,"⚠ emplacement inconnu",IF(AND(H905&lt;&gt;"",LEFT(I905,1)&lt;&gt;H905),"⚠ mauvaise zone","OK")))</f>
        <v/>
      </c>
      <c r="K905" s="12"/>
      <c r="L905" s="12"/>
    </row>
    <row r="906" customFormat="false" ht="15" hidden="false" customHeight="false" outlineLevel="0" collapsed="false">
      <c r="A906" s="12"/>
      <c r="B906" s="12"/>
      <c r="C906" s="12"/>
      <c r="D906" s="12"/>
      <c r="E906" s="12"/>
      <c r="F906" s="17" t="str">
        <f aca="false">IF(B906="","",TRIM(B906&amp;" "&amp;C906&amp;" "&amp;D906))</f>
        <v/>
      </c>
      <c r="G906" s="12"/>
      <c r="H906" s="12"/>
      <c r="I906" s="12"/>
      <c r="J906" s="17" t="str">
        <f aca="false">IF(I906="","",IF(COUNTIF(Emplacements!$A$2:$A$1001,I906)=0,"⚠ emplacement inconnu",IF(AND(H906&lt;&gt;"",LEFT(I906,1)&lt;&gt;H906),"⚠ mauvaise zone","OK")))</f>
        <v/>
      </c>
      <c r="K906" s="12"/>
      <c r="L906" s="12"/>
    </row>
    <row r="907" customFormat="false" ht="15" hidden="false" customHeight="false" outlineLevel="0" collapsed="false">
      <c r="A907" s="12"/>
      <c r="B907" s="12"/>
      <c r="C907" s="12"/>
      <c r="D907" s="12"/>
      <c r="E907" s="12"/>
      <c r="F907" s="17" t="str">
        <f aca="false">IF(B907="","",TRIM(B907&amp;" "&amp;C907&amp;" "&amp;D907))</f>
        <v/>
      </c>
      <c r="G907" s="12"/>
      <c r="H907" s="12"/>
      <c r="I907" s="12"/>
      <c r="J907" s="17" t="str">
        <f aca="false">IF(I907="","",IF(COUNTIF(Emplacements!$A$2:$A$1001,I907)=0,"⚠ emplacement inconnu",IF(AND(H907&lt;&gt;"",LEFT(I907,1)&lt;&gt;H907),"⚠ mauvaise zone","OK")))</f>
        <v/>
      </c>
      <c r="K907" s="12"/>
      <c r="L907" s="12"/>
    </row>
    <row r="908" customFormat="false" ht="15" hidden="false" customHeight="false" outlineLevel="0" collapsed="false">
      <c r="A908" s="12"/>
      <c r="B908" s="12"/>
      <c r="C908" s="12"/>
      <c r="D908" s="12"/>
      <c r="E908" s="12"/>
      <c r="F908" s="17" t="str">
        <f aca="false">IF(B908="","",TRIM(B908&amp;" "&amp;C908&amp;" "&amp;D908))</f>
        <v/>
      </c>
      <c r="G908" s="12"/>
      <c r="H908" s="12"/>
      <c r="I908" s="12"/>
      <c r="J908" s="17" t="str">
        <f aca="false">IF(I908="","",IF(COUNTIF(Emplacements!$A$2:$A$1001,I908)=0,"⚠ emplacement inconnu",IF(AND(H908&lt;&gt;"",LEFT(I908,1)&lt;&gt;H908),"⚠ mauvaise zone","OK")))</f>
        <v/>
      </c>
      <c r="K908" s="12"/>
      <c r="L908" s="12"/>
    </row>
    <row r="909" customFormat="false" ht="15" hidden="false" customHeight="false" outlineLevel="0" collapsed="false">
      <c r="A909" s="12"/>
      <c r="B909" s="12"/>
      <c r="C909" s="12"/>
      <c r="D909" s="12"/>
      <c r="E909" s="12"/>
      <c r="F909" s="17" t="str">
        <f aca="false">IF(B909="","",TRIM(B909&amp;" "&amp;C909&amp;" "&amp;D909))</f>
        <v/>
      </c>
      <c r="G909" s="12"/>
      <c r="H909" s="12"/>
      <c r="I909" s="12"/>
      <c r="J909" s="17" t="str">
        <f aca="false">IF(I909="","",IF(COUNTIF(Emplacements!$A$2:$A$1001,I909)=0,"⚠ emplacement inconnu",IF(AND(H909&lt;&gt;"",LEFT(I909,1)&lt;&gt;H909),"⚠ mauvaise zone","OK")))</f>
        <v/>
      </c>
      <c r="K909" s="12"/>
      <c r="L909" s="12"/>
    </row>
    <row r="910" customFormat="false" ht="15" hidden="false" customHeight="false" outlineLevel="0" collapsed="false">
      <c r="A910" s="12"/>
      <c r="B910" s="12"/>
      <c r="C910" s="12"/>
      <c r="D910" s="12"/>
      <c r="E910" s="12"/>
      <c r="F910" s="17" t="str">
        <f aca="false">IF(B910="","",TRIM(B910&amp;" "&amp;C910&amp;" "&amp;D910))</f>
        <v/>
      </c>
      <c r="G910" s="12"/>
      <c r="H910" s="12"/>
      <c r="I910" s="12"/>
      <c r="J910" s="17" t="str">
        <f aca="false">IF(I910="","",IF(COUNTIF(Emplacements!$A$2:$A$1001,I910)=0,"⚠ emplacement inconnu",IF(AND(H910&lt;&gt;"",LEFT(I910,1)&lt;&gt;H910),"⚠ mauvaise zone","OK")))</f>
        <v/>
      </c>
      <c r="K910" s="12"/>
      <c r="L910" s="12"/>
    </row>
    <row r="911" customFormat="false" ht="15" hidden="false" customHeight="false" outlineLevel="0" collapsed="false">
      <c r="A911" s="12"/>
      <c r="B911" s="12"/>
      <c r="C911" s="12"/>
      <c r="D911" s="12"/>
      <c r="E911" s="12"/>
      <c r="F911" s="17" t="str">
        <f aca="false">IF(B911="","",TRIM(B911&amp;" "&amp;C911&amp;" "&amp;D911))</f>
        <v/>
      </c>
      <c r="G911" s="12"/>
      <c r="H911" s="12"/>
      <c r="I911" s="12"/>
      <c r="J911" s="17" t="str">
        <f aca="false">IF(I911="","",IF(COUNTIF(Emplacements!$A$2:$A$1001,I911)=0,"⚠ emplacement inconnu",IF(AND(H911&lt;&gt;"",LEFT(I911,1)&lt;&gt;H911),"⚠ mauvaise zone","OK")))</f>
        <v/>
      </c>
      <c r="K911" s="12"/>
      <c r="L911" s="12"/>
    </row>
    <row r="912" customFormat="false" ht="15" hidden="false" customHeight="false" outlineLevel="0" collapsed="false">
      <c r="A912" s="12"/>
      <c r="B912" s="12"/>
      <c r="C912" s="12"/>
      <c r="D912" s="12"/>
      <c r="E912" s="12"/>
      <c r="F912" s="17" t="str">
        <f aca="false">IF(B912="","",TRIM(B912&amp;" "&amp;C912&amp;" "&amp;D912))</f>
        <v/>
      </c>
      <c r="G912" s="12"/>
      <c r="H912" s="12"/>
      <c r="I912" s="12"/>
      <c r="J912" s="17" t="str">
        <f aca="false">IF(I912="","",IF(COUNTIF(Emplacements!$A$2:$A$1001,I912)=0,"⚠ emplacement inconnu",IF(AND(H912&lt;&gt;"",LEFT(I912,1)&lt;&gt;H912),"⚠ mauvaise zone","OK")))</f>
        <v/>
      </c>
      <c r="K912" s="12"/>
      <c r="L912" s="12"/>
    </row>
    <row r="913" customFormat="false" ht="15" hidden="false" customHeight="false" outlineLevel="0" collapsed="false">
      <c r="A913" s="12"/>
      <c r="B913" s="12"/>
      <c r="C913" s="12"/>
      <c r="D913" s="12"/>
      <c r="E913" s="12"/>
      <c r="F913" s="17" t="str">
        <f aca="false">IF(B913="","",TRIM(B913&amp;" "&amp;C913&amp;" "&amp;D913))</f>
        <v/>
      </c>
      <c r="G913" s="12"/>
      <c r="H913" s="12"/>
      <c r="I913" s="12"/>
      <c r="J913" s="17" t="str">
        <f aca="false">IF(I913="","",IF(COUNTIF(Emplacements!$A$2:$A$1001,I913)=0,"⚠ emplacement inconnu",IF(AND(H913&lt;&gt;"",LEFT(I913,1)&lt;&gt;H913),"⚠ mauvaise zone","OK")))</f>
        <v/>
      </c>
      <c r="K913" s="12"/>
      <c r="L913" s="12"/>
    </row>
    <row r="914" customFormat="false" ht="15" hidden="false" customHeight="false" outlineLevel="0" collapsed="false">
      <c r="A914" s="12"/>
      <c r="B914" s="12"/>
      <c r="C914" s="12"/>
      <c r="D914" s="12"/>
      <c r="E914" s="12"/>
      <c r="F914" s="17" t="str">
        <f aca="false">IF(B914="","",TRIM(B914&amp;" "&amp;C914&amp;" "&amp;D914))</f>
        <v/>
      </c>
      <c r="G914" s="12"/>
      <c r="H914" s="12"/>
      <c r="I914" s="12"/>
      <c r="J914" s="17" t="str">
        <f aca="false">IF(I914="","",IF(COUNTIF(Emplacements!$A$2:$A$1001,I914)=0,"⚠ emplacement inconnu",IF(AND(H914&lt;&gt;"",LEFT(I914,1)&lt;&gt;H914),"⚠ mauvaise zone","OK")))</f>
        <v/>
      </c>
      <c r="K914" s="12"/>
      <c r="L914" s="12"/>
    </row>
    <row r="915" customFormat="false" ht="15" hidden="false" customHeight="false" outlineLevel="0" collapsed="false">
      <c r="A915" s="12"/>
      <c r="B915" s="12"/>
      <c r="C915" s="12"/>
      <c r="D915" s="12"/>
      <c r="E915" s="12"/>
      <c r="F915" s="17" t="str">
        <f aca="false">IF(B915="","",TRIM(B915&amp;" "&amp;C915&amp;" "&amp;D915))</f>
        <v/>
      </c>
      <c r="G915" s="12"/>
      <c r="H915" s="12"/>
      <c r="I915" s="12"/>
      <c r="J915" s="17" t="str">
        <f aca="false">IF(I915="","",IF(COUNTIF(Emplacements!$A$2:$A$1001,I915)=0,"⚠ emplacement inconnu",IF(AND(H915&lt;&gt;"",LEFT(I915,1)&lt;&gt;H915),"⚠ mauvaise zone","OK")))</f>
        <v/>
      </c>
      <c r="K915" s="12"/>
      <c r="L915" s="12"/>
    </row>
    <row r="916" customFormat="false" ht="15" hidden="false" customHeight="false" outlineLevel="0" collapsed="false">
      <c r="A916" s="12"/>
      <c r="B916" s="12"/>
      <c r="C916" s="12"/>
      <c r="D916" s="12"/>
      <c r="E916" s="12"/>
      <c r="F916" s="17" t="str">
        <f aca="false">IF(B916="","",TRIM(B916&amp;" "&amp;C916&amp;" "&amp;D916))</f>
        <v/>
      </c>
      <c r="G916" s="12"/>
      <c r="H916" s="12"/>
      <c r="I916" s="12"/>
      <c r="J916" s="17" t="str">
        <f aca="false">IF(I916="","",IF(COUNTIF(Emplacements!$A$2:$A$1001,I916)=0,"⚠ emplacement inconnu",IF(AND(H916&lt;&gt;"",LEFT(I916,1)&lt;&gt;H916),"⚠ mauvaise zone","OK")))</f>
        <v/>
      </c>
      <c r="K916" s="12"/>
      <c r="L916" s="12"/>
    </row>
    <row r="917" customFormat="false" ht="15" hidden="false" customHeight="false" outlineLevel="0" collapsed="false">
      <c r="A917" s="12"/>
      <c r="B917" s="12"/>
      <c r="C917" s="12"/>
      <c r="D917" s="12"/>
      <c r="E917" s="12"/>
      <c r="F917" s="17" t="str">
        <f aca="false">IF(B917="","",TRIM(B917&amp;" "&amp;C917&amp;" "&amp;D917))</f>
        <v/>
      </c>
      <c r="G917" s="12"/>
      <c r="H917" s="12"/>
      <c r="I917" s="12"/>
      <c r="J917" s="17" t="str">
        <f aca="false">IF(I917="","",IF(COUNTIF(Emplacements!$A$2:$A$1001,I917)=0,"⚠ emplacement inconnu",IF(AND(H917&lt;&gt;"",LEFT(I917,1)&lt;&gt;H917),"⚠ mauvaise zone","OK")))</f>
        <v/>
      </c>
      <c r="K917" s="12"/>
      <c r="L917" s="12"/>
    </row>
    <row r="918" customFormat="false" ht="15" hidden="false" customHeight="false" outlineLevel="0" collapsed="false">
      <c r="A918" s="12"/>
      <c r="B918" s="12"/>
      <c r="C918" s="12"/>
      <c r="D918" s="12"/>
      <c r="E918" s="12"/>
      <c r="F918" s="17" t="str">
        <f aca="false">IF(B918="","",TRIM(B918&amp;" "&amp;C918&amp;" "&amp;D918))</f>
        <v/>
      </c>
      <c r="G918" s="12"/>
      <c r="H918" s="12"/>
      <c r="I918" s="12"/>
      <c r="J918" s="17" t="str">
        <f aca="false">IF(I918="","",IF(COUNTIF(Emplacements!$A$2:$A$1001,I918)=0,"⚠ emplacement inconnu",IF(AND(H918&lt;&gt;"",LEFT(I918,1)&lt;&gt;H918),"⚠ mauvaise zone","OK")))</f>
        <v/>
      </c>
      <c r="K918" s="12"/>
      <c r="L918" s="12"/>
    </row>
    <row r="919" customFormat="false" ht="15" hidden="false" customHeight="false" outlineLevel="0" collapsed="false">
      <c r="A919" s="12"/>
      <c r="B919" s="12"/>
      <c r="C919" s="12"/>
      <c r="D919" s="12"/>
      <c r="E919" s="12"/>
      <c r="F919" s="17" t="str">
        <f aca="false">IF(B919="","",TRIM(B919&amp;" "&amp;C919&amp;" "&amp;D919))</f>
        <v/>
      </c>
      <c r="G919" s="12"/>
      <c r="H919" s="12"/>
      <c r="I919" s="12"/>
      <c r="J919" s="17" t="str">
        <f aca="false">IF(I919="","",IF(COUNTIF(Emplacements!$A$2:$A$1001,I919)=0,"⚠ emplacement inconnu",IF(AND(H919&lt;&gt;"",LEFT(I919,1)&lt;&gt;H919),"⚠ mauvaise zone","OK")))</f>
        <v/>
      </c>
      <c r="K919" s="12"/>
      <c r="L919" s="12"/>
    </row>
    <row r="920" customFormat="false" ht="15" hidden="false" customHeight="false" outlineLevel="0" collapsed="false">
      <c r="A920" s="12"/>
      <c r="B920" s="12"/>
      <c r="C920" s="12"/>
      <c r="D920" s="12"/>
      <c r="E920" s="12"/>
      <c r="F920" s="17" t="str">
        <f aca="false">IF(B920="","",TRIM(B920&amp;" "&amp;C920&amp;" "&amp;D920))</f>
        <v/>
      </c>
      <c r="G920" s="12"/>
      <c r="H920" s="12"/>
      <c r="I920" s="12"/>
      <c r="J920" s="17" t="str">
        <f aca="false">IF(I920="","",IF(COUNTIF(Emplacements!$A$2:$A$1001,I920)=0,"⚠ emplacement inconnu",IF(AND(H920&lt;&gt;"",LEFT(I920,1)&lt;&gt;H920),"⚠ mauvaise zone","OK")))</f>
        <v/>
      </c>
      <c r="K920" s="12"/>
      <c r="L920" s="12"/>
    </row>
    <row r="921" customFormat="false" ht="15" hidden="false" customHeight="false" outlineLevel="0" collapsed="false">
      <c r="A921" s="12"/>
      <c r="B921" s="12"/>
      <c r="C921" s="12"/>
      <c r="D921" s="12"/>
      <c r="E921" s="12"/>
      <c r="F921" s="17" t="str">
        <f aca="false">IF(B921="","",TRIM(B921&amp;" "&amp;C921&amp;" "&amp;D921))</f>
        <v/>
      </c>
      <c r="G921" s="12"/>
      <c r="H921" s="12"/>
      <c r="I921" s="12"/>
      <c r="J921" s="17" t="str">
        <f aca="false">IF(I921="","",IF(COUNTIF(Emplacements!$A$2:$A$1001,I921)=0,"⚠ emplacement inconnu",IF(AND(H921&lt;&gt;"",LEFT(I921,1)&lt;&gt;H921),"⚠ mauvaise zone","OK")))</f>
        <v/>
      </c>
      <c r="K921" s="12"/>
      <c r="L921" s="12"/>
    </row>
    <row r="922" customFormat="false" ht="15" hidden="false" customHeight="false" outlineLevel="0" collapsed="false">
      <c r="A922" s="12"/>
      <c r="B922" s="12"/>
      <c r="C922" s="12"/>
      <c r="D922" s="12"/>
      <c r="E922" s="12"/>
      <c r="F922" s="17" t="str">
        <f aca="false">IF(B922="","",TRIM(B922&amp;" "&amp;C922&amp;" "&amp;D922))</f>
        <v/>
      </c>
      <c r="G922" s="12"/>
      <c r="H922" s="12"/>
      <c r="I922" s="12"/>
      <c r="J922" s="17" t="str">
        <f aca="false">IF(I922="","",IF(COUNTIF(Emplacements!$A$2:$A$1001,I922)=0,"⚠ emplacement inconnu",IF(AND(H922&lt;&gt;"",LEFT(I922,1)&lt;&gt;H922),"⚠ mauvaise zone","OK")))</f>
        <v/>
      </c>
      <c r="K922" s="12"/>
      <c r="L922" s="12"/>
    </row>
    <row r="923" customFormat="false" ht="15" hidden="false" customHeight="false" outlineLevel="0" collapsed="false">
      <c r="A923" s="12"/>
      <c r="B923" s="12"/>
      <c r="C923" s="12"/>
      <c r="D923" s="12"/>
      <c r="E923" s="12"/>
      <c r="F923" s="17" t="str">
        <f aca="false">IF(B923="","",TRIM(B923&amp;" "&amp;C923&amp;" "&amp;D923))</f>
        <v/>
      </c>
      <c r="G923" s="12"/>
      <c r="H923" s="12"/>
      <c r="I923" s="12"/>
      <c r="J923" s="17" t="str">
        <f aca="false">IF(I923="","",IF(COUNTIF(Emplacements!$A$2:$A$1001,I923)=0,"⚠ emplacement inconnu",IF(AND(H923&lt;&gt;"",LEFT(I923,1)&lt;&gt;H923),"⚠ mauvaise zone","OK")))</f>
        <v/>
      </c>
      <c r="K923" s="12"/>
      <c r="L923" s="12"/>
    </row>
    <row r="924" customFormat="false" ht="15" hidden="false" customHeight="false" outlineLevel="0" collapsed="false">
      <c r="A924" s="12"/>
      <c r="B924" s="12"/>
      <c r="C924" s="12"/>
      <c r="D924" s="12"/>
      <c r="E924" s="12"/>
      <c r="F924" s="17" t="str">
        <f aca="false">IF(B924="","",TRIM(B924&amp;" "&amp;C924&amp;" "&amp;D924))</f>
        <v/>
      </c>
      <c r="G924" s="12"/>
      <c r="H924" s="12"/>
      <c r="I924" s="12"/>
      <c r="J924" s="17" t="str">
        <f aca="false">IF(I924="","",IF(COUNTIF(Emplacements!$A$2:$A$1001,I924)=0,"⚠ emplacement inconnu",IF(AND(H924&lt;&gt;"",LEFT(I924,1)&lt;&gt;H924),"⚠ mauvaise zone","OK")))</f>
        <v/>
      </c>
      <c r="K924" s="12"/>
      <c r="L924" s="12"/>
    </row>
    <row r="925" customFormat="false" ht="15" hidden="false" customHeight="false" outlineLevel="0" collapsed="false">
      <c r="A925" s="12"/>
      <c r="B925" s="12"/>
      <c r="C925" s="12"/>
      <c r="D925" s="12"/>
      <c r="E925" s="12"/>
      <c r="F925" s="17" t="str">
        <f aca="false">IF(B925="","",TRIM(B925&amp;" "&amp;C925&amp;" "&amp;D925))</f>
        <v/>
      </c>
      <c r="G925" s="12"/>
      <c r="H925" s="12"/>
      <c r="I925" s="12"/>
      <c r="J925" s="17" t="str">
        <f aca="false">IF(I925="","",IF(COUNTIF(Emplacements!$A$2:$A$1001,I925)=0,"⚠ emplacement inconnu",IF(AND(H925&lt;&gt;"",LEFT(I925,1)&lt;&gt;H925),"⚠ mauvaise zone","OK")))</f>
        <v/>
      </c>
      <c r="K925" s="12"/>
      <c r="L925" s="12"/>
    </row>
    <row r="926" customFormat="false" ht="15" hidden="false" customHeight="false" outlineLevel="0" collapsed="false">
      <c r="A926" s="12"/>
      <c r="B926" s="12"/>
      <c r="C926" s="12"/>
      <c r="D926" s="12"/>
      <c r="E926" s="12"/>
      <c r="F926" s="17" t="str">
        <f aca="false">IF(B926="","",TRIM(B926&amp;" "&amp;C926&amp;" "&amp;D926))</f>
        <v/>
      </c>
      <c r="G926" s="12"/>
      <c r="H926" s="12"/>
      <c r="I926" s="12"/>
      <c r="J926" s="17" t="str">
        <f aca="false">IF(I926="","",IF(COUNTIF(Emplacements!$A$2:$A$1001,I926)=0,"⚠ emplacement inconnu",IF(AND(H926&lt;&gt;"",LEFT(I926,1)&lt;&gt;H926),"⚠ mauvaise zone","OK")))</f>
        <v/>
      </c>
      <c r="K926" s="12"/>
      <c r="L926" s="12"/>
    </row>
    <row r="927" customFormat="false" ht="15" hidden="false" customHeight="false" outlineLevel="0" collapsed="false">
      <c r="A927" s="12"/>
      <c r="B927" s="12"/>
      <c r="C927" s="12"/>
      <c r="D927" s="12"/>
      <c r="E927" s="12"/>
      <c r="F927" s="17" t="str">
        <f aca="false">IF(B927="","",TRIM(B927&amp;" "&amp;C927&amp;" "&amp;D927))</f>
        <v/>
      </c>
      <c r="G927" s="12"/>
      <c r="H927" s="12"/>
      <c r="I927" s="12"/>
      <c r="J927" s="17" t="str">
        <f aca="false">IF(I927="","",IF(COUNTIF(Emplacements!$A$2:$A$1001,I927)=0,"⚠ emplacement inconnu",IF(AND(H927&lt;&gt;"",LEFT(I927,1)&lt;&gt;H927),"⚠ mauvaise zone","OK")))</f>
        <v/>
      </c>
      <c r="K927" s="12"/>
      <c r="L927" s="12"/>
    </row>
    <row r="928" customFormat="false" ht="15" hidden="false" customHeight="false" outlineLevel="0" collapsed="false">
      <c r="A928" s="12"/>
      <c r="B928" s="12"/>
      <c r="C928" s="12"/>
      <c r="D928" s="12"/>
      <c r="E928" s="12"/>
      <c r="F928" s="17" t="str">
        <f aca="false">IF(B928="","",TRIM(B928&amp;" "&amp;C928&amp;" "&amp;D928))</f>
        <v/>
      </c>
      <c r="G928" s="12"/>
      <c r="H928" s="12"/>
      <c r="I928" s="12"/>
      <c r="J928" s="17" t="str">
        <f aca="false">IF(I928="","",IF(COUNTIF(Emplacements!$A$2:$A$1001,I928)=0,"⚠ emplacement inconnu",IF(AND(H928&lt;&gt;"",LEFT(I928,1)&lt;&gt;H928),"⚠ mauvaise zone","OK")))</f>
        <v/>
      </c>
      <c r="K928" s="12"/>
      <c r="L928" s="12"/>
    </row>
    <row r="929" customFormat="false" ht="15" hidden="false" customHeight="false" outlineLevel="0" collapsed="false">
      <c r="A929" s="12"/>
      <c r="B929" s="12"/>
      <c r="C929" s="12"/>
      <c r="D929" s="12"/>
      <c r="E929" s="12"/>
      <c r="F929" s="17" t="str">
        <f aca="false">IF(B929="","",TRIM(B929&amp;" "&amp;C929&amp;" "&amp;D929))</f>
        <v/>
      </c>
      <c r="G929" s="12"/>
      <c r="H929" s="12"/>
      <c r="I929" s="12"/>
      <c r="J929" s="17" t="str">
        <f aca="false">IF(I929="","",IF(COUNTIF(Emplacements!$A$2:$A$1001,I929)=0,"⚠ emplacement inconnu",IF(AND(H929&lt;&gt;"",LEFT(I929,1)&lt;&gt;H929),"⚠ mauvaise zone","OK")))</f>
        <v/>
      </c>
      <c r="K929" s="12"/>
      <c r="L929" s="12"/>
    </row>
    <row r="930" customFormat="false" ht="15" hidden="false" customHeight="false" outlineLevel="0" collapsed="false">
      <c r="A930" s="12"/>
      <c r="B930" s="12"/>
      <c r="C930" s="12"/>
      <c r="D930" s="12"/>
      <c r="E930" s="12"/>
      <c r="F930" s="17" t="str">
        <f aca="false">IF(B930="","",TRIM(B930&amp;" "&amp;C930&amp;" "&amp;D930))</f>
        <v/>
      </c>
      <c r="G930" s="12"/>
      <c r="H930" s="12"/>
      <c r="I930" s="12"/>
      <c r="J930" s="17" t="str">
        <f aca="false">IF(I930="","",IF(COUNTIF(Emplacements!$A$2:$A$1001,I930)=0,"⚠ emplacement inconnu",IF(AND(H930&lt;&gt;"",LEFT(I930,1)&lt;&gt;H930),"⚠ mauvaise zone","OK")))</f>
        <v/>
      </c>
      <c r="K930" s="12"/>
      <c r="L930" s="12"/>
    </row>
    <row r="931" customFormat="false" ht="15" hidden="false" customHeight="false" outlineLevel="0" collapsed="false">
      <c r="A931" s="12"/>
      <c r="B931" s="12"/>
      <c r="C931" s="12"/>
      <c r="D931" s="12"/>
      <c r="E931" s="12"/>
      <c r="F931" s="17" t="str">
        <f aca="false">IF(B931="","",TRIM(B931&amp;" "&amp;C931&amp;" "&amp;D931))</f>
        <v/>
      </c>
      <c r="G931" s="12"/>
      <c r="H931" s="12"/>
      <c r="I931" s="12"/>
      <c r="J931" s="17" t="str">
        <f aca="false">IF(I931="","",IF(COUNTIF(Emplacements!$A$2:$A$1001,I931)=0,"⚠ emplacement inconnu",IF(AND(H931&lt;&gt;"",LEFT(I931,1)&lt;&gt;H931),"⚠ mauvaise zone","OK")))</f>
        <v/>
      </c>
      <c r="K931" s="12"/>
      <c r="L931" s="12"/>
    </row>
    <row r="932" customFormat="false" ht="15" hidden="false" customHeight="false" outlineLevel="0" collapsed="false">
      <c r="A932" s="12"/>
      <c r="B932" s="12"/>
      <c r="C932" s="12"/>
      <c r="D932" s="12"/>
      <c r="E932" s="12"/>
      <c r="F932" s="17" t="str">
        <f aca="false">IF(B932="","",TRIM(B932&amp;" "&amp;C932&amp;" "&amp;D932))</f>
        <v/>
      </c>
      <c r="G932" s="12"/>
      <c r="H932" s="12"/>
      <c r="I932" s="12"/>
      <c r="J932" s="17" t="str">
        <f aca="false">IF(I932="","",IF(COUNTIF(Emplacements!$A$2:$A$1001,I932)=0,"⚠ emplacement inconnu",IF(AND(H932&lt;&gt;"",LEFT(I932,1)&lt;&gt;H932),"⚠ mauvaise zone","OK")))</f>
        <v/>
      </c>
      <c r="K932" s="12"/>
      <c r="L932" s="12"/>
    </row>
    <row r="933" customFormat="false" ht="15" hidden="false" customHeight="false" outlineLevel="0" collapsed="false">
      <c r="A933" s="12"/>
      <c r="B933" s="12"/>
      <c r="C933" s="12"/>
      <c r="D933" s="12"/>
      <c r="E933" s="12"/>
      <c r="F933" s="17" t="str">
        <f aca="false">IF(B933="","",TRIM(B933&amp;" "&amp;C933&amp;" "&amp;D933))</f>
        <v/>
      </c>
      <c r="G933" s="12"/>
      <c r="H933" s="12"/>
      <c r="I933" s="12"/>
      <c r="J933" s="17" t="str">
        <f aca="false">IF(I933="","",IF(COUNTIF(Emplacements!$A$2:$A$1001,I933)=0,"⚠ emplacement inconnu",IF(AND(H933&lt;&gt;"",LEFT(I933,1)&lt;&gt;H933),"⚠ mauvaise zone","OK")))</f>
        <v/>
      </c>
      <c r="K933" s="12"/>
      <c r="L933" s="12"/>
    </row>
    <row r="934" customFormat="false" ht="15" hidden="false" customHeight="false" outlineLevel="0" collapsed="false">
      <c r="A934" s="12"/>
      <c r="B934" s="12"/>
      <c r="C934" s="12"/>
      <c r="D934" s="12"/>
      <c r="E934" s="12"/>
      <c r="F934" s="17" t="str">
        <f aca="false">IF(B934="","",TRIM(B934&amp;" "&amp;C934&amp;" "&amp;D934))</f>
        <v/>
      </c>
      <c r="G934" s="12"/>
      <c r="H934" s="12"/>
      <c r="I934" s="12"/>
      <c r="J934" s="17" t="str">
        <f aca="false">IF(I934="","",IF(COUNTIF(Emplacements!$A$2:$A$1001,I934)=0,"⚠ emplacement inconnu",IF(AND(H934&lt;&gt;"",LEFT(I934,1)&lt;&gt;H934),"⚠ mauvaise zone","OK")))</f>
        <v/>
      </c>
      <c r="K934" s="12"/>
      <c r="L934" s="12"/>
    </row>
    <row r="935" customFormat="false" ht="15" hidden="false" customHeight="false" outlineLevel="0" collapsed="false">
      <c r="A935" s="12"/>
      <c r="B935" s="12"/>
      <c r="C935" s="12"/>
      <c r="D935" s="12"/>
      <c r="E935" s="12"/>
      <c r="F935" s="17" t="str">
        <f aca="false">IF(B935="","",TRIM(B935&amp;" "&amp;C935&amp;" "&amp;D935))</f>
        <v/>
      </c>
      <c r="G935" s="12"/>
      <c r="H935" s="12"/>
      <c r="I935" s="12"/>
      <c r="J935" s="17" t="str">
        <f aca="false">IF(I935="","",IF(COUNTIF(Emplacements!$A$2:$A$1001,I935)=0,"⚠ emplacement inconnu",IF(AND(H935&lt;&gt;"",LEFT(I935,1)&lt;&gt;H935),"⚠ mauvaise zone","OK")))</f>
        <v/>
      </c>
      <c r="K935" s="12"/>
      <c r="L935" s="12"/>
    </row>
    <row r="936" customFormat="false" ht="15" hidden="false" customHeight="false" outlineLevel="0" collapsed="false">
      <c r="A936" s="12"/>
      <c r="B936" s="12"/>
      <c r="C936" s="12"/>
      <c r="D936" s="12"/>
      <c r="E936" s="12"/>
      <c r="F936" s="17" t="str">
        <f aca="false">IF(B936="","",TRIM(B936&amp;" "&amp;C936&amp;" "&amp;D936))</f>
        <v/>
      </c>
      <c r="G936" s="12"/>
      <c r="H936" s="12"/>
      <c r="I936" s="12"/>
      <c r="J936" s="17" t="str">
        <f aca="false">IF(I936="","",IF(COUNTIF(Emplacements!$A$2:$A$1001,I936)=0,"⚠ emplacement inconnu",IF(AND(H936&lt;&gt;"",LEFT(I936,1)&lt;&gt;H936),"⚠ mauvaise zone","OK")))</f>
        <v/>
      </c>
      <c r="K936" s="12"/>
      <c r="L936" s="12"/>
    </row>
    <row r="937" customFormat="false" ht="15" hidden="false" customHeight="false" outlineLevel="0" collapsed="false">
      <c r="A937" s="12"/>
      <c r="B937" s="12"/>
      <c r="C937" s="12"/>
      <c r="D937" s="12"/>
      <c r="E937" s="12"/>
      <c r="F937" s="17" t="str">
        <f aca="false">IF(B937="","",TRIM(B937&amp;" "&amp;C937&amp;" "&amp;D937))</f>
        <v/>
      </c>
      <c r="G937" s="12"/>
      <c r="H937" s="12"/>
      <c r="I937" s="12"/>
      <c r="J937" s="17" t="str">
        <f aca="false">IF(I937="","",IF(COUNTIF(Emplacements!$A$2:$A$1001,I937)=0,"⚠ emplacement inconnu",IF(AND(H937&lt;&gt;"",LEFT(I937,1)&lt;&gt;H937),"⚠ mauvaise zone","OK")))</f>
        <v/>
      </c>
      <c r="K937" s="12"/>
      <c r="L937" s="12"/>
    </row>
    <row r="938" customFormat="false" ht="15" hidden="false" customHeight="false" outlineLevel="0" collapsed="false">
      <c r="A938" s="12"/>
      <c r="B938" s="12"/>
      <c r="C938" s="12"/>
      <c r="D938" s="12"/>
      <c r="E938" s="12"/>
      <c r="F938" s="17" t="str">
        <f aca="false">IF(B938="","",TRIM(B938&amp;" "&amp;C938&amp;" "&amp;D938))</f>
        <v/>
      </c>
      <c r="G938" s="12"/>
      <c r="H938" s="12"/>
      <c r="I938" s="12"/>
      <c r="J938" s="17" t="str">
        <f aca="false">IF(I938="","",IF(COUNTIF(Emplacements!$A$2:$A$1001,I938)=0,"⚠ emplacement inconnu",IF(AND(H938&lt;&gt;"",LEFT(I938,1)&lt;&gt;H938),"⚠ mauvaise zone","OK")))</f>
        <v/>
      </c>
      <c r="K938" s="12"/>
      <c r="L938" s="12"/>
    </row>
    <row r="939" customFormat="false" ht="15" hidden="false" customHeight="false" outlineLevel="0" collapsed="false">
      <c r="A939" s="12"/>
      <c r="B939" s="12"/>
      <c r="C939" s="12"/>
      <c r="D939" s="12"/>
      <c r="E939" s="12"/>
      <c r="F939" s="17" t="str">
        <f aca="false">IF(B939="","",TRIM(B939&amp;" "&amp;C939&amp;" "&amp;D939))</f>
        <v/>
      </c>
      <c r="G939" s="12"/>
      <c r="H939" s="12"/>
      <c r="I939" s="12"/>
      <c r="J939" s="17" t="str">
        <f aca="false">IF(I939="","",IF(COUNTIF(Emplacements!$A$2:$A$1001,I939)=0,"⚠ emplacement inconnu",IF(AND(H939&lt;&gt;"",LEFT(I939,1)&lt;&gt;H939),"⚠ mauvaise zone","OK")))</f>
        <v/>
      </c>
      <c r="K939" s="12"/>
      <c r="L939" s="12"/>
    </row>
    <row r="940" customFormat="false" ht="15" hidden="false" customHeight="false" outlineLevel="0" collapsed="false">
      <c r="A940" s="12"/>
      <c r="B940" s="12"/>
      <c r="C940" s="12"/>
      <c r="D940" s="12"/>
      <c r="E940" s="12"/>
      <c r="F940" s="17" t="str">
        <f aca="false">IF(B940="","",TRIM(B940&amp;" "&amp;C940&amp;" "&amp;D940))</f>
        <v/>
      </c>
      <c r="G940" s="12"/>
      <c r="H940" s="12"/>
      <c r="I940" s="12"/>
      <c r="J940" s="17" t="str">
        <f aca="false">IF(I940="","",IF(COUNTIF(Emplacements!$A$2:$A$1001,I940)=0,"⚠ emplacement inconnu",IF(AND(H940&lt;&gt;"",LEFT(I940,1)&lt;&gt;H940),"⚠ mauvaise zone","OK")))</f>
        <v/>
      </c>
      <c r="K940" s="12"/>
      <c r="L940" s="12"/>
    </row>
    <row r="941" customFormat="false" ht="15" hidden="false" customHeight="false" outlineLevel="0" collapsed="false">
      <c r="A941" s="12"/>
      <c r="B941" s="12"/>
      <c r="C941" s="12"/>
      <c r="D941" s="12"/>
      <c r="E941" s="12"/>
      <c r="F941" s="17" t="str">
        <f aca="false">IF(B941="","",TRIM(B941&amp;" "&amp;C941&amp;" "&amp;D941))</f>
        <v/>
      </c>
      <c r="G941" s="12"/>
      <c r="H941" s="12"/>
      <c r="I941" s="12"/>
      <c r="J941" s="17" t="str">
        <f aca="false">IF(I941="","",IF(COUNTIF(Emplacements!$A$2:$A$1001,I941)=0,"⚠ emplacement inconnu",IF(AND(H941&lt;&gt;"",LEFT(I941,1)&lt;&gt;H941),"⚠ mauvaise zone","OK")))</f>
        <v/>
      </c>
      <c r="K941" s="12"/>
      <c r="L941" s="12"/>
    </row>
    <row r="942" customFormat="false" ht="15" hidden="false" customHeight="false" outlineLevel="0" collapsed="false">
      <c r="A942" s="12"/>
      <c r="B942" s="12"/>
      <c r="C942" s="12"/>
      <c r="D942" s="12"/>
      <c r="E942" s="12"/>
      <c r="F942" s="17" t="str">
        <f aca="false">IF(B942="","",TRIM(B942&amp;" "&amp;C942&amp;" "&amp;D942))</f>
        <v/>
      </c>
      <c r="G942" s="12"/>
      <c r="H942" s="12"/>
      <c r="I942" s="12"/>
      <c r="J942" s="17" t="str">
        <f aca="false">IF(I942="","",IF(COUNTIF(Emplacements!$A$2:$A$1001,I942)=0,"⚠ emplacement inconnu",IF(AND(H942&lt;&gt;"",LEFT(I942,1)&lt;&gt;H942),"⚠ mauvaise zone","OK")))</f>
        <v/>
      </c>
      <c r="K942" s="12"/>
      <c r="L942" s="12"/>
    </row>
    <row r="943" customFormat="false" ht="15" hidden="false" customHeight="false" outlineLevel="0" collapsed="false">
      <c r="A943" s="12"/>
      <c r="B943" s="12"/>
      <c r="C943" s="12"/>
      <c r="D943" s="12"/>
      <c r="E943" s="12"/>
      <c r="F943" s="17" t="str">
        <f aca="false">IF(B943="","",TRIM(B943&amp;" "&amp;C943&amp;" "&amp;D943))</f>
        <v/>
      </c>
      <c r="G943" s="12"/>
      <c r="H943" s="12"/>
      <c r="I943" s="12"/>
      <c r="J943" s="17" t="str">
        <f aca="false">IF(I943="","",IF(COUNTIF(Emplacements!$A$2:$A$1001,I943)=0,"⚠ emplacement inconnu",IF(AND(H943&lt;&gt;"",LEFT(I943,1)&lt;&gt;H943),"⚠ mauvaise zone","OK")))</f>
        <v/>
      </c>
      <c r="K943" s="12"/>
      <c r="L943" s="12"/>
    </row>
    <row r="944" customFormat="false" ht="15" hidden="false" customHeight="false" outlineLevel="0" collapsed="false">
      <c r="A944" s="12"/>
      <c r="B944" s="12"/>
      <c r="C944" s="12"/>
      <c r="D944" s="12"/>
      <c r="E944" s="12"/>
      <c r="F944" s="17" t="str">
        <f aca="false">IF(B944="","",TRIM(B944&amp;" "&amp;C944&amp;" "&amp;D944))</f>
        <v/>
      </c>
      <c r="G944" s="12"/>
      <c r="H944" s="12"/>
      <c r="I944" s="12"/>
      <c r="J944" s="17" t="str">
        <f aca="false">IF(I944="","",IF(COUNTIF(Emplacements!$A$2:$A$1001,I944)=0,"⚠ emplacement inconnu",IF(AND(H944&lt;&gt;"",LEFT(I944,1)&lt;&gt;H944),"⚠ mauvaise zone","OK")))</f>
        <v/>
      </c>
      <c r="K944" s="12"/>
      <c r="L944" s="12"/>
    </row>
    <row r="945" customFormat="false" ht="15" hidden="false" customHeight="false" outlineLevel="0" collapsed="false">
      <c r="A945" s="12"/>
      <c r="B945" s="12"/>
      <c r="C945" s="12"/>
      <c r="D945" s="12"/>
      <c r="E945" s="12"/>
      <c r="F945" s="17" t="str">
        <f aca="false">IF(B945="","",TRIM(B945&amp;" "&amp;C945&amp;" "&amp;D945))</f>
        <v/>
      </c>
      <c r="G945" s="12"/>
      <c r="H945" s="12"/>
      <c r="I945" s="12"/>
      <c r="J945" s="17" t="str">
        <f aca="false">IF(I945="","",IF(COUNTIF(Emplacements!$A$2:$A$1001,I945)=0,"⚠ emplacement inconnu",IF(AND(H945&lt;&gt;"",LEFT(I945,1)&lt;&gt;H945),"⚠ mauvaise zone","OK")))</f>
        <v/>
      </c>
      <c r="K945" s="12"/>
      <c r="L945" s="12"/>
    </row>
    <row r="946" customFormat="false" ht="15" hidden="false" customHeight="false" outlineLevel="0" collapsed="false">
      <c r="A946" s="12"/>
      <c r="B946" s="12"/>
      <c r="C946" s="12"/>
      <c r="D946" s="12"/>
      <c r="E946" s="12"/>
      <c r="F946" s="17" t="str">
        <f aca="false">IF(B946="","",TRIM(B946&amp;" "&amp;C946&amp;" "&amp;D946))</f>
        <v/>
      </c>
      <c r="G946" s="12"/>
      <c r="H946" s="12"/>
      <c r="I946" s="12"/>
      <c r="J946" s="17" t="str">
        <f aca="false">IF(I946="","",IF(COUNTIF(Emplacements!$A$2:$A$1001,I946)=0,"⚠ emplacement inconnu",IF(AND(H946&lt;&gt;"",LEFT(I946,1)&lt;&gt;H946),"⚠ mauvaise zone","OK")))</f>
        <v/>
      </c>
      <c r="K946" s="12"/>
      <c r="L946" s="12"/>
    </row>
    <row r="947" customFormat="false" ht="15" hidden="false" customHeight="false" outlineLevel="0" collapsed="false">
      <c r="A947" s="12"/>
      <c r="B947" s="12"/>
      <c r="C947" s="12"/>
      <c r="D947" s="12"/>
      <c r="E947" s="12"/>
      <c r="F947" s="17" t="str">
        <f aca="false">IF(B947="","",TRIM(B947&amp;" "&amp;C947&amp;" "&amp;D947))</f>
        <v/>
      </c>
      <c r="G947" s="12"/>
      <c r="H947" s="12"/>
      <c r="I947" s="12"/>
      <c r="J947" s="17" t="str">
        <f aca="false">IF(I947="","",IF(COUNTIF(Emplacements!$A$2:$A$1001,I947)=0,"⚠ emplacement inconnu",IF(AND(H947&lt;&gt;"",LEFT(I947,1)&lt;&gt;H947),"⚠ mauvaise zone","OK")))</f>
        <v/>
      </c>
      <c r="K947" s="12"/>
      <c r="L947" s="12"/>
    </row>
    <row r="948" customFormat="false" ht="15" hidden="false" customHeight="false" outlineLevel="0" collapsed="false">
      <c r="A948" s="12"/>
      <c r="B948" s="12"/>
      <c r="C948" s="12"/>
      <c r="D948" s="12"/>
      <c r="E948" s="12"/>
      <c r="F948" s="17" t="str">
        <f aca="false">IF(B948="","",TRIM(B948&amp;" "&amp;C948&amp;" "&amp;D948))</f>
        <v/>
      </c>
      <c r="G948" s="12"/>
      <c r="H948" s="12"/>
      <c r="I948" s="12"/>
      <c r="J948" s="17" t="str">
        <f aca="false">IF(I948="","",IF(COUNTIF(Emplacements!$A$2:$A$1001,I948)=0,"⚠ emplacement inconnu",IF(AND(H948&lt;&gt;"",LEFT(I948,1)&lt;&gt;H948),"⚠ mauvaise zone","OK")))</f>
        <v/>
      </c>
      <c r="K948" s="12"/>
      <c r="L948" s="12"/>
    </row>
    <row r="949" customFormat="false" ht="15" hidden="false" customHeight="false" outlineLevel="0" collapsed="false">
      <c r="A949" s="12"/>
      <c r="B949" s="12"/>
      <c r="C949" s="12"/>
      <c r="D949" s="12"/>
      <c r="E949" s="12"/>
      <c r="F949" s="17" t="str">
        <f aca="false">IF(B949="","",TRIM(B949&amp;" "&amp;C949&amp;" "&amp;D949))</f>
        <v/>
      </c>
      <c r="G949" s="12"/>
      <c r="H949" s="12"/>
      <c r="I949" s="12"/>
      <c r="J949" s="17" t="str">
        <f aca="false">IF(I949="","",IF(COUNTIF(Emplacements!$A$2:$A$1001,I949)=0,"⚠ emplacement inconnu",IF(AND(H949&lt;&gt;"",LEFT(I949,1)&lt;&gt;H949),"⚠ mauvaise zone","OK")))</f>
        <v/>
      </c>
      <c r="K949" s="12"/>
      <c r="L949" s="12"/>
    </row>
    <row r="950" customFormat="false" ht="15" hidden="false" customHeight="false" outlineLevel="0" collapsed="false">
      <c r="A950" s="12"/>
      <c r="B950" s="12"/>
      <c r="C950" s="12"/>
      <c r="D950" s="12"/>
      <c r="E950" s="12"/>
      <c r="F950" s="17" t="str">
        <f aca="false">IF(B950="","",TRIM(B950&amp;" "&amp;C950&amp;" "&amp;D950))</f>
        <v/>
      </c>
      <c r="G950" s="12"/>
      <c r="H950" s="12"/>
      <c r="I950" s="12"/>
      <c r="J950" s="17" t="str">
        <f aca="false">IF(I950="","",IF(COUNTIF(Emplacements!$A$2:$A$1001,I950)=0,"⚠ emplacement inconnu",IF(AND(H950&lt;&gt;"",LEFT(I950,1)&lt;&gt;H950),"⚠ mauvaise zone","OK")))</f>
        <v/>
      </c>
      <c r="K950" s="12"/>
      <c r="L950" s="12"/>
    </row>
    <row r="951" customFormat="false" ht="15" hidden="false" customHeight="false" outlineLevel="0" collapsed="false">
      <c r="A951" s="12"/>
      <c r="B951" s="12"/>
      <c r="C951" s="12"/>
      <c r="D951" s="12"/>
      <c r="E951" s="12"/>
      <c r="F951" s="17" t="str">
        <f aca="false">IF(B951="","",TRIM(B951&amp;" "&amp;C951&amp;" "&amp;D951))</f>
        <v/>
      </c>
      <c r="G951" s="12"/>
      <c r="H951" s="12"/>
      <c r="I951" s="12"/>
      <c r="J951" s="17" t="str">
        <f aca="false">IF(I951="","",IF(COUNTIF(Emplacements!$A$2:$A$1001,I951)=0,"⚠ emplacement inconnu",IF(AND(H951&lt;&gt;"",LEFT(I951,1)&lt;&gt;H951),"⚠ mauvaise zone","OK")))</f>
        <v/>
      </c>
      <c r="K951" s="12"/>
      <c r="L951" s="12"/>
    </row>
    <row r="952" customFormat="false" ht="15" hidden="false" customHeight="false" outlineLevel="0" collapsed="false">
      <c r="A952" s="12"/>
      <c r="B952" s="12"/>
      <c r="C952" s="12"/>
      <c r="D952" s="12"/>
      <c r="E952" s="12"/>
      <c r="F952" s="17" t="str">
        <f aca="false">IF(B952="","",TRIM(B952&amp;" "&amp;C952&amp;" "&amp;D952))</f>
        <v/>
      </c>
      <c r="G952" s="12"/>
      <c r="H952" s="12"/>
      <c r="I952" s="12"/>
      <c r="J952" s="17" t="str">
        <f aca="false">IF(I952="","",IF(COUNTIF(Emplacements!$A$2:$A$1001,I952)=0,"⚠ emplacement inconnu",IF(AND(H952&lt;&gt;"",LEFT(I952,1)&lt;&gt;H952),"⚠ mauvaise zone","OK")))</f>
        <v/>
      </c>
      <c r="K952" s="12"/>
      <c r="L952" s="12"/>
    </row>
    <row r="953" customFormat="false" ht="15" hidden="false" customHeight="false" outlineLevel="0" collapsed="false">
      <c r="A953" s="12"/>
      <c r="B953" s="12"/>
      <c r="C953" s="12"/>
      <c r="D953" s="12"/>
      <c r="E953" s="12"/>
      <c r="F953" s="17" t="str">
        <f aca="false">IF(B953="","",TRIM(B953&amp;" "&amp;C953&amp;" "&amp;D953))</f>
        <v/>
      </c>
      <c r="G953" s="12"/>
      <c r="H953" s="12"/>
      <c r="I953" s="12"/>
      <c r="J953" s="17" t="str">
        <f aca="false">IF(I953="","",IF(COUNTIF(Emplacements!$A$2:$A$1001,I953)=0,"⚠ emplacement inconnu",IF(AND(H953&lt;&gt;"",LEFT(I953,1)&lt;&gt;H953),"⚠ mauvaise zone","OK")))</f>
        <v/>
      </c>
      <c r="K953" s="12"/>
      <c r="L953" s="12"/>
    </row>
    <row r="954" customFormat="false" ht="15" hidden="false" customHeight="false" outlineLevel="0" collapsed="false">
      <c r="A954" s="12"/>
      <c r="B954" s="12"/>
      <c r="C954" s="12"/>
      <c r="D954" s="12"/>
      <c r="E954" s="12"/>
      <c r="F954" s="17" t="str">
        <f aca="false">IF(B954="","",TRIM(B954&amp;" "&amp;C954&amp;" "&amp;D954))</f>
        <v/>
      </c>
      <c r="G954" s="12"/>
      <c r="H954" s="12"/>
      <c r="I954" s="12"/>
      <c r="J954" s="17" t="str">
        <f aca="false">IF(I954="","",IF(COUNTIF(Emplacements!$A$2:$A$1001,I954)=0,"⚠ emplacement inconnu",IF(AND(H954&lt;&gt;"",LEFT(I954,1)&lt;&gt;H954),"⚠ mauvaise zone","OK")))</f>
        <v/>
      </c>
      <c r="K954" s="12"/>
      <c r="L954" s="12"/>
    </row>
    <row r="955" customFormat="false" ht="15" hidden="false" customHeight="false" outlineLevel="0" collapsed="false">
      <c r="A955" s="12"/>
      <c r="B955" s="12"/>
      <c r="C955" s="12"/>
      <c r="D955" s="12"/>
      <c r="E955" s="12"/>
      <c r="F955" s="17" t="str">
        <f aca="false">IF(B955="","",TRIM(B955&amp;" "&amp;C955&amp;" "&amp;D955))</f>
        <v/>
      </c>
      <c r="G955" s="12"/>
      <c r="H955" s="12"/>
      <c r="I955" s="12"/>
      <c r="J955" s="17" t="str">
        <f aca="false">IF(I955="","",IF(COUNTIF(Emplacements!$A$2:$A$1001,I955)=0,"⚠ emplacement inconnu",IF(AND(H955&lt;&gt;"",LEFT(I955,1)&lt;&gt;H955),"⚠ mauvaise zone","OK")))</f>
        <v/>
      </c>
      <c r="K955" s="12"/>
      <c r="L955" s="12"/>
    </row>
    <row r="956" customFormat="false" ht="15" hidden="false" customHeight="false" outlineLevel="0" collapsed="false">
      <c r="A956" s="12"/>
      <c r="B956" s="12"/>
      <c r="C956" s="12"/>
      <c r="D956" s="12"/>
      <c r="E956" s="12"/>
      <c r="F956" s="17" t="str">
        <f aca="false">IF(B956="","",TRIM(B956&amp;" "&amp;C956&amp;" "&amp;D956))</f>
        <v/>
      </c>
      <c r="G956" s="12"/>
      <c r="H956" s="12"/>
      <c r="I956" s="12"/>
      <c r="J956" s="17" t="str">
        <f aca="false">IF(I956="","",IF(COUNTIF(Emplacements!$A$2:$A$1001,I956)=0,"⚠ emplacement inconnu",IF(AND(H956&lt;&gt;"",LEFT(I956,1)&lt;&gt;H956),"⚠ mauvaise zone","OK")))</f>
        <v/>
      </c>
      <c r="K956" s="12"/>
      <c r="L956" s="12"/>
    </row>
    <row r="957" customFormat="false" ht="15" hidden="false" customHeight="false" outlineLevel="0" collapsed="false">
      <c r="A957" s="12"/>
      <c r="B957" s="12"/>
      <c r="C957" s="12"/>
      <c r="D957" s="12"/>
      <c r="E957" s="12"/>
      <c r="F957" s="17" t="str">
        <f aca="false">IF(B957="","",TRIM(B957&amp;" "&amp;C957&amp;" "&amp;D957))</f>
        <v/>
      </c>
      <c r="G957" s="12"/>
      <c r="H957" s="12"/>
      <c r="I957" s="12"/>
      <c r="J957" s="17" t="str">
        <f aca="false">IF(I957="","",IF(COUNTIF(Emplacements!$A$2:$A$1001,I957)=0,"⚠ emplacement inconnu",IF(AND(H957&lt;&gt;"",LEFT(I957,1)&lt;&gt;H957),"⚠ mauvaise zone","OK")))</f>
        <v/>
      </c>
      <c r="K957" s="12"/>
      <c r="L957" s="12"/>
    </row>
    <row r="958" customFormat="false" ht="15" hidden="false" customHeight="false" outlineLevel="0" collapsed="false">
      <c r="A958" s="12"/>
      <c r="B958" s="12"/>
      <c r="C958" s="12"/>
      <c r="D958" s="12"/>
      <c r="E958" s="12"/>
      <c r="F958" s="17" t="str">
        <f aca="false">IF(B958="","",TRIM(B958&amp;" "&amp;C958&amp;" "&amp;D958))</f>
        <v/>
      </c>
      <c r="G958" s="12"/>
      <c r="H958" s="12"/>
      <c r="I958" s="12"/>
      <c r="J958" s="17" t="str">
        <f aca="false">IF(I958="","",IF(COUNTIF(Emplacements!$A$2:$A$1001,I958)=0,"⚠ emplacement inconnu",IF(AND(H958&lt;&gt;"",LEFT(I958,1)&lt;&gt;H958),"⚠ mauvaise zone","OK")))</f>
        <v/>
      </c>
      <c r="K958" s="12"/>
      <c r="L958" s="12"/>
    </row>
    <row r="959" customFormat="false" ht="15" hidden="false" customHeight="false" outlineLevel="0" collapsed="false">
      <c r="A959" s="12"/>
      <c r="B959" s="12"/>
      <c r="C959" s="12"/>
      <c r="D959" s="12"/>
      <c r="E959" s="12"/>
      <c r="F959" s="17" t="str">
        <f aca="false">IF(B959="","",TRIM(B959&amp;" "&amp;C959&amp;" "&amp;D959))</f>
        <v/>
      </c>
      <c r="G959" s="12"/>
      <c r="H959" s="12"/>
      <c r="I959" s="12"/>
      <c r="J959" s="17" t="str">
        <f aca="false">IF(I959="","",IF(COUNTIF(Emplacements!$A$2:$A$1001,I959)=0,"⚠ emplacement inconnu",IF(AND(H959&lt;&gt;"",LEFT(I959,1)&lt;&gt;H959),"⚠ mauvaise zone","OK")))</f>
        <v/>
      </c>
      <c r="K959" s="12"/>
      <c r="L959" s="12"/>
    </row>
    <row r="960" customFormat="false" ht="15" hidden="false" customHeight="false" outlineLevel="0" collapsed="false">
      <c r="A960" s="12"/>
      <c r="B960" s="12"/>
      <c r="C960" s="12"/>
      <c r="D960" s="12"/>
      <c r="E960" s="12"/>
      <c r="F960" s="17" t="str">
        <f aca="false">IF(B960="","",TRIM(B960&amp;" "&amp;C960&amp;" "&amp;D960))</f>
        <v/>
      </c>
      <c r="G960" s="12"/>
      <c r="H960" s="12"/>
      <c r="I960" s="12"/>
      <c r="J960" s="17" t="str">
        <f aca="false">IF(I960="","",IF(COUNTIF(Emplacements!$A$2:$A$1001,I960)=0,"⚠ emplacement inconnu",IF(AND(H960&lt;&gt;"",LEFT(I960,1)&lt;&gt;H960),"⚠ mauvaise zone","OK")))</f>
        <v/>
      </c>
      <c r="K960" s="12"/>
      <c r="L960" s="12"/>
    </row>
    <row r="961" customFormat="false" ht="15" hidden="false" customHeight="false" outlineLevel="0" collapsed="false">
      <c r="A961" s="12"/>
      <c r="B961" s="12"/>
      <c r="C961" s="12"/>
      <c r="D961" s="12"/>
      <c r="E961" s="12"/>
      <c r="F961" s="17" t="str">
        <f aca="false">IF(B961="","",TRIM(B961&amp;" "&amp;C961&amp;" "&amp;D961))</f>
        <v/>
      </c>
      <c r="G961" s="12"/>
      <c r="H961" s="12"/>
      <c r="I961" s="12"/>
      <c r="J961" s="17" t="str">
        <f aca="false">IF(I961="","",IF(COUNTIF(Emplacements!$A$2:$A$1001,I961)=0,"⚠ emplacement inconnu",IF(AND(H961&lt;&gt;"",LEFT(I961,1)&lt;&gt;H961),"⚠ mauvaise zone","OK")))</f>
        <v/>
      </c>
      <c r="K961" s="12"/>
      <c r="L961" s="12"/>
    </row>
    <row r="962" customFormat="false" ht="15" hidden="false" customHeight="false" outlineLevel="0" collapsed="false">
      <c r="A962" s="12"/>
      <c r="B962" s="12"/>
      <c r="C962" s="12"/>
      <c r="D962" s="12"/>
      <c r="E962" s="12"/>
      <c r="F962" s="17" t="str">
        <f aca="false">IF(B962="","",TRIM(B962&amp;" "&amp;C962&amp;" "&amp;D962))</f>
        <v/>
      </c>
      <c r="G962" s="12"/>
      <c r="H962" s="12"/>
      <c r="I962" s="12"/>
      <c r="J962" s="17" t="str">
        <f aca="false">IF(I962="","",IF(COUNTIF(Emplacements!$A$2:$A$1001,I962)=0,"⚠ emplacement inconnu",IF(AND(H962&lt;&gt;"",LEFT(I962,1)&lt;&gt;H962),"⚠ mauvaise zone","OK")))</f>
        <v/>
      </c>
      <c r="K962" s="12"/>
      <c r="L962" s="12"/>
    </row>
    <row r="963" customFormat="false" ht="15" hidden="false" customHeight="false" outlineLevel="0" collapsed="false">
      <c r="A963" s="12"/>
      <c r="B963" s="12"/>
      <c r="C963" s="12"/>
      <c r="D963" s="12"/>
      <c r="E963" s="12"/>
      <c r="F963" s="17" t="str">
        <f aca="false">IF(B963="","",TRIM(B963&amp;" "&amp;C963&amp;" "&amp;D963))</f>
        <v/>
      </c>
      <c r="G963" s="12"/>
      <c r="H963" s="12"/>
      <c r="I963" s="12"/>
      <c r="J963" s="17" t="str">
        <f aca="false">IF(I963="","",IF(COUNTIF(Emplacements!$A$2:$A$1001,I963)=0,"⚠ emplacement inconnu",IF(AND(H963&lt;&gt;"",LEFT(I963,1)&lt;&gt;H963),"⚠ mauvaise zone","OK")))</f>
        <v/>
      </c>
      <c r="K963" s="12"/>
      <c r="L963" s="12"/>
    </row>
    <row r="964" customFormat="false" ht="15" hidden="false" customHeight="false" outlineLevel="0" collapsed="false">
      <c r="A964" s="12"/>
      <c r="B964" s="12"/>
      <c r="C964" s="12"/>
      <c r="D964" s="12"/>
      <c r="E964" s="12"/>
      <c r="F964" s="17" t="str">
        <f aca="false">IF(B964="","",TRIM(B964&amp;" "&amp;C964&amp;" "&amp;D964))</f>
        <v/>
      </c>
      <c r="G964" s="12"/>
      <c r="H964" s="12"/>
      <c r="I964" s="12"/>
      <c r="J964" s="17" t="str">
        <f aca="false">IF(I964="","",IF(COUNTIF(Emplacements!$A$2:$A$1001,I964)=0,"⚠ emplacement inconnu",IF(AND(H964&lt;&gt;"",LEFT(I964,1)&lt;&gt;H964),"⚠ mauvaise zone","OK")))</f>
        <v/>
      </c>
      <c r="K964" s="12"/>
      <c r="L964" s="12"/>
    </row>
    <row r="965" customFormat="false" ht="15" hidden="false" customHeight="false" outlineLevel="0" collapsed="false">
      <c r="A965" s="12"/>
      <c r="B965" s="12"/>
      <c r="C965" s="12"/>
      <c r="D965" s="12"/>
      <c r="E965" s="12"/>
      <c r="F965" s="17" t="str">
        <f aca="false">IF(B965="","",TRIM(B965&amp;" "&amp;C965&amp;" "&amp;D965))</f>
        <v/>
      </c>
      <c r="G965" s="12"/>
      <c r="H965" s="12"/>
      <c r="I965" s="12"/>
      <c r="J965" s="17" t="str">
        <f aca="false">IF(I965="","",IF(COUNTIF(Emplacements!$A$2:$A$1001,I965)=0,"⚠ emplacement inconnu",IF(AND(H965&lt;&gt;"",LEFT(I965,1)&lt;&gt;H965),"⚠ mauvaise zone","OK")))</f>
        <v/>
      </c>
      <c r="K965" s="12"/>
      <c r="L965" s="12"/>
    </row>
    <row r="966" customFormat="false" ht="15" hidden="false" customHeight="false" outlineLevel="0" collapsed="false">
      <c r="A966" s="12"/>
      <c r="B966" s="12"/>
      <c r="C966" s="12"/>
      <c r="D966" s="12"/>
      <c r="E966" s="12"/>
      <c r="F966" s="17" t="str">
        <f aca="false">IF(B966="","",TRIM(B966&amp;" "&amp;C966&amp;" "&amp;D966))</f>
        <v/>
      </c>
      <c r="G966" s="12"/>
      <c r="H966" s="12"/>
      <c r="I966" s="12"/>
      <c r="J966" s="17" t="str">
        <f aca="false">IF(I966="","",IF(COUNTIF(Emplacements!$A$2:$A$1001,I966)=0,"⚠ emplacement inconnu",IF(AND(H966&lt;&gt;"",LEFT(I966,1)&lt;&gt;H966),"⚠ mauvaise zone","OK")))</f>
        <v/>
      </c>
      <c r="K966" s="12"/>
      <c r="L966" s="12"/>
    </row>
    <row r="967" customFormat="false" ht="15" hidden="false" customHeight="false" outlineLevel="0" collapsed="false">
      <c r="A967" s="12"/>
      <c r="B967" s="12"/>
      <c r="C967" s="12"/>
      <c r="D967" s="12"/>
      <c r="E967" s="12"/>
      <c r="F967" s="17" t="str">
        <f aca="false">IF(B967="","",TRIM(B967&amp;" "&amp;C967&amp;" "&amp;D967))</f>
        <v/>
      </c>
      <c r="G967" s="12"/>
      <c r="H967" s="12"/>
      <c r="I967" s="12"/>
      <c r="J967" s="17" t="str">
        <f aca="false">IF(I967="","",IF(COUNTIF(Emplacements!$A$2:$A$1001,I967)=0,"⚠ emplacement inconnu",IF(AND(H967&lt;&gt;"",LEFT(I967,1)&lt;&gt;H967),"⚠ mauvaise zone","OK")))</f>
        <v/>
      </c>
      <c r="K967" s="12"/>
      <c r="L967" s="12"/>
    </row>
    <row r="968" customFormat="false" ht="15" hidden="false" customHeight="false" outlineLevel="0" collapsed="false">
      <c r="A968" s="12"/>
      <c r="B968" s="12"/>
      <c r="C968" s="12"/>
      <c r="D968" s="12"/>
      <c r="E968" s="12"/>
      <c r="F968" s="17" t="str">
        <f aca="false">IF(B968="","",TRIM(B968&amp;" "&amp;C968&amp;" "&amp;D968))</f>
        <v/>
      </c>
      <c r="G968" s="12"/>
      <c r="H968" s="12"/>
      <c r="I968" s="12"/>
      <c r="J968" s="17" t="str">
        <f aca="false">IF(I968="","",IF(COUNTIF(Emplacements!$A$2:$A$1001,I968)=0,"⚠ emplacement inconnu",IF(AND(H968&lt;&gt;"",LEFT(I968,1)&lt;&gt;H968),"⚠ mauvaise zone","OK")))</f>
        <v/>
      </c>
      <c r="K968" s="12"/>
      <c r="L968" s="12"/>
    </row>
    <row r="969" customFormat="false" ht="15" hidden="false" customHeight="false" outlineLevel="0" collapsed="false">
      <c r="A969" s="12"/>
      <c r="B969" s="12"/>
      <c r="C969" s="12"/>
      <c r="D969" s="12"/>
      <c r="E969" s="12"/>
      <c r="F969" s="17" t="str">
        <f aca="false">IF(B969="","",TRIM(B969&amp;" "&amp;C969&amp;" "&amp;D969))</f>
        <v/>
      </c>
      <c r="G969" s="12"/>
      <c r="H969" s="12"/>
      <c r="I969" s="12"/>
      <c r="J969" s="17" t="str">
        <f aca="false">IF(I969="","",IF(COUNTIF(Emplacements!$A$2:$A$1001,I969)=0,"⚠ emplacement inconnu",IF(AND(H969&lt;&gt;"",LEFT(I969,1)&lt;&gt;H969),"⚠ mauvaise zone","OK")))</f>
        <v/>
      </c>
      <c r="K969" s="12"/>
      <c r="L969" s="12"/>
    </row>
    <row r="970" customFormat="false" ht="15" hidden="false" customHeight="false" outlineLevel="0" collapsed="false">
      <c r="A970" s="12"/>
      <c r="B970" s="12"/>
      <c r="C970" s="12"/>
      <c r="D970" s="12"/>
      <c r="E970" s="12"/>
      <c r="F970" s="17" t="str">
        <f aca="false">IF(B970="","",TRIM(B970&amp;" "&amp;C970&amp;" "&amp;D970))</f>
        <v/>
      </c>
      <c r="G970" s="12"/>
      <c r="H970" s="12"/>
      <c r="I970" s="12"/>
      <c r="J970" s="17" t="str">
        <f aca="false">IF(I970="","",IF(COUNTIF(Emplacements!$A$2:$A$1001,I970)=0,"⚠ emplacement inconnu",IF(AND(H970&lt;&gt;"",LEFT(I970,1)&lt;&gt;H970),"⚠ mauvaise zone","OK")))</f>
        <v/>
      </c>
      <c r="K970" s="12"/>
      <c r="L970" s="12"/>
    </row>
    <row r="971" customFormat="false" ht="15" hidden="false" customHeight="false" outlineLevel="0" collapsed="false">
      <c r="A971" s="12"/>
      <c r="B971" s="12"/>
      <c r="C971" s="12"/>
      <c r="D971" s="12"/>
      <c r="E971" s="12"/>
      <c r="F971" s="17" t="str">
        <f aca="false">IF(B971="","",TRIM(B971&amp;" "&amp;C971&amp;" "&amp;D971))</f>
        <v/>
      </c>
      <c r="G971" s="12"/>
      <c r="H971" s="12"/>
      <c r="I971" s="12"/>
      <c r="J971" s="17" t="str">
        <f aca="false">IF(I971="","",IF(COUNTIF(Emplacements!$A$2:$A$1001,I971)=0,"⚠ emplacement inconnu",IF(AND(H971&lt;&gt;"",LEFT(I971,1)&lt;&gt;H971),"⚠ mauvaise zone","OK")))</f>
        <v/>
      </c>
      <c r="K971" s="12"/>
      <c r="L971" s="12"/>
    </row>
    <row r="972" customFormat="false" ht="15" hidden="false" customHeight="false" outlineLevel="0" collapsed="false">
      <c r="A972" s="12"/>
      <c r="B972" s="12"/>
      <c r="C972" s="12"/>
      <c r="D972" s="12"/>
      <c r="E972" s="12"/>
      <c r="F972" s="17" t="str">
        <f aca="false">IF(B972="","",TRIM(B972&amp;" "&amp;C972&amp;" "&amp;D972))</f>
        <v/>
      </c>
      <c r="G972" s="12"/>
      <c r="H972" s="12"/>
      <c r="I972" s="12"/>
      <c r="J972" s="17" t="str">
        <f aca="false">IF(I972="","",IF(COUNTIF(Emplacements!$A$2:$A$1001,I972)=0,"⚠ emplacement inconnu",IF(AND(H972&lt;&gt;"",LEFT(I972,1)&lt;&gt;H972),"⚠ mauvaise zone","OK")))</f>
        <v/>
      </c>
      <c r="K972" s="12"/>
      <c r="L972" s="12"/>
    </row>
    <row r="973" customFormat="false" ht="15" hidden="false" customHeight="false" outlineLevel="0" collapsed="false">
      <c r="A973" s="12"/>
      <c r="B973" s="12"/>
      <c r="C973" s="12"/>
      <c r="D973" s="12"/>
      <c r="E973" s="12"/>
      <c r="F973" s="17" t="str">
        <f aca="false">IF(B973="","",TRIM(B973&amp;" "&amp;C973&amp;" "&amp;D973))</f>
        <v/>
      </c>
      <c r="G973" s="12"/>
      <c r="H973" s="12"/>
      <c r="I973" s="12"/>
      <c r="J973" s="17" t="str">
        <f aca="false">IF(I973="","",IF(COUNTIF(Emplacements!$A$2:$A$1001,I973)=0,"⚠ emplacement inconnu",IF(AND(H973&lt;&gt;"",LEFT(I973,1)&lt;&gt;H973),"⚠ mauvaise zone","OK")))</f>
        <v/>
      </c>
      <c r="K973" s="12"/>
      <c r="L973" s="12"/>
    </row>
    <row r="974" customFormat="false" ht="15" hidden="false" customHeight="false" outlineLevel="0" collapsed="false">
      <c r="A974" s="12"/>
      <c r="B974" s="12"/>
      <c r="C974" s="12"/>
      <c r="D974" s="12"/>
      <c r="E974" s="12"/>
      <c r="F974" s="17" t="str">
        <f aca="false">IF(B974="","",TRIM(B974&amp;" "&amp;C974&amp;" "&amp;D974))</f>
        <v/>
      </c>
      <c r="G974" s="12"/>
      <c r="H974" s="12"/>
      <c r="I974" s="12"/>
      <c r="J974" s="17" t="str">
        <f aca="false">IF(I974="","",IF(COUNTIF(Emplacements!$A$2:$A$1001,I974)=0,"⚠ emplacement inconnu",IF(AND(H974&lt;&gt;"",LEFT(I974,1)&lt;&gt;H974),"⚠ mauvaise zone","OK")))</f>
        <v/>
      </c>
      <c r="K974" s="12"/>
      <c r="L974" s="12"/>
    </row>
    <row r="975" customFormat="false" ht="15" hidden="false" customHeight="false" outlineLevel="0" collapsed="false">
      <c r="A975" s="12"/>
      <c r="B975" s="12"/>
      <c r="C975" s="12"/>
      <c r="D975" s="12"/>
      <c r="E975" s="12"/>
      <c r="F975" s="17" t="str">
        <f aca="false">IF(B975="","",TRIM(B975&amp;" "&amp;C975&amp;" "&amp;D975))</f>
        <v/>
      </c>
      <c r="G975" s="12"/>
      <c r="H975" s="12"/>
      <c r="I975" s="12"/>
      <c r="J975" s="17" t="str">
        <f aca="false">IF(I975="","",IF(COUNTIF(Emplacements!$A$2:$A$1001,I975)=0,"⚠ emplacement inconnu",IF(AND(H975&lt;&gt;"",LEFT(I975,1)&lt;&gt;H975),"⚠ mauvaise zone","OK")))</f>
        <v/>
      </c>
      <c r="K975" s="12"/>
      <c r="L975" s="12"/>
    </row>
    <row r="976" customFormat="false" ht="15" hidden="false" customHeight="false" outlineLevel="0" collapsed="false">
      <c r="A976" s="12"/>
      <c r="B976" s="12"/>
      <c r="C976" s="12"/>
      <c r="D976" s="12"/>
      <c r="E976" s="12"/>
      <c r="F976" s="17" t="str">
        <f aca="false">IF(B976="","",TRIM(B976&amp;" "&amp;C976&amp;" "&amp;D976))</f>
        <v/>
      </c>
      <c r="G976" s="12"/>
      <c r="H976" s="12"/>
      <c r="I976" s="12"/>
      <c r="J976" s="17" t="str">
        <f aca="false">IF(I976="","",IF(COUNTIF(Emplacements!$A$2:$A$1001,I976)=0,"⚠ emplacement inconnu",IF(AND(H976&lt;&gt;"",LEFT(I976,1)&lt;&gt;H976),"⚠ mauvaise zone","OK")))</f>
        <v/>
      </c>
      <c r="K976" s="12"/>
      <c r="L976" s="12"/>
    </row>
    <row r="977" customFormat="false" ht="15" hidden="false" customHeight="false" outlineLevel="0" collapsed="false">
      <c r="A977" s="12"/>
      <c r="B977" s="12"/>
      <c r="C977" s="12"/>
      <c r="D977" s="12"/>
      <c r="E977" s="12"/>
      <c r="F977" s="17" t="str">
        <f aca="false">IF(B977="","",TRIM(B977&amp;" "&amp;C977&amp;" "&amp;D977))</f>
        <v/>
      </c>
      <c r="G977" s="12"/>
      <c r="H977" s="12"/>
      <c r="I977" s="12"/>
      <c r="J977" s="17" t="str">
        <f aca="false">IF(I977="","",IF(COUNTIF(Emplacements!$A$2:$A$1001,I977)=0,"⚠ emplacement inconnu",IF(AND(H977&lt;&gt;"",LEFT(I977,1)&lt;&gt;H977),"⚠ mauvaise zone","OK")))</f>
        <v/>
      </c>
      <c r="K977" s="12"/>
      <c r="L977" s="12"/>
    </row>
    <row r="978" customFormat="false" ht="15" hidden="false" customHeight="false" outlineLevel="0" collapsed="false">
      <c r="A978" s="12"/>
      <c r="B978" s="12"/>
      <c r="C978" s="12"/>
      <c r="D978" s="12"/>
      <c r="E978" s="12"/>
      <c r="F978" s="17" t="str">
        <f aca="false">IF(B978="","",TRIM(B978&amp;" "&amp;C978&amp;" "&amp;D978))</f>
        <v/>
      </c>
      <c r="G978" s="12"/>
      <c r="H978" s="12"/>
      <c r="I978" s="12"/>
      <c r="J978" s="17" t="str">
        <f aca="false">IF(I978="","",IF(COUNTIF(Emplacements!$A$2:$A$1001,I978)=0,"⚠ emplacement inconnu",IF(AND(H978&lt;&gt;"",LEFT(I978,1)&lt;&gt;H978),"⚠ mauvaise zone","OK")))</f>
        <v/>
      </c>
      <c r="K978" s="12"/>
      <c r="L978" s="12"/>
    </row>
    <row r="979" customFormat="false" ht="15" hidden="false" customHeight="false" outlineLevel="0" collapsed="false">
      <c r="A979" s="12"/>
      <c r="B979" s="12"/>
      <c r="C979" s="12"/>
      <c r="D979" s="12"/>
      <c r="E979" s="12"/>
      <c r="F979" s="17" t="str">
        <f aca="false">IF(B979="","",TRIM(B979&amp;" "&amp;C979&amp;" "&amp;D979))</f>
        <v/>
      </c>
      <c r="G979" s="12"/>
      <c r="H979" s="12"/>
      <c r="I979" s="12"/>
      <c r="J979" s="17" t="str">
        <f aca="false">IF(I979="","",IF(COUNTIF(Emplacements!$A$2:$A$1001,I979)=0,"⚠ emplacement inconnu",IF(AND(H979&lt;&gt;"",LEFT(I979,1)&lt;&gt;H979),"⚠ mauvaise zone","OK")))</f>
        <v/>
      </c>
      <c r="K979" s="12"/>
      <c r="L979" s="12"/>
    </row>
    <row r="980" customFormat="false" ht="15" hidden="false" customHeight="false" outlineLevel="0" collapsed="false">
      <c r="A980" s="12"/>
      <c r="B980" s="12"/>
      <c r="C980" s="12"/>
      <c r="D980" s="12"/>
      <c r="E980" s="12"/>
      <c r="F980" s="17" t="str">
        <f aca="false">IF(B980="","",TRIM(B980&amp;" "&amp;C980&amp;" "&amp;D980))</f>
        <v/>
      </c>
      <c r="G980" s="12"/>
      <c r="H980" s="12"/>
      <c r="I980" s="12"/>
      <c r="J980" s="17" t="str">
        <f aca="false">IF(I980="","",IF(COUNTIF(Emplacements!$A$2:$A$1001,I980)=0,"⚠ emplacement inconnu",IF(AND(H980&lt;&gt;"",LEFT(I980,1)&lt;&gt;H980),"⚠ mauvaise zone","OK")))</f>
        <v/>
      </c>
      <c r="K980" s="12"/>
      <c r="L980" s="12"/>
    </row>
    <row r="981" customFormat="false" ht="15" hidden="false" customHeight="false" outlineLevel="0" collapsed="false">
      <c r="A981" s="12"/>
      <c r="B981" s="12"/>
      <c r="C981" s="12"/>
      <c r="D981" s="12"/>
      <c r="E981" s="12"/>
      <c r="F981" s="17" t="str">
        <f aca="false">IF(B981="","",TRIM(B981&amp;" "&amp;C981&amp;" "&amp;D981))</f>
        <v/>
      </c>
      <c r="G981" s="12"/>
      <c r="H981" s="12"/>
      <c r="I981" s="12"/>
      <c r="J981" s="17" t="str">
        <f aca="false">IF(I981="","",IF(COUNTIF(Emplacements!$A$2:$A$1001,I981)=0,"⚠ emplacement inconnu",IF(AND(H981&lt;&gt;"",LEFT(I981,1)&lt;&gt;H981),"⚠ mauvaise zone","OK")))</f>
        <v/>
      </c>
      <c r="K981" s="12"/>
      <c r="L981" s="12"/>
    </row>
    <row r="982" customFormat="false" ht="15" hidden="false" customHeight="false" outlineLevel="0" collapsed="false">
      <c r="A982" s="12"/>
      <c r="B982" s="12"/>
      <c r="C982" s="12"/>
      <c r="D982" s="12"/>
      <c r="E982" s="12"/>
      <c r="F982" s="17" t="str">
        <f aca="false">IF(B982="","",TRIM(B982&amp;" "&amp;C982&amp;" "&amp;D982))</f>
        <v/>
      </c>
      <c r="G982" s="12"/>
      <c r="H982" s="12"/>
      <c r="I982" s="12"/>
      <c r="J982" s="17" t="str">
        <f aca="false">IF(I982="","",IF(COUNTIF(Emplacements!$A$2:$A$1001,I982)=0,"⚠ emplacement inconnu",IF(AND(H982&lt;&gt;"",LEFT(I982,1)&lt;&gt;H982),"⚠ mauvaise zone","OK")))</f>
        <v/>
      </c>
      <c r="K982" s="12"/>
      <c r="L982" s="12"/>
    </row>
    <row r="983" customFormat="false" ht="15" hidden="false" customHeight="false" outlineLevel="0" collapsed="false">
      <c r="A983" s="12"/>
      <c r="B983" s="12"/>
      <c r="C983" s="12"/>
      <c r="D983" s="12"/>
      <c r="E983" s="12"/>
      <c r="F983" s="17" t="str">
        <f aca="false">IF(B983="","",TRIM(B983&amp;" "&amp;C983&amp;" "&amp;D983))</f>
        <v/>
      </c>
      <c r="G983" s="12"/>
      <c r="H983" s="12"/>
      <c r="I983" s="12"/>
      <c r="J983" s="17" t="str">
        <f aca="false">IF(I983="","",IF(COUNTIF(Emplacements!$A$2:$A$1001,I983)=0,"⚠ emplacement inconnu",IF(AND(H983&lt;&gt;"",LEFT(I983,1)&lt;&gt;H983),"⚠ mauvaise zone","OK")))</f>
        <v/>
      </c>
      <c r="K983" s="12"/>
      <c r="L983" s="12"/>
    </row>
    <row r="984" customFormat="false" ht="15" hidden="false" customHeight="false" outlineLevel="0" collapsed="false">
      <c r="A984" s="12"/>
      <c r="B984" s="12"/>
      <c r="C984" s="12"/>
      <c r="D984" s="12"/>
      <c r="E984" s="12"/>
      <c r="F984" s="17" t="str">
        <f aca="false">IF(B984="","",TRIM(B984&amp;" "&amp;C984&amp;" "&amp;D984))</f>
        <v/>
      </c>
      <c r="G984" s="12"/>
      <c r="H984" s="12"/>
      <c r="I984" s="12"/>
      <c r="J984" s="17" t="str">
        <f aca="false">IF(I984="","",IF(COUNTIF(Emplacements!$A$2:$A$1001,I984)=0,"⚠ emplacement inconnu",IF(AND(H984&lt;&gt;"",LEFT(I984,1)&lt;&gt;H984),"⚠ mauvaise zone","OK")))</f>
        <v/>
      </c>
      <c r="K984" s="12"/>
      <c r="L984" s="12"/>
    </row>
    <row r="985" customFormat="false" ht="15" hidden="false" customHeight="false" outlineLevel="0" collapsed="false">
      <c r="A985" s="12"/>
      <c r="B985" s="12"/>
      <c r="C985" s="12"/>
      <c r="D985" s="12"/>
      <c r="E985" s="12"/>
      <c r="F985" s="17" t="str">
        <f aca="false">IF(B985="","",TRIM(B985&amp;" "&amp;C985&amp;" "&amp;D985))</f>
        <v/>
      </c>
      <c r="G985" s="12"/>
      <c r="H985" s="12"/>
      <c r="I985" s="12"/>
      <c r="J985" s="17" t="str">
        <f aca="false">IF(I985="","",IF(COUNTIF(Emplacements!$A$2:$A$1001,I985)=0,"⚠ emplacement inconnu",IF(AND(H985&lt;&gt;"",LEFT(I985,1)&lt;&gt;H985),"⚠ mauvaise zone","OK")))</f>
        <v/>
      </c>
      <c r="K985" s="12"/>
      <c r="L985" s="12"/>
    </row>
    <row r="986" customFormat="false" ht="15" hidden="false" customHeight="false" outlineLevel="0" collapsed="false">
      <c r="A986" s="12"/>
      <c r="B986" s="12"/>
      <c r="C986" s="12"/>
      <c r="D986" s="12"/>
      <c r="E986" s="12"/>
      <c r="F986" s="17" t="str">
        <f aca="false">IF(B986="","",TRIM(B986&amp;" "&amp;C986&amp;" "&amp;D986))</f>
        <v/>
      </c>
      <c r="G986" s="12"/>
      <c r="H986" s="12"/>
      <c r="I986" s="12"/>
      <c r="J986" s="17" t="str">
        <f aca="false">IF(I986="","",IF(COUNTIF(Emplacements!$A$2:$A$1001,I986)=0,"⚠ emplacement inconnu",IF(AND(H986&lt;&gt;"",LEFT(I986,1)&lt;&gt;H986),"⚠ mauvaise zone","OK")))</f>
        <v/>
      </c>
      <c r="K986" s="12"/>
      <c r="L986" s="12"/>
    </row>
    <row r="987" customFormat="false" ht="15" hidden="false" customHeight="false" outlineLevel="0" collapsed="false">
      <c r="A987" s="12"/>
      <c r="B987" s="12"/>
      <c r="C987" s="12"/>
      <c r="D987" s="12"/>
      <c r="E987" s="12"/>
      <c r="F987" s="17" t="str">
        <f aca="false">IF(B987="","",TRIM(B987&amp;" "&amp;C987&amp;" "&amp;D987))</f>
        <v/>
      </c>
      <c r="G987" s="12"/>
      <c r="H987" s="12"/>
      <c r="I987" s="12"/>
      <c r="J987" s="17" t="str">
        <f aca="false">IF(I987="","",IF(COUNTIF(Emplacements!$A$2:$A$1001,I987)=0,"⚠ emplacement inconnu",IF(AND(H987&lt;&gt;"",LEFT(I987,1)&lt;&gt;H987),"⚠ mauvaise zone","OK")))</f>
        <v/>
      </c>
      <c r="K987" s="12"/>
      <c r="L987" s="12"/>
    </row>
    <row r="988" customFormat="false" ht="15" hidden="false" customHeight="false" outlineLevel="0" collapsed="false">
      <c r="A988" s="12"/>
      <c r="B988" s="12"/>
      <c r="C988" s="12"/>
      <c r="D988" s="12"/>
      <c r="E988" s="12"/>
      <c r="F988" s="17" t="str">
        <f aca="false">IF(B988="","",TRIM(B988&amp;" "&amp;C988&amp;" "&amp;D988))</f>
        <v/>
      </c>
      <c r="G988" s="12"/>
      <c r="H988" s="12"/>
      <c r="I988" s="12"/>
      <c r="J988" s="17" t="str">
        <f aca="false">IF(I988="","",IF(COUNTIF(Emplacements!$A$2:$A$1001,I988)=0,"⚠ emplacement inconnu",IF(AND(H988&lt;&gt;"",LEFT(I988,1)&lt;&gt;H988),"⚠ mauvaise zone","OK")))</f>
        <v/>
      </c>
      <c r="K988" s="12"/>
      <c r="L988" s="12"/>
    </row>
    <row r="989" customFormat="false" ht="15" hidden="false" customHeight="false" outlineLevel="0" collapsed="false">
      <c r="A989" s="12"/>
      <c r="B989" s="12"/>
      <c r="C989" s="12"/>
      <c r="D989" s="12"/>
      <c r="E989" s="12"/>
      <c r="F989" s="17" t="str">
        <f aca="false">IF(B989="","",TRIM(B989&amp;" "&amp;C989&amp;" "&amp;D989))</f>
        <v/>
      </c>
      <c r="G989" s="12"/>
      <c r="H989" s="12"/>
      <c r="I989" s="12"/>
      <c r="J989" s="17" t="str">
        <f aca="false">IF(I989="","",IF(COUNTIF(Emplacements!$A$2:$A$1001,I989)=0,"⚠ emplacement inconnu",IF(AND(H989&lt;&gt;"",LEFT(I989,1)&lt;&gt;H989),"⚠ mauvaise zone","OK")))</f>
        <v/>
      </c>
      <c r="K989" s="12"/>
      <c r="L989" s="12"/>
    </row>
    <row r="990" customFormat="false" ht="15" hidden="false" customHeight="false" outlineLevel="0" collapsed="false">
      <c r="A990" s="12"/>
      <c r="B990" s="12"/>
      <c r="C990" s="12"/>
      <c r="D990" s="12"/>
      <c r="E990" s="12"/>
      <c r="F990" s="17" t="str">
        <f aca="false">IF(B990="","",TRIM(B990&amp;" "&amp;C990&amp;" "&amp;D990))</f>
        <v/>
      </c>
      <c r="G990" s="12"/>
      <c r="H990" s="12"/>
      <c r="I990" s="12"/>
      <c r="J990" s="17" t="str">
        <f aca="false">IF(I990="","",IF(COUNTIF(Emplacements!$A$2:$A$1001,I990)=0,"⚠ emplacement inconnu",IF(AND(H990&lt;&gt;"",LEFT(I990,1)&lt;&gt;H990),"⚠ mauvaise zone","OK")))</f>
        <v/>
      </c>
      <c r="K990" s="12"/>
      <c r="L990" s="12"/>
    </row>
    <row r="991" customFormat="false" ht="15" hidden="false" customHeight="false" outlineLevel="0" collapsed="false">
      <c r="A991" s="12"/>
      <c r="B991" s="12"/>
      <c r="C991" s="12"/>
      <c r="D991" s="12"/>
      <c r="E991" s="12"/>
      <c r="F991" s="17" t="str">
        <f aca="false">IF(B991="","",TRIM(B991&amp;" "&amp;C991&amp;" "&amp;D991))</f>
        <v/>
      </c>
      <c r="G991" s="12"/>
      <c r="H991" s="12"/>
      <c r="I991" s="12"/>
      <c r="J991" s="17" t="str">
        <f aca="false">IF(I991="","",IF(COUNTIF(Emplacements!$A$2:$A$1001,I991)=0,"⚠ emplacement inconnu",IF(AND(H991&lt;&gt;"",LEFT(I991,1)&lt;&gt;H991),"⚠ mauvaise zone","OK")))</f>
        <v/>
      </c>
      <c r="K991" s="12"/>
      <c r="L991" s="12"/>
    </row>
    <row r="992" customFormat="false" ht="15" hidden="false" customHeight="false" outlineLevel="0" collapsed="false">
      <c r="A992" s="12"/>
      <c r="B992" s="12"/>
      <c r="C992" s="12"/>
      <c r="D992" s="12"/>
      <c r="E992" s="12"/>
      <c r="F992" s="17" t="str">
        <f aca="false">IF(B992="","",TRIM(B992&amp;" "&amp;C992&amp;" "&amp;D992))</f>
        <v/>
      </c>
      <c r="G992" s="12"/>
      <c r="H992" s="12"/>
      <c r="I992" s="12"/>
      <c r="J992" s="17" t="str">
        <f aca="false">IF(I992="","",IF(COUNTIF(Emplacements!$A$2:$A$1001,I992)=0,"⚠ emplacement inconnu",IF(AND(H992&lt;&gt;"",LEFT(I992,1)&lt;&gt;H992),"⚠ mauvaise zone","OK")))</f>
        <v/>
      </c>
      <c r="K992" s="12"/>
      <c r="L992" s="12"/>
    </row>
    <row r="993" customFormat="false" ht="15" hidden="false" customHeight="false" outlineLevel="0" collapsed="false">
      <c r="A993" s="12"/>
      <c r="B993" s="12"/>
      <c r="C993" s="12"/>
      <c r="D993" s="12"/>
      <c r="E993" s="12"/>
      <c r="F993" s="17" t="str">
        <f aca="false">IF(B993="","",TRIM(B993&amp;" "&amp;C993&amp;" "&amp;D993))</f>
        <v/>
      </c>
      <c r="G993" s="12"/>
      <c r="H993" s="12"/>
      <c r="I993" s="12"/>
      <c r="J993" s="17" t="str">
        <f aca="false">IF(I993="","",IF(COUNTIF(Emplacements!$A$2:$A$1001,I993)=0,"⚠ emplacement inconnu",IF(AND(H993&lt;&gt;"",LEFT(I993,1)&lt;&gt;H993),"⚠ mauvaise zone","OK")))</f>
        <v/>
      </c>
      <c r="K993" s="12"/>
      <c r="L993" s="12"/>
    </row>
    <row r="994" customFormat="false" ht="15" hidden="false" customHeight="false" outlineLevel="0" collapsed="false">
      <c r="A994" s="12"/>
      <c r="B994" s="12"/>
      <c r="C994" s="12"/>
      <c r="D994" s="12"/>
      <c r="E994" s="12"/>
      <c r="F994" s="17" t="str">
        <f aca="false">IF(B994="","",TRIM(B994&amp;" "&amp;C994&amp;" "&amp;D994))</f>
        <v/>
      </c>
      <c r="G994" s="12"/>
      <c r="H994" s="12"/>
      <c r="I994" s="12"/>
      <c r="J994" s="17" t="str">
        <f aca="false">IF(I994="","",IF(COUNTIF(Emplacements!$A$2:$A$1001,I994)=0,"⚠ emplacement inconnu",IF(AND(H994&lt;&gt;"",LEFT(I994,1)&lt;&gt;H994),"⚠ mauvaise zone","OK")))</f>
        <v/>
      </c>
      <c r="K994" s="12"/>
      <c r="L994" s="12"/>
    </row>
    <row r="995" customFormat="false" ht="15" hidden="false" customHeight="false" outlineLevel="0" collapsed="false">
      <c r="A995" s="12"/>
      <c r="B995" s="12"/>
      <c r="C995" s="12"/>
      <c r="D995" s="12"/>
      <c r="E995" s="12"/>
      <c r="F995" s="17" t="str">
        <f aca="false">IF(B995="","",TRIM(B995&amp;" "&amp;C995&amp;" "&amp;D995))</f>
        <v/>
      </c>
      <c r="G995" s="12"/>
      <c r="H995" s="12"/>
      <c r="I995" s="12"/>
      <c r="J995" s="17" t="str">
        <f aca="false">IF(I995="","",IF(COUNTIF(Emplacements!$A$2:$A$1001,I995)=0,"⚠ emplacement inconnu",IF(AND(H995&lt;&gt;"",LEFT(I995,1)&lt;&gt;H995),"⚠ mauvaise zone","OK")))</f>
        <v/>
      </c>
      <c r="K995" s="12"/>
      <c r="L995" s="12"/>
    </row>
    <row r="996" customFormat="false" ht="15" hidden="false" customHeight="false" outlineLevel="0" collapsed="false">
      <c r="A996" s="12"/>
      <c r="B996" s="12"/>
      <c r="C996" s="12"/>
      <c r="D996" s="12"/>
      <c r="E996" s="12"/>
      <c r="F996" s="17" t="str">
        <f aca="false">IF(B996="","",TRIM(B996&amp;" "&amp;C996&amp;" "&amp;D996))</f>
        <v/>
      </c>
      <c r="G996" s="12"/>
      <c r="H996" s="12"/>
      <c r="I996" s="12"/>
      <c r="J996" s="17" t="str">
        <f aca="false">IF(I996="","",IF(COUNTIF(Emplacements!$A$2:$A$1001,I996)=0,"⚠ emplacement inconnu",IF(AND(H996&lt;&gt;"",LEFT(I996,1)&lt;&gt;H996),"⚠ mauvaise zone","OK")))</f>
        <v/>
      </c>
      <c r="K996" s="12"/>
      <c r="L996" s="12"/>
    </row>
    <row r="997" customFormat="false" ht="15" hidden="false" customHeight="false" outlineLevel="0" collapsed="false">
      <c r="A997" s="12"/>
      <c r="B997" s="12"/>
      <c r="C997" s="12"/>
      <c r="D997" s="12"/>
      <c r="E997" s="12"/>
      <c r="F997" s="17" t="str">
        <f aca="false">IF(B997="","",TRIM(B997&amp;" "&amp;C997&amp;" "&amp;D997))</f>
        <v/>
      </c>
      <c r="G997" s="12"/>
      <c r="H997" s="12"/>
      <c r="I997" s="12"/>
      <c r="J997" s="17" t="str">
        <f aca="false">IF(I997="","",IF(COUNTIF(Emplacements!$A$2:$A$1001,I997)=0,"⚠ emplacement inconnu",IF(AND(H997&lt;&gt;"",LEFT(I997,1)&lt;&gt;H997),"⚠ mauvaise zone","OK")))</f>
        <v/>
      </c>
      <c r="K997" s="12"/>
      <c r="L997" s="12"/>
    </row>
    <row r="998" customFormat="false" ht="15" hidden="false" customHeight="false" outlineLevel="0" collapsed="false">
      <c r="A998" s="12"/>
      <c r="B998" s="12"/>
      <c r="C998" s="12"/>
      <c r="D998" s="12"/>
      <c r="E998" s="12"/>
      <c r="F998" s="17" t="str">
        <f aca="false">IF(B998="","",TRIM(B998&amp;" "&amp;C998&amp;" "&amp;D998))</f>
        <v/>
      </c>
      <c r="G998" s="12"/>
      <c r="H998" s="12"/>
      <c r="I998" s="12"/>
      <c r="J998" s="17" t="str">
        <f aca="false">IF(I998="","",IF(COUNTIF(Emplacements!$A$2:$A$1001,I998)=0,"⚠ emplacement inconnu",IF(AND(H998&lt;&gt;"",LEFT(I998,1)&lt;&gt;H998),"⚠ mauvaise zone","OK")))</f>
        <v/>
      </c>
      <c r="K998" s="12"/>
      <c r="L998" s="12"/>
    </row>
    <row r="999" customFormat="false" ht="15" hidden="false" customHeight="false" outlineLevel="0" collapsed="false">
      <c r="A999" s="12"/>
      <c r="B999" s="12"/>
      <c r="C999" s="12"/>
      <c r="D999" s="12"/>
      <c r="E999" s="12"/>
      <c r="F999" s="17" t="str">
        <f aca="false">IF(B999="","",TRIM(B999&amp;" "&amp;C999&amp;" "&amp;D999))</f>
        <v/>
      </c>
      <c r="G999" s="12"/>
      <c r="H999" s="12"/>
      <c r="I999" s="12"/>
      <c r="J999" s="17" t="str">
        <f aca="false">IF(I999="","",IF(COUNTIF(Emplacements!$A$2:$A$1001,I999)=0,"⚠ emplacement inconnu",IF(AND(H999&lt;&gt;"",LEFT(I999,1)&lt;&gt;H999),"⚠ mauvaise zone","OK")))</f>
        <v/>
      </c>
      <c r="K999" s="12"/>
      <c r="L999" s="12"/>
    </row>
    <row r="1000" customFormat="false" ht="15" hidden="false" customHeight="false" outlineLevel="0" collapsed="false">
      <c r="A1000" s="12"/>
      <c r="B1000" s="12"/>
      <c r="C1000" s="12"/>
      <c r="D1000" s="12"/>
      <c r="E1000" s="12"/>
      <c r="F1000" s="17" t="str">
        <f aca="false">IF(B1000="","",TRIM(B1000&amp;" "&amp;C1000&amp;" "&amp;D1000))</f>
        <v/>
      </c>
      <c r="G1000" s="12"/>
      <c r="H1000" s="12"/>
      <c r="I1000" s="12"/>
      <c r="J1000" s="17" t="str">
        <f aca="false">IF(I1000="","",IF(COUNTIF(Emplacements!$A$2:$A$1001,I1000)=0,"⚠ emplacement inconnu",IF(AND(H1000&lt;&gt;"",LEFT(I1000,1)&lt;&gt;H1000),"⚠ mauvaise zone","OK")))</f>
        <v/>
      </c>
      <c r="K1000" s="12"/>
      <c r="L1000" s="12"/>
    </row>
    <row r="1001" customFormat="false" ht="15" hidden="false" customHeight="false" outlineLevel="0" collapsed="false">
      <c r="A1001" s="12"/>
      <c r="B1001" s="12"/>
      <c r="C1001" s="12"/>
      <c r="D1001" s="12"/>
      <c r="E1001" s="12"/>
      <c r="F1001" s="17" t="str">
        <f aca="false">IF(B1001="","",TRIM(B1001&amp;" "&amp;C1001&amp;" "&amp;D1001))</f>
        <v/>
      </c>
      <c r="G1001" s="12"/>
      <c r="H1001" s="12"/>
      <c r="I1001" s="12"/>
      <c r="J1001" s="17" t="str">
        <f aca="false">IF(I1001="","",IF(COUNTIF(Emplacements!$A$2:$A$1001,I1001)=0,"⚠ emplacement inconnu",IF(AND(H1001&lt;&gt;"",LEFT(I1001,1)&lt;&gt;H1001),"⚠ mauvaise zone","OK")))</f>
        <v/>
      </c>
      <c r="K1001" s="12"/>
      <c r="L1001" s="12"/>
    </row>
  </sheetData>
  <autoFilter ref="A1:L1001"/>
  <conditionalFormatting sqref="J2:J1001">
    <cfRule type="expression" priority="2" aboveAverage="0" equalAverage="0" bottom="0" percent="0" rank="0" text="" dxfId="7">
      <formula>LEFT(J2,1)="⚠"</formula>
    </cfRule>
    <cfRule type="expression" priority="3" aboveAverage="0" equalAverage="0" bottom="0" percent="0" rank="0" text="" dxfId="8">
      <formula>J2="OK"</formula>
    </cfRule>
  </conditionalFormatting>
  <conditionalFormatting sqref="A2:A1001">
    <cfRule type="expression" priority="4" aboveAverage="0" equalAverage="0" bottom="0" percent="0" rank="0" text="" dxfId="7">
      <formula>AND(A2&lt;&gt;"",COUNTIF($A$2:$A$1001,A2)&gt;1)</formula>
    </cfRule>
  </conditionalFormatting>
  <dataValidations count="3">
    <dataValidation allowBlank="true" errorStyle="stop" operator="between" showDropDown="false" showErrorMessage="false" showInputMessage="false" sqref="H2:H1001" type="list">
      <formula1>Zones!$A$2:$A$15</formula1>
      <formula2>0</formula2>
    </dataValidation>
    <dataValidation allowBlank="true" errorStyle="stop" operator="between" showDropDown="false" showErrorMessage="false" showInputMessage="false" sqref="K2:K1001" type="list">
      <formula1>"A,B,C"</formula1>
      <formula2>0</formula2>
    </dataValidation>
    <dataValidation allowBlank="true" errorStyle="stop" operator="between" showDropDown="false" showErrorMessage="false" showInputMessage="false" sqref="L2:L1001" type="list">
      <formula1>"V,E,N"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0" t="s">
        <v>186</v>
      </c>
      <c r="B1" s="10" t="s">
        <v>108</v>
      </c>
      <c r="C1" s="10" t="s">
        <v>187</v>
      </c>
      <c r="D1" s="10" t="s">
        <v>188</v>
      </c>
      <c r="E1" s="10" t="s">
        <v>189</v>
      </c>
      <c r="F1" s="10" t="s">
        <v>190</v>
      </c>
      <c r="G1" s="10" t="s">
        <v>191</v>
      </c>
      <c r="H1" s="10" t="s">
        <v>192</v>
      </c>
      <c r="I1" s="10" t="s">
        <v>193</v>
      </c>
      <c r="J1" s="10" t="s">
        <v>117</v>
      </c>
      <c r="K1" s="10" t="s">
        <v>194</v>
      </c>
    </row>
    <row r="2" customFormat="false" ht="15" hidden="false" customHeight="false" outlineLevel="0" collapsed="false">
      <c r="A2" s="15" t="s">
        <v>126</v>
      </c>
      <c r="B2" s="15" t="s">
        <v>120</v>
      </c>
      <c r="C2" s="17" t="str">
        <f aca="false">IF(B2="","",IFERROR(INDEX(Produits!$F$2:$F$1001,MATCH(B2,Produits!$A$2:$A$1001,0)),"⚠ code article inconnu"))</f>
        <v>Paracétamol 500 mg comprimé</v>
      </c>
      <c r="D2" s="15" t="s">
        <v>195</v>
      </c>
      <c r="E2" s="19" t="n">
        <v>46721</v>
      </c>
      <c r="F2" s="20" t="n">
        <v>12000</v>
      </c>
      <c r="G2" s="19" t="n">
        <v>46296</v>
      </c>
      <c r="H2" s="21" t="n">
        <f aca="true">IF(E2="","",ROUND((E2-TODAY())/30.4,1))</f>
        <v>13.8</v>
      </c>
      <c r="I2" s="17" t="str">
        <f aca="false">IF(E2="","",IF(H2&lt;0,IF(LEFT(A2,1)="Q","Périmé (en quarantaine)","PÉRIMÉ → déplacer en zone Q"),IF(H2&lt;3,"Péremption &lt; 3 mois",IF(H2&lt;6,"Péremption &lt; 6 mois",""))))</f>
        <v/>
      </c>
      <c r="J2" s="17" t="str">
        <f aca="false">IF(A2="","",IF(COUNTIF(Emplacements!$A$2:$A$1001,A2)=0,"⚠ emplacement inconnu","OK"))</f>
        <v>OK</v>
      </c>
      <c r="K2" s="22" t="str">
        <f aca="false">IF(AND(B2&lt;&gt;"",ISNUMBER(SEARCH(Recherche!$C$3,C2&amp;" "&amp;B2&amp;" "&amp;A2&amp;" "&amp;D2))),MAX($K$1:K1)+1,"")</f>
        <v/>
      </c>
    </row>
    <row r="3" customFormat="false" ht="15" hidden="false" customHeight="false" outlineLevel="0" collapsed="false">
      <c r="A3" s="15" t="s">
        <v>126</v>
      </c>
      <c r="B3" s="15" t="s">
        <v>120</v>
      </c>
      <c r="C3" s="17" t="str">
        <f aca="false">IF(B3="","",IFERROR(INDEX(Produits!$F$2:$F$1001,MATCH(B3,Produits!$A$2:$A$1001,0)),"⚠ code article inconnu"))</f>
        <v>Paracétamol 500 mg comprimé</v>
      </c>
      <c r="D3" s="15" t="s">
        <v>196</v>
      </c>
      <c r="E3" s="19" t="n">
        <v>46873</v>
      </c>
      <c r="F3" s="20" t="n">
        <v>20000</v>
      </c>
      <c r="G3" s="19" t="n">
        <v>46296</v>
      </c>
      <c r="H3" s="21" t="n">
        <f aca="true">IF(E3="","",ROUND((E3-TODAY())/30.4,1))</f>
        <v>18.8</v>
      </c>
      <c r="I3" s="17" t="str">
        <f aca="false">IF(E3="","",IF(H3&lt;0,IF(LEFT(A3,1)="Q","Périmé (en quarantaine)","PÉRIMÉ → déplacer en zone Q"),IF(H3&lt;3,"Péremption &lt; 3 mois",IF(H3&lt;6,"Péremption &lt; 6 mois",""))))</f>
        <v/>
      </c>
      <c r="J3" s="17" t="str">
        <f aca="false">IF(A3="","",IF(COUNTIF(Emplacements!$A$2:$A$1001,A3)=0,"⚠ emplacement inconnu","OK"))</f>
        <v>OK</v>
      </c>
      <c r="K3" s="22" t="str">
        <f aca="false">IF(AND(B3&lt;&gt;"",ISNUMBER(SEARCH(Recherche!$C$3,C3&amp;" "&amp;B3&amp;" "&amp;A3&amp;" "&amp;D3))),MAX($K$1:K2)+1,"")</f>
        <v/>
      </c>
    </row>
    <row r="4" customFormat="false" ht="15" hidden="false" customHeight="false" outlineLevel="0" collapsed="false">
      <c r="A4" s="15" t="s">
        <v>131</v>
      </c>
      <c r="B4" s="15" t="s">
        <v>127</v>
      </c>
      <c r="C4" s="17" t="str">
        <f aca="false">IF(B4="","",IFERROR(INDEX(Produits!$F$2:$F$1001,MATCH(B4,Produits!$A$2:$A$1001,0)),"⚠ code article inconnu"))</f>
        <v>Amoxicilline 500 mg gélule</v>
      </c>
      <c r="D4" s="15" t="s">
        <v>197</v>
      </c>
      <c r="E4" s="19" t="n">
        <v>46387</v>
      </c>
      <c r="F4" s="20" t="n">
        <v>8000</v>
      </c>
      <c r="G4" s="19" t="n">
        <v>46296</v>
      </c>
      <c r="H4" s="21" t="n">
        <f aca="true">IF(E4="","",ROUND((E4-TODAY())/30.4,1))</f>
        <v>2.8</v>
      </c>
      <c r="I4" s="17" t="str">
        <f aca="false">IF(E4="","",IF(H4&lt;0,IF(LEFT(A4,1)="Q","Périmé (en quarantaine)","PÉRIMÉ → déplacer en zone Q"),IF(H4&lt;3,"Péremption &lt; 3 mois",IF(H4&lt;6,"Péremption &lt; 6 mois",""))))</f>
        <v>Péremption &lt; 3 mois</v>
      </c>
      <c r="J4" s="17" t="str">
        <f aca="false">IF(A4="","",IF(COUNTIF(Emplacements!$A$2:$A$1001,A4)=0,"⚠ emplacement inconnu","OK"))</f>
        <v>OK</v>
      </c>
      <c r="K4" s="22" t="n">
        <f aca="false">IF(AND(B4&lt;&gt;"",ISNUMBER(SEARCH(Recherche!$C$3,C4&amp;" "&amp;B4&amp;" "&amp;A4&amp;" "&amp;D4))),MAX($K$1:K3)+1,"")</f>
        <v>1</v>
      </c>
    </row>
    <row r="5" customFormat="false" ht="15" hidden="false" customHeight="false" outlineLevel="0" collapsed="false">
      <c r="A5" s="15" t="s">
        <v>138</v>
      </c>
      <c r="B5" s="15" t="s">
        <v>133</v>
      </c>
      <c r="C5" s="17" t="str">
        <f aca="false">IF(B5="","",IFERROR(INDEX(Produits!$F$2:$F$1001,MATCH(B5,Produits!$A$2:$A$1001,0)),"⚠ code article inconnu"))</f>
        <v>Artéméther + Luméfantrine 20/120 mg comprimé</v>
      </c>
      <c r="D5" s="15" t="s">
        <v>198</v>
      </c>
      <c r="E5" s="19" t="n">
        <v>46568</v>
      </c>
      <c r="F5" s="20" t="n">
        <v>450</v>
      </c>
      <c r="G5" s="19" t="n">
        <v>46296</v>
      </c>
      <c r="H5" s="21" t="n">
        <f aca="true">IF(E5="","",ROUND((E5-TODAY())/30.4,1))</f>
        <v>8.8</v>
      </c>
      <c r="I5" s="17" t="str">
        <f aca="false">IF(E5="","",IF(H5&lt;0,IF(LEFT(A5,1)="Q","Périmé (en quarantaine)","PÉRIMÉ → déplacer en zone Q"),IF(H5&lt;3,"Péremption &lt; 3 mois",IF(H5&lt;6,"Péremption &lt; 6 mois",""))))</f>
        <v/>
      </c>
      <c r="J5" s="17" t="str">
        <f aca="false">IF(A5="","",IF(COUNTIF(Emplacements!$A$2:$A$1001,A5)=0,"⚠ emplacement inconnu","OK"))</f>
        <v>OK</v>
      </c>
      <c r="K5" s="22" t="str">
        <f aca="false">IF(AND(B5&lt;&gt;"",ISNUMBER(SEARCH(Recherche!$C$3,C5&amp;" "&amp;B5&amp;" "&amp;A5&amp;" "&amp;D5))),MAX($K$1:K4)+1,"")</f>
        <v/>
      </c>
    </row>
    <row r="6" customFormat="false" ht="15" hidden="false" customHeight="false" outlineLevel="0" collapsed="false">
      <c r="A6" s="15" t="s">
        <v>143</v>
      </c>
      <c r="B6" s="15" t="s">
        <v>139</v>
      </c>
      <c r="C6" s="17" t="str">
        <f aca="false">IF(B6="","",IFERROR(INDEX(Produits!$F$2:$F$1001,MATCH(B6,Produits!$A$2:$A$1001,0)),"⚠ code article inconnu"))</f>
        <v>Fer + Acide folique 200/0,4 mg comprimé</v>
      </c>
      <c r="D6" s="15" t="s">
        <v>199</v>
      </c>
      <c r="E6" s="19" t="n">
        <v>46660</v>
      </c>
      <c r="F6" s="20" t="n">
        <v>15000</v>
      </c>
      <c r="G6" s="19" t="n">
        <v>46296</v>
      </c>
      <c r="H6" s="21" t="n">
        <f aca="true">IF(E6="","",ROUND((E6-TODAY())/30.4,1))</f>
        <v>11.8</v>
      </c>
      <c r="I6" s="17" t="str">
        <f aca="false">IF(E6="","",IF(H6&lt;0,IF(LEFT(A6,1)="Q","Périmé (en quarantaine)","PÉRIMÉ → déplacer en zone Q"),IF(H6&lt;3,"Péremption &lt; 3 mois",IF(H6&lt;6,"Péremption &lt; 6 mois",""))))</f>
        <v/>
      </c>
      <c r="J6" s="17" t="str">
        <f aca="false">IF(A6="","",IF(COUNTIF(Emplacements!$A$2:$A$1001,A6)=0,"⚠ emplacement inconnu","OK"))</f>
        <v>OK</v>
      </c>
      <c r="K6" s="22" t="str">
        <f aca="false">IF(AND(B6&lt;&gt;"",ISNUMBER(SEARCH(Recherche!$C$3,C6&amp;" "&amp;B6&amp;" "&amp;A6&amp;" "&amp;D6))),MAX($K$1:K5)+1,"")</f>
        <v/>
      </c>
    </row>
    <row r="7" customFormat="false" ht="15" hidden="false" customHeight="false" outlineLevel="0" collapsed="false">
      <c r="A7" s="15" t="s">
        <v>151</v>
      </c>
      <c r="B7" s="15" t="s">
        <v>145</v>
      </c>
      <c r="C7" s="17" t="str">
        <f aca="false">IF(B7="","",IFERROR(INDEX(Produits!$F$2:$F$1001,MATCH(B7,Produits!$A$2:$A$1001,0)),"⚠ code article inconnu"))</f>
        <v>Gants d'examen taille M non stériles</v>
      </c>
      <c r="D7" s="15" t="s">
        <v>200</v>
      </c>
      <c r="E7" s="19" t="n">
        <v>47149</v>
      </c>
      <c r="F7" s="20" t="n">
        <v>300</v>
      </c>
      <c r="G7" s="19" t="n">
        <v>46296</v>
      </c>
      <c r="H7" s="21" t="n">
        <f aca="true">IF(E7="","",ROUND((E7-TODAY())/30.4,1))</f>
        <v>27.9</v>
      </c>
      <c r="I7" s="17" t="str">
        <f aca="false">IF(E7="","",IF(H7&lt;0,IF(LEFT(A7,1)="Q","Périmé (en quarantaine)","PÉRIMÉ → déplacer en zone Q"),IF(H7&lt;3,"Péremption &lt; 3 mois",IF(H7&lt;6,"Péremption &lt; 6 mois",""))))</f>
        <v/>
      </c>
      <c r="J7" s="17" t="str">
        <f aca="false">IF(A7="","",IF(COUNTIF(Emplacements!$A$2:$A$1001,A7)=0,"⚠ emplacement inconnu","OK"))</f>
        <v>OK</v>
      </c>
      <c r="K7" s="22" t="str">
        <f aca="false">IF(AND(B7&lt;&gt;"",ISNUMBER(SEARCH(Recherche!$C$3,C7&amp;" "&amp;B7&amp;" "&amp;A7&amp;" "&amp;D7))),MAX($K$1:K6)+1,"")</f>
        <v/>
      </c>
    </row>
    <row r="8" customFormat="false" ht="15" hidden="false" customHeight="false" outlineLevel="0" collapsed="false">
      <c r="A8" s="15" t="s">
        <v>159</v>
      </c>
      <c r="B8" s="15" t="s">
        <v>153</v>
      </c>
      <c r="C8" s="17" t="str">
        <f aca="false">IF(B8="","",IFERROR(INDEX(Produits!$F$2:$F$1001,MATCH(B8,Produits!$A$2:$A$1001,0)),"⚠ code article inconnu"))</f>
        <v>Sels de réhydratation orale 20,5 g sachet</v>
      </c>
      <c r="D8" s="15" t="s">
        <v>201</v>
      </c>
      <c r="E8" s="19" t="n">
        <v>46538</v>
      </c>
      <c r="F8" s="20" t="n">
        <v>2400</v>
      </c>
      <c r="G8" s="19" t="n">
        <v>46296</v>
      </c>
      <c r="H8" s="21" t="n">
        <f aca="true">IF(E8="","",ROUND((E8-TODAY())/30.4,1))</f>
        <v>7.8</v>
      </c>
      <c r="I8" s="17" t="str">
        <f aca="false">IF(E8="","",IF(H8&lt;0,IF(LEFT(A8,1)="Q","Périmé (en quarantaine)","PÉRIMÉ → déplacer en zone Q"),IF(H8&lt;3,"Péremption &lt; 3 mois",IF(H8&lt;6,"Péremption &lt; 6 mois",""))))</f>
        <v/>
      </c>
      <c r="J8" s="17" t="str">
        <f aca="false">IF(A8="","",IF(COUNTIF(Emplacements!$A$2:$A$1001,A8)=0,"⚠ emplacement inconnu","OK"))</f>
        <v>OK</v>
      </c>
      <c r="K8" s="22" t="str">
        <f aca="false">IF(AND(B8&lt;&gt;"",ISNUMBER(SEARCH(Recherche!$C$3,C8&amp;" "&amp;B8&amp;" "&amp;A8&amp;" "&amp;D8))),MAX($K$1:K7)+1,"")</f>
        <v/>
      </c>
    </row>
    <row r="9" customFormat="false" ht="15" hidden="false" customHeight="false" outlineLevel="0" collapsed="false">
      <c r="A9" s="15" t="s">
        <v>166</v>
      </c>
      <c r="B9" s="15" t="s">
        <v>160</v>
      </c>
      <c r="C9" s="17" t="str">
        <f aca="false">IF(B9="","",IFERROR(INDEX(Produits!$F$2:$F$1001,MATCH(B9,Produits!$A$2:$A$1001,0)),"⚠ code article inconnu"))</f>
        <v>Chlorure de sodium 0,9 % 500 ml perfusion</v>
      </c>
      <c r="D9" s="15" t="s">
        <v>202</v>
      </c>
      <c r="E9" s="19" t="n">
        <v>46630</v>
      </c>
      <c r="F9" s="20" t="n">
        <v>640</v>
      </c>
      <c r="G9" s="19" t="n">
        <v>46296</v>
      </c>
      <c r="H9" s="21" t="n">
        <f aca="true">IF(E9="","",ROUND((E9-TODAY())/30.4,1))</f>
        <v>10.8</v>
      </c>
      <c r="I9" s="17" t="str">
        <f aca="false">IF(E9="","",IF(H9&lt;0,IF(LEFT(A9,1)="Q","Périmé (en quarantaine)","PÉRIMÉ → déplacer en zone Q"),IF(H9&lt;3,"Péremption &lt; 3 mois",IF(H9&lt;6,"Péremption &lt; 6 mois",""))))</f>
        <v/>
      </c>
      <c r="J9" s="17" t="str">
        <f aca="false">IF(A9="","",IF(COUNTIF(Emplacements!$A$2:$A$1001,A9)=0,"⚠ emplacement inconnu","OK"))</f>
        <v>OK</v>
      </c>
      <c r="K9" s="22" t="str">
        <f aca="false">IF(AND(B9&lt;&gt;"",ISNUMBER(SEARCH(Recherche!$C$3,C9&amp;" "&amp;B9&amp;" "&amp;A9&amp;" "&amp;D9))),MAX($K$1:K8)+1,"")</f>
        <v/>
      </c>
    </row>
    <row r="10" customFormat="false" ht="15" hidden="false" customHeight="false" outlineLevel="0" collapsed="false">
      <c r="A10" s="15" t="s">
        <v>173</v>
      </c>
      <c r="B10" s="15" t="s">
        <v>167</v>
      </c>
      <c r="C10" s="17" t="str">
        <f aca="false">IF(B10="","",IFERROR(INDEX(Produits!$F$2:$F$1001,MATCH(B10,Produits!$A$2:$A$1001,0)),"⚠ code article inconnu"))</f>
        <v>Ocytocine 10 UI/ml injectable</v>
      </c>
      <c r="D10" s="15" t="s">
        <v>203</v>
      </c>
      <c r="E10" s="19" t="n">
        <v>46446</v>
      </c>
      <c r="F10" s="20" t="n">
        <v>1500</v>
      </c>
      <c r="G10" s="19" t="n">
        <v>46296</v>
      </c>
      <c r="H10" s="21" t="n">
        <f aca="true">IF(E10="","",ROUND((E10-TODAY())/30.4,1))</f>
        <v>4.8</v>
      </c>
      <c r="I10" s="17" t="str">
        <f aca="false">IF(E10="","",IF(H10&lt;0,IF(LEFT(A10,1)="Q","Périmé (en quarantaine)","PÉRIMÉ → déplacer en zone Q"),IF(H10&lt;3,"Péremption &lt; 3 mois",IF(H10&lt;6,"Péremption &lt; 6 mois",""))))</f>
        <v>Péremption &lt; 6 mois</v>
      </c>
      <c r="J10" s="17" t="str">
        <f aca="false">IF(A10="","",IF(COUNTIF(Emplacements!$A$2:$A$1001,A10)=0,"⚠ emplacement inconnu","OK"))</f>
        <v>OK</v>
      </c>
      <c r="K10" s="22" t="str">
        <f aca="false">IF(AND(B10&lt;&gt;"",ISNUMBER(SEARCH(Recherche!$C$3,C10&amp;" "&amp;B10&amp;" "&amp;A10&amp;" "&amp;D10))),MAX($K$1:K9)+1,"")</f>
        <v/>
      </c>
    </row>
    <row r="11" customFormat="false" ht="15" hidden="false" customHeight="false" outlineLevel="0" collapsed="false">
      <c r="A11" s="15" t="s">
        <v>178</v>
      </c>
      <c r="B11" s="15" t="s">
        <v>174</v>
      </c>
      <c r="C11" s="17" t="str">
        <f aca="false">IF(B11="","",IFERROR(INDEX(Produits!$F$2:$F$1001,MATCH(B11,Produits!$A$2:$A$1001,0)),"⚠ code article inconnu"))</f>
        <v>Diazépam 10 mg/2 ml injectable</v>
      </c>
      <c r="D11" s="15" t="s">
        <v>204</v>
      </c>
      <c r="E11" s="19" t="n">
        <v>46418</v>
      </c>
      <c r="F11" s="20" t="n">
        <v>200</v>
      </c>
      <c r="G11" s="19" t="n">
        <v>46296</v>
      </c>
      <c r="H11" s="21" t="n">
        <f aca="true">IF(E11="","",ROUND((E11-TODAY())/30.4,1))</f>
        <v>3.8</v>
      </c>
      <c r="I11" s="17" t="str">
        <f aca="false">IF(E11="","",IF(H11&lt;0,IF(LEFT(A11,1)="Q","Périmé (en quarantaine)","PÉRIMÉ → déplacer en zone Q"),IF(H11&lt;3,"Péremption &lt; 3 mois",IF(H11&lt;6,"Péremption &lt; 6 mois",""))))</f>
        <v>Péremption &lt; 6 mois</v>
      </c>
      <c r="J11" s="17" t="str">
        <f aca="false">IF(A11="","",IF(COUNTIF(Emplacements!$A$2:$A$1001,A11)=0,"⚠ emplacement inconnu","OK"))</f>
        <v>OK</v>
      </c>
      <c r="K11" s="22" t="str">
        <f aca="false">IF(AND(B11&lt;&gt;"",ISNUMBER(SEARCH(Recherche!$C$3,C11&amp;" "&amp;B11&amp;" "&amp;A11&amp;" "&amp;D11))),MAX($K$1:K10)+1,"")</f>
        <v/>
      </c>
    </row>
    <row r="12" customFormat="false" ht="15" hidden="false" customHeight="false" outlineLevel="0" collapsed="false">
      <c r="A12" s="15" t="s">
        <v>185</v>
      </c>
      <c r="B12" s="15" t="s">
        <v>179</v>
      </c>
      <c r="C12" s="17" t="str">
        <f aca="false">IF(B12="","",IFERROR(INDEX(Produits!$F$2:$F$1001,MATCH(B12,Produits!$A$2:$A$1001,0)),"⚠ code article inconnu"))</f>
        <v>Alcool éthylique 70 % solution</v>
      </c>
      <c r="D12" s="15" t="s">
        <v>205</v>
      </c>
      <c r="E12" s="19" t="n">
        <v>46783</v>
      </c>
      <c r="F12" s="20" t="n">
        <v>60</v>
      </c>
      <c r="G12" s="19" t="n">
        <v>46296</v>
      </c>
      <c r="H12" s="21" t="n">
        <f aca="true">IF(E12="","",ROUND((E12-TODAY())/30.4,1))</f>
        <v>15.9</v>
      </c>
      <c r="I12" s="17" t="str">
        <f aca="false">IF(E12="","",IF(H12&lt;0,IF(LEFT(A12,1)="Q","Périmé (en quarantaine)","PÉRIMÉ → déplacer en zone Q"),IF(H12&lt;3,"Péremption &lt; 3 mois",IF(H12&lt;6,"Péremption &lt; 6 mois",""))))</f>
        <v/>
      </c>
      <c r="J12" s="17" t="str">
        <f aca="false">IF(A12="","",IF(COUNTIF(Emplacements!$A$2:$A$1001,A12)=0,"⚠ emplacement inconnu","OK"))</f>
        <v>OK</v>
      </c>
      <c r="K12" s="22" t="str">
        <f aca="false">IF(AND(B12&lt;&gt;"",ISNUMBER(SEARCH(Recherche!$C$3,C12&amp;" "&amp;B12&amp;" "&amp;A12&amp;" "&amp;D12))),MAX($K$1:K11)+1,"")</f>
        <v/>
      </c>
    </row>
    <row r="13" customFormat="false" ht="15" hidden="false" customHeight="false" outlineLevel="0" collapsed="false">
      <c r="A13" s="15" t="s">
        <v>206</v>
      </c>
      <c r="B13" s="15" t="s">
        <v>127</v>
      </c>
      <c r="C13" s="17" t="str">
        <f aca="false">IF(B13="","",IFERROR(INDEX(Produits!$F$2:$F$1001,MATCH(B13,Produits!$A$2:$A$1001,0)),"⚠ code article inconnu"))</f>
        <v>Amoxicilline 500 mg gélule</v>
      </c>
      <c r="D13" s="15" t="s">
        <v>207</v>
      </c>
      <c r="E13" s="19" t="n">
        <v>46265</v>
      </c>
      <c r="F13" s="20" t="n">
        <v>500</v>
      </c>
      <c r="G13" s="19" t="n">
        <v>46296</v>
      </c>
      <c r="H13" s="21" t="n">
        <f aca="true">IF(E13="","",ROUND((E13-TODAY())/30.4,1))</f>
        <v>-1.2</v>
      </c>
      <c r="I13" s="17" t="str">
        <f aca="false">IF(E13="","",IF(H13&lt;0,IF(LEFT(A13,1)="Q","Périmé (en quarantaine)","PÉRIMÉ → déplacer en zone Q"),IF(H13&lt;3,"Péremption &lt; 3 mois",IF(H13&lt;6,"Péremption &lt; 6 mois",""))))</f>
        <v>Périmé (en quarantaine)</v>
      </c>
      <c r="J13" s="17" t="str">
        <f aca="false">IF(A13="","",IF(COUNTIF(Emplacements!$A$2:$A$1001,A13)=0,"⚠ emplacement inconnu","OK"))</f>
        <v>OK</v>
      </c>
      <c r="K13" s="22" t="n">
        <f aca="false">IF(AND(B13&lt;&gt;"",ISNUMBER(SEARCH(Recherche!$C$3,C13&amp;" "&amp;B13&amp;" "&amp;A13&amp;" "&amp;D13))),MAX($K$1:K12)+1,"")</f>
        <v>2</v>
      </c>
    </row>
    <row r="14" customFormat="false" ht="15" hidden="false" customHeight="false" outlineLevel="0" collapsed="false">
      <c r="A14" s="12"/>
      <c r="B14" s="12"/>
      <c r="C14" s="17" t="str">
        <f aca="false">IF(B14="","",IFERROR(INDEX(Produits!$F$2:$F$1001,MATCH(B14,Produits!$A$2:$A$1001,0)),"⚠ code article inconnu"))</f>
        <v/>
      </c>
      <c r="D14" s="12"/>
      <c r="E14" s="23"/>
      <c r="F14" s="24"/>
      <c r="G14" s="23"/>
      <c r="H14" s="21" t="str">
        <f aca="true">IF(E14="","",ROUND((E14-TODAY())/30.4,1))</f>
        <v/>
      </c>
      <c r="I14" s="17" t="str">
        <f aca="false">IF(E14="","",IF(H14&lt;0,IF(LEFT(A14,1)="Q","Périmé (en quarantaine)","PÉRIMÉ → déplacer en zone Q"),IF(H14&lt;3,"Péremption &lt; 3 mois",IF(H14&lt;6,"Péremption &lt; 6 mois",""))))</f>
        <v/>
      </c>
      <c r="J14" s="17" t="str">
        <f aca="false">IF(A14="","",IF(COUNTIF(Emplacements!$A$2:$A$1001,A14)=0,"⚠ emplacement inconnu","OK"))</f>
        <v/>
      </c>
      <c r="K14" s="22" t="str">
        <f aca="false">IF(AND(B14&lt;&gt;"",ISNUMBER(SEARCH(Recherche!$C$3,C14&amp;" "&amp;B14&amp;" "&amp;A14&amp;" "&amp;D14))),MAX($K$1:K13)+1,"")</f>
        <v/>
      </c>
    </row>
    <row r="15" customFormat="false" ht="15" hidden="false" customHeight="false" outlineLevel="0" collapsed="false">
      <c r="A15" s="12"/>
      <c r="B15" s="12"/>
      <c r="C15" s="17" t="str">
        <f aca="false">IF(B15="","",IFERROR(INDEX(Produits!$F$2:$F$1001,MATCH(B15,Produits!$A$2:$A$1001,0)),"⚠ code article inconnu"))</f>
        <v/>
      </c>
      <c r="D15" s="12"/>
      <c r="E15" s="23"/>
      <c r="F15" s="24"/>
      <c r="G15" s="23"/>
      <c r="H15" s="21" t="str">
        <f aca="true">IF(E15="","",ROUND((E15-TODAY())/30.4,1))</f>
        <v/>
      </c>
      <c r="I15" s="17" t="str">
        <f aca="false">IF(E15="","",IF(H15&lt;0,IF(LEFT(A15,1)="Q","Périmé (en quarantaine)","PÉRIMÉ → déplacer en zone Q"),IF(H15&lt;3,"Péremption &lt; 3 mois",IF(H15&lt;6,"Péremption &lt; 6 mois",""))))</f>
        <v/>
      </c>
      <c r="J15" s="17" t="str">
        <f aca="false">IF(A15="","",IF(COUNTIF(Emplacements!$A$2:$A$1001,A15)=0,"⚠ emplacement inconnu","OK"))</f>
        <v/>
      </c>
      <c r="K15" s="22" t="str">
        <f aca="false">IF(AND(B15&lt;&gt;"",ISNUMBER(SEARCH(Recherche!$C$3,C15&amp;" "&amp;B15&amp;" "&amp;A15&amp;" "&amp;D15))),MAX($K$1:K14)+1,"")</f>
        <v/>
      </c>
    </row>
    <row r="16" customFormat="false" ht="15" hidden="false" customHeight="false" outlineLevel="0" collapsed="false">
      <c r="A16" s="12"/>
      <c r="B16" s="12"/>
      <c r="C16" s="17" t="str">
        <f aca="false">IF(B16="","",IFERROR(INDEX(Produits!$F$2:$F$1001,MATCH(B16,Produits!$A$2:$A$1001,0)),"⚠ code article inconnu"))</f>
        <v/>
      </c>
      <c r="D16" s="12"/>
      <c r="E16" s="23"/>
      <c r="F16" s="24"/>
      <c r="G16" s="23"/>
      <c r="H16" s="21" t="str">
        <f aca="true">IF(E16="","",ROUND((E16-TODAY())/30.4,1))</f>
        <v/>
      </c>
      <c r="I16" s="17" t="str">
        <f aca="false">IF(E16="","",IF(H16&lt;0,IF(LEFT(A16,1)="Q","Périmé (en quarantaine)","PÉRIMÉ → déplacer en zone Q"),IF(H16&lt;3,"Péremption &lt; 3 mois",IF(H16&lt;6,"Péremption &lt; 6 mois",""))))</f>
        <v/>
      </c>
      <c r="J16" s="17" t="str">
        <f aca="false">IF(A16="","",IF(COUNTIF(Emplacements!$A$2:$A$1001,A16)=0,"⚠ emplacement inconnu","OK"))</f>
        <v/>
      </c>
      <c r="K16" s="22" t="str">
        <f aca="false">IF(AND(B16&lt;&gt;"",ISNUMBER(SEARCH(Recherche!$C$3,C16&amp;" "&amp;B16&amp;" "&amp;A16&amp;" "&amp;D16))),MAX($K$1:K15)+1,"")</f>
        <v/>
      </c>
    </row>
    <row r="17" customFormat="false" ht="15" hidden="false" customHeight="false" outlineLevel="0" collapsed="false">
      <c r="A17" s="12"/>
      <c r="B17" s="12"/>
      <c r="C17" s="17" t="str">
        <f aca="false">IF(B17="","",IFERROR(INDEX(Produits!$F$2:$F$1001,MATCH(B17,Produits!$A$2:$A$1001,0)),"⚠ code article inconnu"))</f>
        <v/>
      </c>
      <c r="D17" s="12"/>
      <c r="E17" s="23"/>
      <c r="F17" s="24"/>
      <c r="G17" s="23"/>
      <c r="H17" s="21" t="str">
        <f aca="true">IF(E17="","",ROUND((E17-TODAY())/30.4,1))</f>
        <v/>
      </c>
      <c r="I17" s="17" t="str">
        <f aca="false">IF(E17="","",IF(H17&lt;0,IF(LEFT(A17,1)="Q","Périmé (en quarantaine)","PÉRIMÉ → déplacer en zone Q"),IF(H17&lt;3,"Péremption &lt; 3 mois",IF(H17&lt;6,"Péremption &lt; 6 mois",""))))</f>
        <v/>
      </c>
      <c r="J17" s="17" t="str">
        <f aca="false">IF(A17="","",IF(COUNTIF(Emplacements!$A$2:$A$1001,A17)=0,"⚠ emplacement inconnu","OK"))</f>
        <v/>
      </c>
      <c r="K17" s="22" t="str">
        <f aca="false">IF(AND(B17&lt;&gt;"",ISNUMBER(SEARCH(Recherche!$C$3,C17&amp;" "&amp;B17&amp;" "&amp;A17&amp;" "&amp;D17))),MAX($K$1:K16)+1,"")</f>
        <v/>
      </c>
    </row>
    <row r="18" customFormat="false" ht="15" hidden="false" customHeight="false" outlineLevel="0" collapsed="false">
      <c r="A18" s="12"/>
      <c r="B18" s="12"/>
      <c r="C18" s="17" t="str">
        <f aca="false">IF(B18="","",IFERROR(INDEX(Produits!$F$2:$F$1001,MATCH(B18,Produits!$A$2:$A$1001,0)),"⚠ code article inconnu"))</f>
        <v/>
      </c>
      <c r="D18" s="12"/>
      <c r="E18" s="23"/>
      <c r="F18" s="24"/>
      <c r="G18" s="23"/>
      <c r="H18" s="21" t="str">
        <f aca="true">IF(E18="","",ROUND((E18-TODAY())/30.4,1))</f>
        <v/>
      </c>
      <c r="I18" s="17" t="str">
        <f aca="false">IF(E18="","",IF(H18&lt;0,IF(LEFT(A18,1)="Q","Périmé (en quarantaine)","PÉRIMÉ → déplacer en zone Q"),IF(H18&lt;3,"Péremption &lt; 3 mois",IF(H18&lt;6,"Péremption &lt; 6 mois",""))))</f>
        <v/>
      </c>
      <c r="J18" s="17" t="str">
        <f aca="false">IF(A18="","",IF(COUNTIF(Emplacements!$A$2:$A$1001,A18)=0,"⚠ emplacement inconnu","OK"))</f>
        <v/>
      </c>
      <c r="K18" s="22" t="str">
        <f aca="false">IF(AND(B18&lt;&gt;"",ISNUMBER(SEARCH(Recherche!$C$3,C18&amp;" "&amp;B18&amp;" "&amp;A18&amp;" "&amp;D18))),MAX($K$1:K17)+1,"")</f>
        <v/>
      </c>
    </row>
    <row r="19" customFormat="false" ht="15" hidden="false" customHeight="false" outlineLevel="0" collapsed="false">
      <c r="A19" s="12"/>
      <c r="B19" s="12"/>
      <c r="C19" s="17" t="str">
        <f aca="false">IF(B19="","",IFERROR(INDEX(Produits!$F$2:$F$1001,MATCH(B19,Produits!$A$2:$A$1001,0)),"⚠ code article inconnu"))</f>
        <v/>
      </c>
      <c r="D19" s="12"/>
      <c r="E19" s="23"/>
      <c r="F19" s="24"/>
      <c r="G19" s="23"/>
      <c r="H19" s="21" t="str">
        <f aca="true">IF(E19="","",ROUND((E19-TODAY())/30.4,1))</f>
        <v/>
      </c>
      <c r="I19" s="17" t="str">
        <f aca="false">IF(E19="","",IF(H19&lt;0,IF(LEFT(A19,1)="Q","Périmé (en quarantaine)","PÉRIMÉ → déplacer en zone Q"),IF(H19&lt;3,"Péremption &lt; 3 mois",IF(H19&lt;6,"Péremption &lt; 6 mois",""))))</f>
        <v/>
      </c>
      <c r="J19" s="17" t="str">
        <f aca="false">IF(A19="","",IF(COUNTIF(Emplacements!$A$2:$A$1001,A19)=0,"⚠ emplacement inconnu","OK"))</f>
        <v/>
      </c>
      <c r="K19" s="22" t="str">
        <f aca="false">IF(AND(B19&lt;&gt;"",ISNUMBER(SEARCH(Recherche!$C$3,C19&amp;" "&amp;B19&amp;" "&amp;A19&amp;" "&amp;D19))),MAX($K$1:K18)+1,"")</f>
        <v/>
      </c>
    </row>
    <row r="20" customFormat="false" ht="15" hidden="false" customHeight="false" outlineLevel="0" collapsed="false">
      <c r="A20" s="12"/>
      <c r="B20" s="12"/>
      <c r="C20" s="17" t="str">
        <f aca="false">IF(B20="","",IFERROR(INDEX(Produits!$F$2:$F$1001,MATCH(B20,Produits!$A$2:$A$1001,0)),"⚠ code article inconnu"))</f>
        <v/>
      </c>
      <c r="D20" s="12"/>
      <c r="E20" s="23"/>
      <c r="F20" s="24"/>
      <c r="G20" s="23"/>
      <c r="H20" s="21" t="str">
        <f aca="true">IF(E20="","",ROUND((E20-TODAY())/30.4,1))</f>
        <v/>
      </c>
      <c r="I20" s="17" t="str">
        <f aca="false">IF(E20="","",IF(H20&lt;0,IF(LEFT(A20,1)="Q","Périmé (en quarantaine)","PÉRIMÉ → déplacer en zone Q"),IF(H20&lt;3,"Péremption &lt; 3 mois",IF(H20&lt;6,"Péremption &lt; 6 mois",""))))</f>
        <v/>
      </c>
      <c r="J20" s="17" t="str">
        <f aca="false">IF(A20="","",IF(COUNTIF(Emplacements!$A$2:$A$1001,A20)=0,"⚠ emplacement inconnu","OK"))</f>
        <v/>
      </c>
      <c r="K20" s="22" t="str">
        <f aca="false">IF(AND(B20&lt;&gt;"",ISNUMBER(SEARCH(Recherche!$C$3,C20&amp;" "&amp;B20&amp;" "&amp;A20&amp;" "&amp;D20))),MAX($K$1:K19)+1,"")</f>
        <v/>
      </c>
    </row>
    <row r="21" customFormat="false" ht="15" hidden="false" customHeight="false" outlineLevel="0" collapsed="false">
      <c r="A21" s="12"/>
      <c r="B21" s="12"/>
      <c r="C21" s="17" t="str">
        <f aca="false">IF(B21="","",IFERROR(INDEX(Produits!$F$2:$F$1001,MATCH(B21,Produits!$A$2:$A$1001,0)),"⚠ code article inconnu"))</f>
        <v/>
      </c>
      <c r="D21" s="12"/>
      <c r="E21" s="23"/>
      <c r="F21" s="24"/>
      <c r="G21" s="23"/>
      <c r="H21" s="21" t="str">
        <f aca="true">IF(E21="","",ROUND((E21-TODAY())/30.4,1))</f>
        <v/>
      </c>
      <c r="I21" s="17" t="str">
        <f aca="false">IF(E21="","",IF(H21&lt;0,IF(LEFT(A21,1)="Q","Périmé (en quarantaine)","PÉRIMÉ → déplacer en zone Q"),IF(H21&lt;3,"Péremption &lt; 3 mois",IF(H21&lt;6,"Péremption &lt; 6 mois",""))))</f>
        <v/>
      </c>
      <c r="J21" s="17" t="str">
        <f aca="false">IF(A21="","",IF(COUNTIF(Emplacements!$A$2:$A$1001,A21)=0,"⚠ emplacement inconnu","OK"))</f>
        <v/>
      </c>
      <c r="K21" s="22" t="str">
        <f aca="false">IF(AND(B21&lt;&gt;"",ISNUMBER(SEARCH(Recherche!$C$3,C21&amp;" "&amp;B21&amp;" "&amp;A21&amp;" "&amp;D21))),MAX($K$1:K20)+1,"")</f>
        <v/>
      </c>
    </row>
    <row r="22" customFormat="false" ht="15" hidden="false" customHeight="false" outlineLevel="0" collapsed="false">
      <c r="A22" s="12"/>
      <c r="B22" s="12"/>
      <c r="C22" s="17" t="str">
        <f aca="false">IF(B22="","",IFERROR(INDEX(Produits!$F$2:$F$1001,MATCH(B22,Produits!$A$2:$A$1001,0)),"⚠ code article inconnu"))</f>
        <v/>
      </c>
      <c r="D22" s="12"/>
      <c r="E22" s="23"/>
      <c r="F22" s="24"/>
      <c r="G22" s="23"/>
      <c r="H22" s="21" t="str">
        <f aca="true">IF(E22="","",ROUND((E22-TODAY())/30.4,1))</f>
        <v/>
      </c>
      <c r="I22" s="17" t="str">
        <f aca="false">IF(E22="","",IF(H22&lt;0,IF(LEFT(A22,1)="Q","Périmé (en quarantaine)","PÉRIMÉ → déplacer en zone Q"),IF(H22&lt;3,"Péremption &lt; 3 mois",IF(H22&lt;6,"Péremption &lt; 6 mois",""))))</f>
        <v/>
      </c>
      <c r="J22" s="17" t="str">
        <f aca="false">IF(A22="","",IF(COUNTIF(Emplacements!$A$2:$A$1001,A22)=0,"⚠ emplacement inconnu","OK"))</f>
        <v/>
      </c>
      <c r="K22" s="22" t="str">
        <f aca="false">IF(AND(B22&lt;&gt;"",ISNUMBER(SEARCH(Recherche!$C$3,C22&amp;" "&amp;B22&amp;" "&amp;A22&amp;" "&amp;D22))),MAX($K$1:K21)+1,"")</f>
        <v/>
      </c>
    </row>
    <row r="23" customFormat="false" ht="15" hidden="false" customHeight="false" outlineLevel="0" collapsed="false">
      <c r="A23" s="12"/>
      <c r="B23" s="12"/>
      <c r="C23" s="17" t="str">
        <f aca="false">IF(B23="","",IFERROR(INDEX(Produits!$F$2:$F$1001,MATCH(B23,Produits!$A$2:$A$1001,0)),"⚠ code article inconnu"))</f>
        <v/>
      </c>
      <c r="D23" s="12"/>
      <c r="E23" s="23"/>
      <c r="F23" s="24"/>
      <c r="G23" s="23"/>
      <c r="H23" s="21" t="str">
        <f aca="true">IF(E23="","",ROUND((E23-TODAY())/30.4,1))</f>
        <v/>
      </c>
      <c r="I23" s="17" t="str">
        <f aca="false">IF(E23="","",IF(H23&lt;0,IF(LEFT(A23,1)="Q","Périmé (en quarantaine)","PÉRIMÉ → déplacer en zone Q"),IF(H23&lt;3,"Péremption &lt; 3 mois",IF(H23&lt;6,"Péremption &lt; 6 mois",""))))</f>
        <v/>
      </c>
      <c r="J23" s="17" t="str">
        <f aca="false">IF(A23="","",IF(COUNTIF(Emplacements!$A$2:$A$1001,A23)=0,"⚠ emplacement inconnu","OK"))</f>
        <v/>
      </c>
      <c r="K23" s="22" t="str">
        <f aca="false">IF(AND(B23&lt;&gt;"",ISNUMBER(SEARCH(Recherche!$C$3,C23&amp;" "&amp;B23&amp;" "&amp;A23&amp;" "&amp;D23))),MAX($K$1:K22)+1,"")</f>
        <v/>
      </c>
    </row>
    <row r="24" customFormat="false" ht="15" hidden="false" customHeight="false" outlineLevel="0" collapsed="false">
      <c r="A24" s="12"/>
      <c r="B24" s="12"/>
      <c r="C24" s="17" t="str">
        <f aca="false">IF(B24="","",IFERROR(INDEX(Produits!$F$2:$F$1001,MATCH(B24,Produits!$A$2:$A$1001,0)),"⚠ code article inconnu"))</f>
        <v/>
      </c>
      <c r="D24" s="12"/>
      <c r="E24" s="23"/>
      <c r="F24" s="24"/>
      <c r="G24" s="23"/>
      <c r="H24" s="21" t="str">
        <f aca="true">IF(E24="","",ROUND((E24-TODAY())/30.4,1))</f>
        <v/>
      </c>
      <c r="I24" s="17" t="str">
        <f aca="false">IF(E24="","",IF(H24&lt;0,IF(LEFT(A24,1)="Q","Périmé (en quarantaine)","PÉRIMÉ → déplacer en zone Q"),IF(H24&lt;3,"Péremption &lt; 3 mois",IF(H24&lt;6,"Péremption &lt; 6 mois",""))))</f>
        <v/>
      </c>
      <c r="J24" s="17" t="str">
        <f aca="false">IF(A24="","",IF(COUNTIF(Emplacements!$A$2:$A$1001,A24)=0,"⚠ emplacement inconnu","OK"))</f>
        <v/>
      </c>
      <c r="K24" s="22" t="str">
        <f aca="false">IF(AND(B24&lt;&gt;"",ISNUMBER(SEARCH(Recherche!$C$3,C24&amp;" "&amp;B24&amp;" "&amp;A24&amp;" "&amp;D24))),MAX($K$1:K23)+1,"")</f>
        <v/>
      </c>
    </row>
    <row r="25" customFormat="false" ht="15" hidden="false" customHeight="false" outlineLevel="0" collapsed="false">
      <c r="A25" s="12"/>
      <c r="B25" s="12"/>
      <c r="C25" s="17" t="str">
        <f aca="false">IF(B25="","",IFERROR(INDEX(Produits!$F$2:$F$1001,MATCH(B25,Produits!$A$2:$A$1001,0)),"⚠ code article inconnu"))</f>
        <v/>
      </c>
      <c r="D25" s="12"/>
      <c r="E25" s="23"/>
      <c r="F25" s="24"/>
      <c r="G25" s="23"/>
      <c r="H25" s="21" t="str">
        <f aca="true">IF(E25="","",ROUND((E25-TODAY())/30.4,1))</f>
        <v/>
      </c>
      <c r="I25" s="17" t="str">
        <f aca="false">IF(E25="","",IF(H25&lt;0,IF(LEFT(A25,1)="Q","Périmé (en quarantaine)","PÉRIMÉ → déplacer en zone Q"),IF(H25&lt;3,"Péremption &lt; 3 mois",IF(H25&lt;6,"Péremption &lt; 6 mois",""))))</f>
        <v/>
      </c>
      <c r="J25" s="17" t="str">
        <f aca="false">IF(A25="","",IF(COUNTIF(Emplacements!$A$2:$A$1001,A25)=0,"⚠ emplacement inconnu","OK"))</f>
        <v/>
      </c>
      <c r="K25" s="22" t="str">
        <f aca="false">IF(AND(B25&lt;&gt;"",ISNUMBER(SEARCH(Recherche!$C$3,C25&amp;" "&amp;B25&amp;" "&amp;A25&amp;" "&amp;D25))),MAX($K$1:K24)+1,"")</f>
        <v/>
      </c>
    </row>
    <row r="26" customFormat="false" ht="15" hidden="false" customHeight="false" outlineLevel="0" collapsed="false">
      <c r="A26" s="12"/>
      <c r="B26" s="12"/>
      <c r="C26" s="17" t="str">
        <f aca="false">IF(B26="","",IFERROR(INDEX(Produits!$F$2:$F$1001,MATCH(B26,Produits!$A$2:$A$1001,0)),"⚠ code article inconnu"))</f>
        <v/>
      </c>
      <c r="D26" s="12"/>
      <c r="E26" s="23"/>
      <c r="F26" s="24"/>
      <c r="G26" s="23"/>
      <c r="H26" s="21" t="str">
        <f aca="true">IF(E26="","",ROUND((E26-TODAY())/30.4,1))</f>
        <v/>
      </c>
      <c r="I26" s="17" t="str">
        <f aca="false">IF(E26="","",IF(H26&lt;0,IF(LEFT(A26,1)="Q","Périmé (en quarantaine)","PÉRIMÉ → déplacer en zone Q"),IF(H26&lt;3,"Péremption &lt; 3 mois",IF(H26&lt;6,"Péremption &lt; 6 mois",""))))</f>
        <v/>
      </c>
      <c r="J26" s="17" t="str">
        <f aca="false">IF(A26="","",IF(COUNTIF(Emplacements!$A$2:$A$1001,A26)=0,"⚠ emplacement inconnu","OK"))</f>
        <v/>
      </c>
      <c r="K26" s="22" t="str">
        <f aca="false">IF(AND(B26&lt;&gt;"",ISNUMBER(SEARCH(Recherche!$C$3,C26&amp;" "&amp;B26&amp;" "&amp;A26&amp;" "&amp;D26))),MAX($K$1:K25)+1,"")</f>
        <v/>
      </c>
    </row>
    <row r="27" customFormat="false" ht="15" hidden="false" customHeight="false" outlineLevel="0" collapsed="false">
      <c r="A27" s="12"/>
      <c r="B27" s="12"/>
      <c r="C27" s="17" t="str">
        <f aca="false">IF(B27="","",IFERROR(INDEX(Produits!$F$2:$F$1001,MATCH(B27,Produits!$A$2:$A$1001,0)),"⚠ code article inconnu"))</f>
        <v/>
      </c>
      <c r="D27" s="12"/>
      <c r="E27" s="23"/>
      <c r="F27" s="24"/>
      <c r="G27" s="23"/>
      <c r="H27" s="21" t="str">
        <f aca="true">IF(E27="","",ROUND((E27-TODAY())/30.4,1))</f>
        <v/>
      </c>
      <c r="I27" s="17" t="str">
        <f aca="false">IF(E27="","",IF(H27&lt;0,IF(LEFT(A27,1)="Q","Périmé (en quarantaine)","PÉRIMÉ → déplacer en zone Q"),IF(H27&lt;3,"Péremption &lt; 3 mois",IF(H27&lt;6,"Péremption &lt; 6 mois",""))))</f>
        <v/>
      </c>
      <c r="J27" s="17" t="str">
        <f aca="false">IF(A27="","",IF(COUNTIF(Emplacements!$A$2:$A$1001,A27)=0,"⚠ emplacement inconnu","OK"))</f>
        <v/>
      </c>
      <c r="K27" s="22" t="str">
        <f aca="false">IF(AND(B27&lt;&gt;"",ISNUMBER(SEARCH(Recherche!$C$3,C27&amp;" "&amp;B27&amp;" "&amp;A27&amp;" "&amp;D27))),MAX($K$1:K26)+1,"")</f>
        <v/>
      </c>
    </row>
    <row r="28" customFormat="false" ht="15" hidden="false" customHeight="false" outlineLevel="0" collapsed="false">
      <c r="A28" s="12"/>
      <c r="B28" s="12"/>
      <c r="C28" s="17" t="str">
        <f aca="false">IF(B28="","",IFERROR(INDEX(Produits!$F$2:$F$1001,MATCH(B28,Produits!$A$2:$A$1001,0)),"⚠ code article inconnu"))</f>
        <v/>
      </c>
      <c r="D28" s="12"/>
      <c r="E28" s="23"/>
      <c r="F28" s="24"/>
      <c r="G28" s="23"/>
      <c r="H28" s="21" t="str">
        <f aca="true">IF(E28="","",ROUND((E28-TODAY())/30.4,1))</f>
        <v/>
      </c>
      <c r="I28" s="17" t="str">
        <f aca="false">IF(E28="","",IF(H28&lt;0,IF(LEFT(A28,1)="Q","Périmé (en quarantaine)","PÉRIMÉ → déplacer en zone Q"),IF(H28&lt;3,"Péremption &lt; 3 mois",IF(H28&lt;6,"Péremption &lt; 6 mois",""))))</f>
        <v/>
      </c>
      <c r="J28" s="17" t="str">
        <f aca="false">IF(A28="","",IF(COUNTIF(Emplacements!$A$2:$A$1001,A28)=0,"⚠ emplacement inconnu","OK"))</f>
        <v/>
      </c>
      <c r="K28" s="22" t="str">
        <f aca="false">IF(AND(B28&lt;&gt;"",ISNUMBER(SEARCH(Recherche!$C$3,C28&amp;" "&amp;B28&amp;" "&amp;A28&amp;" "&amp;D28))),MAX($K$1:K27)+1,"")</f>
        <v/>
      </c>
    </row>
    <row r="29" customFormat="false" ht="15" hidden="false" customHeight="false" outlineLevel="0" collapsed="false">
      <c r="A29" s="12"/>
      <c r="B29" s="12"/>
      <c r="C29" s="17" t="str">
        <f aca="false">IF(B29="","",IFERROR(INDEX(Produits!$F$2:$F$1001,MATCH(B29,Produits!$A$2:$A$1001,0)),"⚠ code article inconnu"))</f>
        <v/>
      </c>
      <c r="D29" s="12"/>
      <c r="E29" s="23"/>
      <c r="F29" s="24"/>
      <c r="G29" s="23"/>
      <c r="H29" s="21" t="str">
        <f aca="true">IF(E29="","",ROUND((E29-TODAY())/30.4,1))</f>
        <v/>
      </c>
      <c r="I29" s="17" t="str">
        <f aca="false">IF(E29="","",IF(H29&lt;0,IF(LEFT(A29,1)="Q","Périmé (en quarantaine)","PÉRIMÉ → déplacer en zone Q"),IF(H29&lt;3,"Péremption &lt; 3 mois",IF(H29&lt;6,"Péremption &lt; 6 mois",""))))</f>
        <v/>
      </c>
      <c r="J29" s="17" t="str">
        <f aca="false">IF(A29="","",IF(COUNTIF(Emplacements!$A$2:$A$1001,A29)=0,"⚠ emplacement inconnu","OK"))</f>
        <v/>
      </c>
      <c r="K29" s="22" t="str">
        <f aca="false">IF(AND(B29&lt;&gt;"",ISNUMBER(SEARCH(Recherche!$C$3,C29&amp;" "&amp;B29&amp;" "&amp;A29&amp;" "&amp;D29))),MAX($K$1:K28)+1,"")</f>
        <v/>
      </c>
    </row>
    <row r="30" customFormat="false" ht="15" hidden="false" customHeight="false" outlineLevel="0" collapsed="false">
      <c r="A30" s="12"/>
      <c r="B30" s="12"/>
      <c r="C30" s="17" t="str">
        <f aca="false">IF(B30="","",IFERROR(INDEX(Produits!$F$2:$F$1001,MATCH(B30,Produits!$A$2:$A$1001,0)),"⚠ code article inconnu"))</f>
        <v/>
      </c>
      <c r="D30" s="12"/>
      <c r="E30" s="23"/>
      <c r="F30" s="24"/>
      <c r="G30" s="23"/>
      <c r="H30" s="21" t="str">
        <f aca="true">IF(E30="","",ROUND((E30-TODAY())/30.4,1))</f>
        <v/>
      </c>
      <c r="I30" s="17" t="str">
        <f aca="false">IF(E30="","",IF(H30&lt;0,IF(LEFT(A30,1)="Q","Périmé (en quarantaine)","PÉRIMÉ → déplacer en zone Q"),IF(H30&lt;3,"Péremption &lt; 3 mois",IF(H30&lt;6,"Péremption &lt; 6 mois",""))))</f>
        <v/>
      </c>
      <c r="J30" s="17" t="str">
        <f aca="false">IF(A30="","",IF(COUNTIF(Emplacements!$A$2:$A$1001,A30)=0,"⚠ emplacement inconnu","OK"))</f>
        <v/>
      </c>
      <c r="K30" s="22" t="str">
        <f aca="false">IF(AND(B30&lt;&gt;"",ISNUMBER(SEARCH(Recherche!$C$3,C30&amp;" "&amp;B30&amp;" "&amp;A30&amp;" "&amp;D30))),MAX($K$1:K29)+1,"")</f>
        <v/>
      </c>
    </row>
    <row r="31" customFormat="false" ht="15" hidden="false" customHeight="false" outlineLevel="0" collapsed="false">
      <c r="A31" s="12"/>
      <c r="B31" s="12"/>
      <c r="C31" s="17" t="str">
        <f aca="false">IF(B31="","",IFERROR(INDEX(Produits!$F$2:$F$1001,MATCH(B31,Produits!$A$2:$A$1001,0)),"⚠ code article inconnu"))</f>
        <v/>
      </c>
      <c r="D31" s="12"/>
      <c r="E31" s="23"/>
      <c r="F31" s="24"/>
      <c r="G31" s="23"/>
      <c r="H31" s="21" t="str">
        <f aca="true">IF(E31="","",ROUND((E31-TODAY())/30.4,1))</f>
        <v/>
      </c>
      <c r="I31" s="17" t="str">
        <f aca="false">IF(E31="","",IF(H31&lt;0,IF(LEFT(A31,1)="Q","Périmé (en quarantaine)","PÉRIMÉ → déplacer en zone Q"),IF(H31&lt;3,"Péremption &lt; 3 mois",IF(H31&lt;6,"Péremption &lt; 6 mois",""))))</f>
        <v/>
      </c>
      <c r="J31" s="17" t="str">
        <f aca="false">IF(A31="","",IF(COUNTIF(Emplacements!$A$2:$A$1001,A31)=0,"⚠ emplacement inconnu","OK"))</f>
        <v/>
      </c>
      <c r="K31" s="22" t="str">
        <f aca="false">IF(AND(B31&lt;&gt;"",ISNUMBER(SEARCH(Recherche!$C$3,C31&amp;" "&amp;B31&amp;" "&amp;A31&amp;" "&amp;D31))),MAX($K$1:K30)+1,"")</f>
        <v/>
      </c>
    </row>
    <row r="32" customFormat="false" ht="15" hidden="false" customHeight="false" outlineLevel="0" collapsed="false">
      <c r="A32" s="12"/>
      <c r="B32" s="12"/>
      <c r="C32" s="17" t="str">
        <f aca="false">IF(B32="","",IFERROR(INDEX(Produits!$F$2:$F$1001,MATCH(B32,Produits!$A$2:$A$1001,0)),"⚠ code article inconnu"))</f>
        <v/>
      </c>
      <c r="D32" s="12"/>
      <c r="E32" s="23"/>
      <c r="F32" s="24"/>
      <c r="G32" s="23"/>
      <c r="H32" s="21" t="str">
        <f aca="true">IF(E32="","",ROUND((E32-TODAY())/30.4,1))</f>
        <v/>
      </c>
      <c r="I32" s="17" t="str">
        <f aca="false">IF(E32="","",IF(H32&lt;0,IF(LEFT(A32,1)="Q","Périmé (en quarantaine)","PÉRIMÉ → déplacer en zone Q"),IF(H32&lt;3,"Péremption &lt; 3 mois",IF(H32&lt;6,"Péremption &lt; 6 mois",""))))</f>
        <v/>
      </c>
      <c r="J32" s="17" t="str">
        <f aca="false">IF(A32="","",IF(COUNTIF(Emplacements!$A$2:$A$1001,A32)=0,"⚠ emplacement inconnu","OK"))</f>
        <v/>
      </c>
      <c r="K32" s="22" t="str">
        <f aca="false">IF(AND(B32&lt;&gt;"",ISNUMBER(SEARCH(Recherche!$C$3,C32&amp;" "&amp;B32&amp;" "&amp;A32&amp;" "&amp;D32))),MAX($K$1:K31)+1,"")</f>
        <v/>
      </c>
    </row>
    <row r="33" customFormat="false" ht="15" hidden="false" customHeight="false" outlineLevel="0" collapsed="false">
      <c r="A33" s="12"/>
      <c r="B33" s="12"/>
      <c r="C33" s="17" t="str">
        <f aca="false">IF(B33="","",IFERROR(INDEX(Produits!$F$2:$F$1001,MATCH(B33,Produits!$A$2:$A$1001,0)),"⚠ code article inconnu"))</f>
        <v/>
      </c>
      <c r="D33" s="12"/>
      <c r="E33" s="23"/>
      <c r="F33" s="24"/>
      <c r="G33" s="23"/>
      <c r="H33" s="21" t="str">
        <f aca="true">IF(E33="","",ROUND((E33-TODAY())/30.4,1))</f>
        <v/>
      </c>
      <c r="I33" s="17" t="str">
        <f aca="false">IF(E33="","",IF(H33&lt;0,IF(LEFT(A33,1)="Q","Périmé (en quarantaine)","PÉRIMÉ → déplacer en zone Q"),IF(H33&lt;3,"Péremption &lt; 3 mois",IF(H33&lt;6,"Péremption &lt; 6 mois",""))))</f>
        <v/>
      </c>
      <c r="J33" s="17" t="str">
        <f aca="false">IF(A33="","",IF(COUNTIF(Emplacements!$A$2:$A$1001,A33)=0,"⚠ emplacement inconnu","OK"))</f>
        <v/>
      </c>
      <c r="K33" s="22" t="str">
        <f aca="false">IF(AND(B33&lt;&gt;"",ISNUMBER(SEARCH(Recherche!$C$3,C33&amp;" "&amp;B33&amp;" "&amp;A33&amp;" "&amp;D33))),MAX($K$1:K32)+1,"")</f>
        <v/>
      </c>
    </row>
    <row r="34" customFormat="false" ht="15" hidden="false" customHeight="false" outlineLevel="0" collapsed="false">
      <c r="A34" s="12"/>
      <c r="B34" s="12"/>
      <c r="C34" s="17" t="str">
        <f aca="false">IF(B34="","",IFERROR(INDEX(Produits!$F$2:$F$1001,MATCH(B34,Produits!$A$2:$A$1001,0)),"⚠ code article inconnu"))</f>
        <v/>
      </c>
      <c r="D34" s="12"/>
      <c r="E34" s="23"/>
      <c r="F34" s="24"/>
      <c r="G34" s="23"/>
      <c r="H34" s="21" t="str">
        <f aca="true">IF(E34="","",ROUND((E34-TODAY())/30.4,1))</f>
        <v/>
      </c>
      <c r="I34" s="17" t="str">
        <f aca="false">IF(E34="","",IF(H34&lt;0,IF(LEFT(A34,1)="Q","Périmé (en quarantaine)","PÉRIMÉ → déplacer en zone Q"),IF(H34&lt;3,"Péremption &lt; 3 mois",IF(H34&lt;6,"Péremption &lt; 6 mois",""))))</f>
        <v/>
      </c>
      <c r="J34" s="17" t="str">
        <f aca="false">IF(A34="","",IF(COUNTIF(Emplacements!$A$2:$A$1001,A34)=0,"⚠ emplacement inconnu","OK"))</f>
        <v/>
      </c>
      <c r="K34" s="22" t="str">
        <f aca="false">IF(AND(B34&lt;&gt;"",ISNUMBER(SEARCH(Recherche!$C$3,C34&amp;" "&amp;B34&amp;" "&amp;A34&amp;" "&amp;D34))),MAX($K$1:K33)+1,"")</f>
        <v/>
      </c>
    </row>
    <row r="35" customFormat="false" ht="15" hidden="false" customHeight="false" outlineLevel="0" collapsed="false">
      <c r="A35" s="12"/>
      <c r="B35" s="12"/>
      <c r="C35" s="17" t="str">
        <f aca="false">IF(B35="","",IFERROR(INDEX(Produits!$F$2:$F$1001,MATCH(B35,Produits!$A$2:$A$1001,0)),"⚠ code article inconnu"))</f>
        <v/>
      </c>
      <c r="D35" s="12"/>
      <c r="E35" s="23"/>
      <c r="F35" s="24"/>
      <c r="G35" s="23"/>
      <c r="H35" s="21" t="str">
        <f aca="true">IF(E35="","",ROUND((E35-TODAY())/30.4,1))</f>
        <v/>
      </c>
      <c r="I35" s="17" t="str">
        <f aca="false">IF(E35="","",IF(H35&lt;0,IF(LEFT(A35,1)="Q","Périmé (en quarantaine)","PÉRIMÉ → déplacer en zone Q"),IF(H35&lt;3,"Péremption &lt; 3 mois",IF(H35&lt;6,"Péremption &lt; 6 mois",""))))</f>
        <v/>
      </c>
      <c r="J35" s="17" t="str">
        <f aca="false">IF(A35="","",IF(COUNTIF(Emplacements!$A$2:$A$1001,A35)=0,"⚠ emplacement inconnu","OK"))</f>
        <v/>
      </c>
      <c r="K35" s="22" t="str">
        <f aca="false">IF(AND(B35&lt;&gt;"",ISNUMBER(SEARCH(Recherche!$C$3,C35&amp;" "&amp;B35&amp;" "&amp;A35&amp;" "&amp;D35))),MAX($K$1:K34)+1,"")</f>
        <v/>
      </c>
    </row>
    <row r="36" customFormat="false" ht="15" hidden="false" customHeight="false" outlineLevel="0" collapsed="false">
      <c r="A36" s="12"/>
      <c r="B36" s="12"/>
      <c r="C36" s="17" t="str">
        <f aca="false">IF(B36="","",IFERROR(INDEX(Produits!$F$2:$F$1001,MATCH(B36,Produits!$A$2:$A$1001,0)),"⚠ code article inconnu"))</f>
        <v/>
      </c>
      <c r="D36" s="12"/>
      <c r="E36" s="23"/>
      <c r="F36" s="24"/>
      <c r="G36" s="23"/>
      <c r="H36" s="21" t="str">
        <f aca="true">IF(E36="","",ROUND((E36-TODAY())/30.4,1))</f>
        <v/>
      </c>
      <c r="I36" s="17" t="str">
        <f aca="false">IF(E36="","",IF(H36&lt;0,IF(LEFT(A36,1)="Q","Périmé (en quarantaine)","PÉRIMÉ → déplacer en zone Q"),IF(H36&lt;3,"Péremption &lt; 3 mois",IF(H36&lt;6,"Péremption &lt; 6 mois",""))))</f>
        <v/>
      </c>
      <c r="J36" s="17" t="str">
        <f aca="false">IF(A36="","",IF(COUNTIF(Emplacements!$A$2:$A$1001,A36)=0,"⚠ emplacement inconnu","OK"))</f>
        <v/>
      </c>
      <c r="K36" s="22" t="str">
        <f aca="false">IF(AND(B36&lt;&gt;"",ISNUMBER(SEARCH(Recherche!$C$3,C36&amp;" "&amp;B36&amp;" "&amp;A36&amp;" "&amp;D36))),MAX($K$1:K35)+1,"")</f>
        <v/>
      </c>
    </row>
    <row r="37" customFormat="false" ht="15" hidden="false" customHeight="false" outlineLevel="0" collapsed="false">
      <c r="A37" s="12"/>
      <c r="B37" s="12"/>
      <c r="C37" s="17" t="str">
        <f aca="false">IF(B37="","",IFERROR(INDEX(Produits!$F$2:$F$1001,MATCH(B37,Produits!$A$2:$A$1001,0)),"⚠ code article inconnu"))</f>
        <v/>
      </c>
      <c r="D37" s="12"/>
      <c r="E37" s="23"/>
      <c r="F37" s="24"/>
      <c r="G37" s="23"/>
      <c r="H37" s="21" t="str">
        <f aca="true">IF(E37="","",ROUND((E37-TODAY())/30.4,1))</f>
        <v/>
      </c>
      <c r="I37" s="17" t="str">
        <f aca="false">IF(E37="","",IF(H37&lt;0,IF(LEFT(A37,1)="Q","Périmé (en quarantaine)","PÉRIMÉ → déplacer en zone Q"),IF(H37&lt;3,"Péremption &lt; 3 mois",IF(H37&lt;6,"Péremption &lt; 6 mois",""))))</f>
        <v/>
      </c>
      <c r="J37" s="17" t="str">
        <f aca="false">IF(A37="","",IF(COUNTIF(Emplacements!$A$2:$A$1001,A37)=0,"⚠ emplacement inconnu","OK"))</f>
        <v/>
      </c>
      <c r="K37" s="22" t="str">
        <f aca="false">IF(AND(B37&lt;&gt;"",ISNUMBER(SEARCH(Recherche!$C$3,C37&amp;" "&amp;B37&amp;" "&amp;A37&amp;" "&amp;D37))),MAX($K$1:K36)+1,"")</f>
        <v/>
      </c>
    </row>
    <row r="38" customFormat="false" ht="15" hidden="false" customHeight="false" outlineLevel="0" collapsed="false">
      <c r="A38" s="12"/>
      <c r="B38" s="12"/>
      <c r="C38" s="17" t="str">
        <f aca="false">IF(B38="","",IFERROR(INDEX(Produits!$F$2:$F$1001,MATCH(B38,Produits!$A$2:$A$1001,0)),"⚠ code article inconnu"))</f>
        <v/>
      </c>
      <c r="D38" s="12"/>
      <c r="E38" s="23"/>
      <c r="F38" s="24"/>
      <c r="G38" s="23"/>
      <c r="H38" s="21" t="str">
        <f aca="true">IF(E38="","",ROUND((E38-TODAY())/30.4,1))</f>
        <v/>
      </c>
      <c r="I38" s="17" t="str">
        <f aca="false">IF(E38="","",IF(H38&lt;0,IF(LEFT(A38,1)="Q","Périmé (en quarantaine)","PÉRIMÉ → déplacer en zone Q"),IF(H38&lt;3,"Péremption &lt; 3 mois",IF(H38&lt;6,"Péremption &lt; 6 mois",""))))</f>
        <v/>
      </c>
      <c r="J38" s="17" t="str">
        <f aca="false">IF(A38="","",IF(COUNTIF(Emplacements!$A$2:$A$1001,A38)=0,"⚠ emplacement inconnu","OK"))</f>
        <v/>
      </c>
      <c r="K38" s="22" t="str">
        <f aca="false">IF(AND(B38&lt;&gt;"",ISNUMBER(SEARCH(Recherche!$C$3,C38&amp;" "&amp;B38&amp;" "&amp;A38&amp;" "&amp;D38))),MAX($K$1:K37)+1,"")</f>
        <v/>
      </c>
    </row>
    <row r="39" customFormat="false" ht="15" hidden="false" customHeight="false" outlineLevel="0" collapsed="false">
      <c r="A39" s="12"/>
      <c r="B39" s="12"/>
      <c r="C39" s="17" t="str">
        <f aca="false">IF(B39="","",IFERROR(INDEX(Produits!$F$2:$F$1001,MATCH(B39,Produits!$A$2:$A$1001,0)),"⚠ code article inconnu"))</f>
        <v/>
      </c>
      <c r="D39" s="12"/>
      <c r="E39" s="23"/>
      <c r="F39" s="24"/>
      <c r="G39" s="23"/>
      <c r="H39" s="21" t="str">
        <f aca="true">IF(E39="","",ROUND((E39-TODAY())/30.4,1))</f>
        <v/>
      </c>
      <c r="I39" s="17" t="str">
        <f aca="false">IF(E39="","",IF(H39&lt;0,IF(LEFT(A39,1)="Q","Périmé (en quarantaine)","PÉRIMÉ → déplacer en zone Q"),IF(H39&lt;3,"Péremption &lt; 3 mois",IF(H39&lt;6,"Péremption &lt; 6 mois",""))))</f>
        <v/>
      </c>
      <c r="J39" s="17" t="str">
        <f aca="false">IF(A39="","",IF(COUNTIF(Emplacements!$A$2:$A$1001,A39)=0,"⚠ emplacement inconnu","OK"))</f>
        <v/>
      </c>
      <c r="K39" s="22" t="str">
        <f aca="false">IF(AND(B39&lt;&gt;"",ISNUMBER(SEARCH(Recherche!$C$3,C39&amp;" "&amp;B39&amp;" "&amp;A39&amp;" "&amp;D39))),MAX($K$1:K38)+1,"")</f>
        <v/>
      </c>
    </row>
    <row r="40" customFormat="false" ht="15" hidden="false" customHeight="false" outlineLevel="0" collapsed="false">
      <c r="A40" s="12"/>
      <c r="B40" s="12"/>
      <c r="C40" s="17" t="str">
        <f aca="false">IF(B40="","",IFERROR(INDEX(Produits!$F$2:$F$1001,MATCH(B40,Produits!$A$2:$A$1001,0)),"⚠ code article inconnu"))</f>
        <v/>
      </c>
      <c r="D40" s="12"/>
      <c r="E40" s="23"/>
      <c r="F40" s="24"/>
      <c r="G40" s="23"/>
      <c r="H40" s="21" t="str">
        <f aca="true">IF(E40="","",ROUND((E40-TODAY())/30.4,1))</f>
        <v/>
      </c>
      <c r="I40" s="17" t="str">
        <f aca="false">IF(E40="","",IF(H40&lt;0,IF(LEFT(A40,1)="Q","Périmé (en quarantaine)","PÉRIMÉ → déplacer en zone Q"),IF(H40&lt;3,"Péremption &lt; 3 mois",IF(H40&lt;6,"Péremption &lt; 6 mois",""))))</f>
        <v/>
      </c>
      <c r="J40" s="17" t="str">
        <f aca="false">IF(A40="","",IF(COUNTIF(Emplacements!$A$2:$A$1001,A40)=0,"⚠ emplacement inconnu","OK"))</f>
        <v/>
      </c>
      <c r="K40" s="22" t="str">
        <f aca="false">IF(AND(B40&lt;&gt;"",ISNUMBER(SEARCH(Recherche!$C$3,C40&amp;" "&amp;B40&amp;" "&amp;A40&amp;" "&amp;D40))),MAX($K$1:K39)+1,"")</f>
        <v/>
      </c>
    </row>
    <row r="41" customFormat="false" ht="15" hidden="false" customHeight="false" outlineLevel="0" collapsed="false">
      <c r="A41" s="12"/>
      <c r="B41" s="12"/>
      <c r="C41" s="17" t="str">
        <f aca="false">IF(B41="","",IFERROR(INDEX(Produits!$F$2:$F$1001,MATCH(B41,Produits!$A$2:$A$1001,0)),"⚠ code article inconnu"))</f>
        <v/>
      </c>
      <c r="D41" s="12"/>
      <c r="E41" s="23"/>
      <c r="F41" s="24"/>
      <c r="G41" s="23"/>
      <c r="H41" s="21" t="str">
        <f aca="true">IF(E41="","",ROUND((E41-TODAY())/30.4,1))</f>
        <v/>
      </c>
      <c r="I41" s="17" t="str">
        <f aca="false">IF(E41="","",IF(H41&lt;0,IF(LEFT(A41,1)="Q","Périmé (en quarantaine)","PÉRIMÉ → déplacer en zone Q"),IF(H41&lt;3,"Péremption &lt; 3 mois",IF(H41&lt;6,"Péremption &lt; 6 mois",""))))</f>
        <v/>
      </c>
      <c r="J41" s="17" t="str">
        <f aca="false">IF(A41="","",IF(COUNTIF(Emplacements!$A$2:$A$1001,A41)=0,"⚠ emplacement inconnu","OK"))</f>
        <v/>
      </c>
      <c r="K41" s="22" t="str">
        <f aca="false">IF(AND(B41&lt;&gt;"",ISNUMBER(SEARCH(Recherche!$C$3,C41&amp;" "&amp;B41&amp;" "&amp;A41&amp;" "&amp;D41))),MAX($K$1:K40)+1,"")</f>
        <v/>
      </c>
    </row>
    <row r="42" customFormat="false" ht="15" hidden="false" customHeight="false" outlineLevel="0" collapsed="false">
      <c r="A42" s="12"/>
      <c r="B42" s="12"/>
      <c r="C42" s="17" t="str">
        <f aca="false">IF(B42="","",IFERROR(INDEX(Produits!$F$2:$F$1001,MATCH(B42,Produits!$A$2:$A$1001,0)),"⚠ code article inconnu"))</f>
        <v/>
      </c>
      <c r="D42" s="12"/>
      <c r="E42" s="23"/>
      <c r="F42" s="24"/>
      <c r="G42" s="23"/>
      <c r="H42" s="21" t="str">
        <f aca="true">IF(E42="","",ROUND((E42-TODAY())/30.4,1))</f>
        <v/>
      </c>
      <c r="I42" s="17" t="str">
        <f aca="false">IF(E42="","",IF(H42&lt;0,IF(LEFT(A42,1)="Q","Périmé (en quarantaine)","PÉRIMÉ → déplacer en zone Q"),IF(H42&lt;3,"Péremption &lt; 3 mois",IF(H42&lt;6,"Péremption &lt; 6 mois",""))))</f>
        <v/>
      </c>
      <c r="J42" s="17" t="str">
        <f aca="false">IF(A42="","",IF(COUNTIF(Emplacements!$A$2:$A$1001,A42)=0,"⚠ emplacement inconnu","OK"))</f>
        <v/>
      </c>
      <c r="K42" s="22" t="str">
        <f aca="false">IF(AND(B42&lt;&gt;"",ISNUMBER(SEARCH(Recherche!$C$3,C42&amp;" "&amp;B42&amp;" "&amp;A42&amp;" "&amp;D42))),MAX($K$1:K41)+1,"")</f>
        <v/>
      </c>
    </row>
    <row r="43" customFormat="false" ht="15" hidden="false" customHeight="false" outlineLevel="0" collapsed="false">
      <c r="A43" s="12"/>
      <c r="B43" s="12"/>
      <c r="C43" s="17" t="str">
        <f aca="false">IF(B43="","",IFERROR(INDEX(Produits!$F$2:$F$1001,MATCH(B43,Produits!$A$2:$A$1001,0)),"⚠ code article inconnu"))</f>
        <v/>
      </c>
      <c r="D43" s="12"/>
      <c r="E43" s="23"/>
      <c r="F43" s="24"/>
      <c r="G43" s="23"/>
      <c r="H43" s="21" t="str">
        <f aca="true">IF(E43="","",ROUND((E43-TODAY())/30.4,1))</f>
        <v/>
      </c>
      <c r="I43" s="17" t="str">
        <f aca="false">IF(E43="","",IF(H43&lt;0,IF(LEFT(A43,1)="Q","Périmé (en quarantaine)","PÉRIMÉ → déplacer en zone Q"),IF(H43&lt;3,"Péremption &lt; 3 mois",IF(H43&lt;6,"Péremption &lt; 6 mois",""))))</f>
        <v/>
      </c>
      <c r="J43" s="17" t="str">
        <f aca="false">IF(A43="","",IF(COUNTIF(Emplacements!$A$2:$A$1001,A43)=0,"⚠ emplacement inconnu","OK"))</f>
        <v/>
      </c>
      <c r="K43" s="22" t="str">
        <f aca="false">IF(AND(B43&lt;&gt;"",ISNUMBER(SEARCH(Recherche!$C$3,C43&amp;" "&amp;B43&amp;" "&amp;A43&amp;" "&amp;D43))),MAX($K$1:K42)+1,"")</f>
        <v/>
      </c>
    </row>
    <row r="44" customFormat="false" ht="15" hidden="false" customHeight="false" outlineLevel="0" collapsed="false">
      <c r="A44" s="12"/>
      <c r="B44" s="12"/>
      <c r="C44" s="17" t="str">
        <f aca="false">IF(B44="","",IFERROR(INDEX(Produits!$F$2:$F$1001,MATCH(B44,Produits!$A$2:$A$1001,0)),"⚠ code article inconnu"))</f>
        <v/>
      </c>
      <c r="D44" s="12"/>
      <c r="E44" s="23"/>
      <c r="F44" s="24"/>
      <c r="G44" s="23"/>
      <c r="H44" s="21" t="str">
        <f aca="true">IF(E44="","",ROUND((E44-TODAY())/30.4,1))</f>
        <v/>
      </c>
      <c r="I44" s="17" t="str">
        <f aca="false">IF(E44="","",IF(H44&lt;0,IF(LEFT(A44,1)="Q","Périmé (en quarantaine)","PÉRIMÉ → déplacer en zone Q"),IF(H44&lt;3,"Péremption &lt; 3 mois",IF(H44&lt;6,"Péremption &lt; 6 mois",""))))</f>
        <v/>
      </c>
      <c r="J44" s="17" t="str">
        <f aca="false">IF(A44="","",IF(COUNTIF(Emplacements!$A$2:$A$1001,A44)=0,"⚠ emplacement inconnu","OK"))</f>
        <v/>
      </c>
      <c r="K44" s="22" t="str">
        <f aca="false">IF(AND(B44&lt;&gt;"",ISNUMBER(SEARCH(Recherche!$C$3,C44&amp;" "&amp;B44&amp;" "&amp;A44&amp;" "&amp;D44))),MAX($K$1:K43)+1,"")</f>
        <v/>
      </c>
    </row>
    <row r="45" customFormat="false" ht="15" hidden="false" customHeight="false" outlineLevel="0" collapsed="false">
      <c r="A45" s="12"/>
      <c r="B45" s="12"/>
      <c r="C45" s="17" t="str">
        <f aca="false">IF(B45="","",IFERROR(INDEX(Produits!$F$2:$F$1001,MATCH(B45,Produits!$A$2:$A$1001,0)),"⚠ code article inconnu"))</f>
        <v/>
      </c>
      <c r="D45" s="12"/>
      <c r="E45" s="23"/>
      <c r="F45" s="24"/>
      <c r="G45" s="23"/>
      <c r="H45" s="21" t="str">
        <f aca="true">IF(E45="","",ROUND((E45-TODAY())/30.4,1))</f>
        <v/>
      </c>
      <c r="I45" s="17" t="str">
        <f aca="false">IF(E45="","",IF(H45&lt;0,IF(LEFT(A45,1)="Q","Périmé (en quarantaine)","PÉRIMÉ → déplacer en zone Q"),IF(H45&lt;3,"Péremption &lt; 3 mois",IF(H45&lt;6,"Péremption &lt; 6 mois",""))))</f>
        <v/>
      </c>
      <c r="J45" s="17" t="str">
        <f aca="false">IF(A45="","",IF(COUNTIF(Emplacements!$A$2:$A$1001,A45)=0,"⚠ emplacement inconnu","OK"))</f>
        <v/>
      </c>
      <c r="K45" s="22" t="str">
        <f aca="false">IF(AND(B45&lt;&gt;"",ISNUMBER(SEARCH(Recherche!$C$3,C45&amp;" "&amp;B45&amp;" "&amp;A45&amp;" "&amp;D45))),MAX($K$1:K44)+1,"")</f>
        <v/>
      </c>
    </row>
    <row r="46" customFormat="false" ht="15" hidden="false" customHeight="false" outlineLevel="0" collapsed="false">
      <c r="A46" s="12"/>
      <c r="B46" s="12"/>
      <c r="C46" s="17" t="str">
        <f aca="false">IF(B46="","",IFERROR(INDEX(Produits!$F$2:$F$1001,MATCH(B46,Produits!$A$2:$A$1001,0)),"⚠ code article inconnu"))</f>
        <v/>
      </c>
      <c r="D46" s="12"/>
      <c r="E46" s="23"/>
      <c r="F46" s="24"/>
      <c r="G46" s="23"/>
      <c r="H46" s="21" t="str">
        <f aca="true">IF(E46="","",ROUND((E46-TODAY())/30.4,1))</f>
        <v/>
      </c>
      <c r="I46" s="17" t="str">
        <f aca="false">IF(E46="","",IF(H46&lt;0,IF(LEFT(A46,1)="Q","Périmé (en quarantaine)","PÉRIMÉ → déplacer en zone Q"),IF(H46&lt;3,"Péremption &lt; 3 mois",IF(H46&lt;6,"Péremption &lt; 6 mois",""))))</f>
        <v/>
      </c>
      <c r="J46" s="17" t="str">
        <f aca="false">IF(A46="","",IF(COUNTIF(Emplacements!$A$2:$A$1001,A46)=0,"⚠ emplacement inconnu","OK"))</f>
        <v/>
      </c>
      <c r="K46" s="22" t="str">
        <f aca="false">IF(AND(B46&lt;&gt;"",ISNUMBER(SEARCH(Recherche!$C$3,C46&amp;" "&amp;B46&amp;" "&amp;A46&amp;" "&amp;D46))),MAX($K$1:K45)+1,"")</f>
        <v/>
      </c>
    </row>
    <row r="47" customFormat="false" ht="15" hidden="false" customHeight="false" outlineLevel="0" collapsed="false">
      <c r="A47" s="12"/>
      <c r="B47" s="12"/>
      <c r="C47" s="17" t="str">
        <f aca="false">IF(B47="","",IFERROR(INDEX(Produits!$F$2:$F$1001,MATCH(B47,Produits!$A$2:$A$1001,0)),"⚠ code article inconnu"))</f>
        <v/>
      </c>
      <c r="D47" s="12"/>
      <c r="E47" s="23"/>
      <c r="F47" s="24"/>
      <c r="G47" s="23"/>
      <c r="H47" s="21" t="str">
        <f aca="true">IF(E47="","",ROUND((E47-TODAY())/30.4,1))</f>
        <v/>
      </c>
      <c r="I47" s="17" t="str">
        <f aca="false">IF(E47="","",IF(H47&lt;0,IF(LEFT(A47,1)="Q","Périmé (en quarantaine)","PÉRIMÉ → déplacer en zone Q"),IF(H47&lt;3,"Péremption &lt; 3 mois",IF(H47&lt;6,"Péremption &lt; 6 mois",""))))</f>
        <v/>
      </c>
      <c r="J47" s="17" t="str">
        <f aca="false">IF(A47="","",IF(COUNTIF(Emplacements!$A$2:$A$1001,A47)=0,"⚠ emplacement inconnu","OK"))</f>
        <v/>
      </c>
      <c r="K47" s="22" t="str">
        <f aca="false">IF(AND(B47&lt;&gt;"",ISNUMBER(SEARCH(Recherche!$C$3,C47&amp;" "&amp;B47&amp;" "&amp;A47&amp;" "&amp;D47))),MAX($K$1:K46)+1,"")</f>
        <v/>
      </c>
    </row>
    <row r="48" customFormat="false" ht="15" hidden="false" customHeight="false" outlineLevel="0" collapsed="false">
      <c r="A48" s="12"/>
      <c r="B48" s="12"/>
      <c r="C48" s="17" t="str">
        <f aca="false">IF(B48="","",IFERROR(INDEX(Produits!$F$2:$F$1001,MATCH(B48,Produits!$A$2:$A$1001,0)),"⚠ code article inconnu"))</f>
        <v/>
      </c>
      <c r="D48" s="12"/>
      <c r="E48" s="23"/>
      <c r="F48" s="24"/>
      <c r="G48" s="23"/>
      <c r="H48" s="21" t="str">
        <f aca="true">IF(E48="","",ROUND((E48-TODAY())/30.4,1))</f>
        <v/>
      </c>
      <c r="I48" s="17" t="str">
        <f aca="false">IF(E48="","",IF(H48&lt;0,IF(LEFT(A48,1)="Q","Périmé (en quarantaine)","PÉRIMÉ → déplacer en zone Q"),IF(H48&lt;3,"Péremption &lt; 3 mois",IF(H48&lt;6,"Péremption &lt; 6 mois",""))))</f>
        <v/>
      </c>
      <c r="J48" s="17" t="str">
        <f aca="false">IF(A48="","",IF(COUNTIF(Emplacements!$A$2:$A$1001,A48)=0,"⚠ emplacement inconnu","OK"))</f>
        <v/>
      </c>
      <c r="K48" s="22" t="str">
        <f aca="false">IF(AND(B48&lt;&gt;"",ISNUMBER(SEARCH(Recherche!$C$3,C48&amp;" "&amp;B48&amp;" "&amp;A48&amp;" "&amp;D48))),MAX($K$1:K47)+1,"")</f>
        <v/>
      </c>
    </row>
    <row r="49" customFormat="false" ht="15" hidden="false" customHeight="false" outlineLevel="0" collapsed="false">
      <c r="A49" s="12"/>
      <c r="B49" s="12"/>
      <c r="C49" s="17" t="str">
        <f aca="false">IF(B49="","",IFERROR(INDEX(Produits!$F$2:$F$1001,MATCH(B49,Produits!$A$2:$A$1001,0)),"⚠ code article inconnu"))</f>
        <v/>
      </c>
      <c r="D49" s="12"/>
      <c r="E49" s="23"/>
      <c r="F49" s="24"/>
      <c r="G49" s="23"/>
      <c r="H49" s="21" t="str">
        <f aca="true">IF(E49="","",ROUND((E49-TODAY())/30.4,1))</f>
        <v/>
      </c>
      <c r="I49" s="17" t="str">
        <f aca="false">IF(E49="","",IF(H49&lt;0,IF(LEFT(A49,1)="Q","Périmé (en quarantaine)","PÉRIMÉ → déplacer en zone Q"),IF(H49&lt;3,"Péremption &lt; 3 mois",IF(H49&lt;6,"Péremption &lt; 6 mois",""))))</f>
        <v/>
      </c>
      <c r="J49" s="17" t="str">
        <f aca="false">IF(A49="","",IF(COUNTIF(Emplacements!$A$2:$A$1001,A49)=0,"⚠ emplacement inconnu","OK"))</f>
        <v/>
      </c>
      <c r="K49" s="22" t="str">
        <f aca="false">IF(AND(B49&lt;&gt;"",ISNUMBER(SEARCH(Recherche!$C$3,C49&amp;" "&amp;B49&amp;" "&amp;A49&amp;" "&amp;D49))),MAX($K$1:K48)+1,"")</f>
        <v/>
      </c>
    </row>
    <row r="50" customFormat="false" ht="15" hidden="false" customHeight="false" outlineLevel="0" collapsed="false">
      <c r="A50" s="12"/>
      <c r="B50" s="12"/>
      <c r="C50" s="17" t="str">
        <f aca="false">IF(B50="","",IFERROR(INDEX(Produits!$F$2:$F$1001,MATCH(B50,Produits!$A$2:$A$1001,0)),"⚠ code article inconnu"))</f>
        <v/>
      </c>
      <c r="D50" s="12"/>
      <c r="E50" s="23"/>
      <c r="F50" s="24"/>
      <c r="G50" s="23"/>
      <c r="H50" s="21" t="str">
        <f aca="true">IF(E50="","",ROUND((E50-TODAY())/30.4,1))</f>
        <v/>
      </c>
      <c r="I50" s="17" t="str">
        <f aca="false">IF(E50="","",IF(H50&lt;0,IF(LEFT(A50,1)="Q","Périmé (en quarantaine)","PÉRIMÉ → déplacer en zone Q"),IF(H50&lt;3,"Péremption &lt; 3 mois",IF(H50&lt;6,"Péremption &lt; 6 mois",""))))</f>
        <v/>
      </c>
      <c r="J50" s="17" t="str">
        <f aca="false">IF(A50="","",IF(COUNTIF(Emplacements!$A$2:$A$1001,A50)=0,"⚠ emplacement inconnu","OK"))</f>
        <v/>
      </c>
      <c r="K50" s="22" t="str">
        <f aca="false">IF(AND(B50&lt;&gt;"",ISNUMBER(SEARCH(Recherche!$C$3,C50&amp;" "&amp;B50&amp;" "&amp;A50&amp;" "&amp;D50))),MAX($K$1:K49)+1,"")</f>
        <v/>
      </c>
    </row>
    <row r="51" customFormat="false" ht="15" hidden="false" customHeight="false" outlineLevel="0" collapsed="false">
      <c r="A51" s="12"/>
      <c r="B51" s="12"/>
      <c r="C51" s="17" t="str">
        <f aca="false">IF(B51="","",IFERROR(INDEX(Produits!$F$2:$F$1001,MATCH(B51,Produits!$A$2:$A$1001,0)),"⚠ code article inconnu"))</f>
        <v/>
      </c>
      <c r="D51" s="12"/>
      <c r="E51" s="23"/>
      <c r="F51" s="24"/>
      <c r="G51" s="23"/>
      <c r="H51" s="21" t="str">
        <f aca="true">IF(E51="","",ROUND((E51-TODAY())/30.4,1))</f>
        <v/>
      </c>
      <c r="I51" s="17" t="str">
        <f aca="false">IF(E51="","",IF(H51&lt;0,IF(LEFT(A51,1)="Q","Périmé (en quarantaine)","PÉRIMÉ → déplacer en zone Q"),IF(H51&lt;3,"Péremption &lt; 3 mois",IF(H51&lt;6,"Péremption &lt; 6 mois",""))))</f>
        <v/>
      </c>
      <c r="J51" s="17" t="str">
        <f aca="false">IF(A51="","",IF(COUNTIF(Emplacements!$A$2:$A$1001,A51)=0,"⚠ emplacement inconnu","OK"))</f>
        <v/>
      </c>
      <c r="K51" s="22" t="str">
        <f aca="false">IF(AND(B51&lt;&gt;"",ISNUMBER(SEARCH(Recherche!$C$3,C51&amp;" "&amp;B51&amp;" "&amp;A51&amp;" "&amp;D51))),MAX($K$1:K50)+1,"")</f>
        <v/>
      </c>
    </row>
    <row r="52" customFormat="false" ht="15" hidden="false" customHeight="false" outlineLevel="0" collapsed="false">
      <c r="A52" s="12"/>
      <c r="B52" s="12"/>
      <c r="C52" s="17" t="str">
        <f aca="false">IF(B52="","",IFERROR(INDEX(Produits!$F$2:$F$1001,MATCH(B52,Produits!$A$2:$A$1001,0)),"⚠ code article inconnu"))</f>
        <v/>
      </c>
      <c r="D52" s="12"/>
      <c r="E52" s="23"/>
      <c r="F52" s="24"/>
      <c r="G52" s="23"/>
      <c r="H52" s="21" t="str">
        <f aca="true">IF(E52="","",ROUND((E52-TODAY())/30.4,1))</f>
        <v/>
      </c>
      <c r="I52" s="17" t="str">
        <f aca="false">IF(E52="","",IF(H52&lt;0,IF(LEFT(A52,1)="Q","Périmé (en quarantaine)","PÉRIMÉ → déplacer en zone Q"),IF(H52&lt;3,"Péremption &lt; 3 mois",IF(H52&lt;6,"Péremption &lt; 6 mois",""))))</f>
        <v/>
      </c>
      <c r="J52" s="17" t="str">
        <f aca="false">IF(A52="","",IF(COUNTIF(Emplacements!$A$2:$A$1001,A52)=0,"⚠ emplacement inconnu","OK"))</f>
        <v/>
      </c>
      <c r="K52" s="22" t="str">
        <f aca="false">IF(AND(B52&lt;&gt;"",ISNUMBER(SEARCH(Recherche!$C$3,C52&amp;" "&amp;B52&amp;" "&amp;A52&amp;" "&amp;D52))),MAX($K$1:K51)+1,"")</f>
        <v/>
      </c>
    </row>
    <row r="53" customFormat="false" ht="15" hidden="false" customHeight="false" outlineLevel="0" collapsed="false">
      <c r="A53" s="12"/>
      <c r="B53" s="12"/>
      <c r="C53" s="17" t="str">
        <f aca="false">IF(B53="","",IFERROR(INDEX(Produits!$F$2:$F$1001,MATCH(B53,Produits!$A$2:$A$1001,0)),"⚠ code article inconnu"))</f>
        <v/>
      </c>
      <c r="D53" s="12"/>
      <c r="E53" s="23"/>
      <c r="F53" s="24"/>
      <c r="G53" s="23"/>
      <c r="H53" s="21" t="str">
        <f aca="true">IF(E53="","",ROUND((E53-TODAY())/30.4,1))</f>
        <v/>
      </c>
      <c r="I53" s="17" t="str">
        <f aca="false">IF(E53="","",IF(H53&lt;0,IF(LEFT(A53,1)="Q","Périmé (en quarantaine)","PÉRIMÉ → déplacer en zone Q"),IF(H53&lt;3,"Péremption &lt; 3 mois",IF(H53&lt;6,"Péremption &lt; 6 mois",""))))</f>
        <v/>
      </c>
      <c r="J53" s="17" t="str">
        <f aca="false">IF(A53="","",IF(COUNTIF(Emplacements!$A$2:$A$1001,A53)=0,"⚠ emplacement inconnu","OK"))</f>
        <v/>
      </c>
      <c r="K53" s="22" t="str">
        <f aca="false">IF(AND(B53&lt;&gt;"",ISNUMBER(SEARCH(Recherche!$C$3,C53&amp;" "&amp;B53&amp;" "&amp;A53&amp;" "&amp;D53))),MAX($K$1:K52)+1,"")</f>
        <v/>
      </c>
    </row>
    <row r="54" customFormat="false" ht="15" hidden="false" customHeight="false" outlineLevel="0" collapsed="false">
      <c r="A54" s="12"/>
      <c r="B54" s="12"/>
      <c r="C54" s="17" t="str">
        <f aca="false">IF(B54="","",IFERROR(INDEX(Produits!$F$2:$F$1001,MATCH(B54,Produits!$A$2:$A$1001,0)),"⚠ code article inconnu"))</f>
        <v/>
      </c>
      <c r="D54" s="12"/>
      <c r="E54" s="23"/>
      <c r="F54" s="24"/>
      <c r="G54" s="23"/>
      <c r="H54" s="21" t="str">
        <f aca="true">IF(E54="","",ROUND((E54-TODAY())/30.4,1))</f>
        <v/>
      </c>
      <c r="I54" s="17" t="str">
        <f aca="false">IF(E54="","",IF(H54&lt;0,IF(LEFT(A54,1)="Q","Périmé (en quarantaine)","PÉRIMÉ → déplacer en zone Q"),IF(H54&lt;3,"Péremption &lt; 3 mois",IF(H54&lt;6,"Péremption &lt; 6 mois",""))))</f>
        <v/>
      </c>
      <c r="J54" s="17" t="str">
        <f aca="false">IF(A54="","",IF(COUNTIF(Emplacements!$A$2:$A$1001,A54)=0,"⚠ emplacement inconnu","OK"))</f>
        <v/>
      </c>
      <c r="K54" s="22" t="str">
        <f aca="false">IF(AND(B54&lt;&gt;"",ISNUMBER(SEARCH(Recherche!$C$3,C54&amp;" "&amp;B54&amp;" "&amp;A54&amp;" "&amp;D54))),MAX($K$1:K53)+1,"")</f>
        <v/>
      </c>
    </row>
    <row r="55" customFormat="false" ht="15" hidden="false" customHeight="false" outlineLevel="0" collapsed="false">
      <c r="A55" s="12"/>
      <c r="B55" s="12"/>
      <c r="C55" s="17" t="str">
        <f aca="false">IF(B55="","",IFERROR(INDEX(Produits!$F$2:$F$1001,MATCH(B55,Produits!$A$2:$A$1001,0)),"⚠ code article inconnu"))</f>
        <v/>
      </c>
      <c r="D55" s="12"/>
      <c r="E55" s="23"/>
      <c r="F55" s="24"/>
      <c r="G55" s="23"/>
      <c r="H55" s="21" t="str">
        <f aca="true">IF(E55="","",ROUND((E55-TODAY())/30.4,1))</f>
        <v/>
      </c>
      <c r="I55" s="17" t="str">
        <f aca="false">IF(E55="","",IF(H55&lt;0,IF(LEFT(A55,1)="Q","Périmé (en quarantaine)","PÉRIMÉ → déplacer en zone Q"),IF(H55&lt;3,"Péremption &lt; 3 mois",IF(H55&lt;6,"Péremption &lt; 6 mois",""))))</f>
        <v/>
      </c>
      <c r="J55" s="17" t="str">
        <f aca="false">IF(A55="","",IF(COUNTIF(Emplacements!$A$2:$A$1001,A55)=0,"⚠ emplacement inconnu","OK"))</f>
        <v/>
      </c>
      <c r="K55" s="22" t="str">
        <f aca="false">IF(AND(B55&lt;&gt;"",ISNUMBER(SEARCH(Recherche!$C$3,C55&amp;" "&amp;B55&amp;" "&amp;A55&amp;" "&amp;D55))),MAX($K$1:K54)+1,"")</f>
        <v/>
      </c>
    </row>
    <row r="56" customFormat="false" ht="15" hidden="false" customHeight="false" outlineLevel="0" collapsed="false">
      <c r="A56" s="12"/>
      <c r="B56" s="12"/>
      <c r="C56" s="17" t="str">
        <f aca="false">IF(B56="","",IFERROR(INDEX(Produits!$F$2:$F$1001,MATCH(B56,Produits!$A$2:$A$1001,0)),"⚠ code article inconnu"))</f>
        <v/>
      </c>
      <c r="D56" s="12"/>
      <c r="E56" s="23"/>
      <c r="F56" s="24"/>
      <c r="G56" s="23"/>
      <c r="H56" s="21" t="str">
        <f aca="true">IF(E56="","",ROUND((E56-TODAY())/30.4,1))</f>
        <v/>
      </c>
      <c r="I56" s="17" t="str">
        <f aca="false">IF(E56="","",IF(H56&lt;0,IF(LEFT(A56,1)="Q","Périmé (en quarantaine)","PÉRIMÉ → déplacer en zone Q"),IF(H56&lt;3,"Péremption &lt; 3 mois",IF(H56&lt;6,"Péremption &lt; 6 mois",""))))</f>
        <v/>
      </c>
      <c r="J56" s="17" t="str">
        <f aca="false">IF(A56="","",IF(COUNTIF(Emplacements!$A$2:$A$1001,A56)=0,"⚠ emplacement inconnu","OK"))</f>
        <v/>
      </c>
      <c r="K56" s="22" t="str">
        <f aca="false">IF(AND(B56&lt;&gt;"",ISNUMBER(SEARCH(Recherche!$C$3,C56&amp;" "&amp;B56&amp;" "&amp;A56&amp;" "&amp;D56))),MAX($K$1:K55)+1,"")</f>
        <v/>
      </c>
    </row>
    <row r="57" customFormat="false" ht="15" hidden="false" customHeight="false" outlineLevel="0" collapsed="false">
      <c r="A57" s="12"/>
      <c r="B57" s="12"/>
      <c r="C57" s="17" t="str">
        <f aca="false">IF(B57="","",IFERROR(INDEX(Produits!$F$2:$F$1001,MATCH(B57,Produits!$A$2:$A$1001,0)),"⚠ code article inconnu"))</f>
        <v/>
      </c>
      <c r="D57" s="12"/>
      <c r="E57" s="23"/>
      <c r="F57" s="24"/>
      <c r="G57" s="23"/>
      <c r="H57" s="21" t="str">
        <f aca="true">IF(E57="","",ROUND((E57-TODAY())/30.4,1))</f>
        <v/>
      </c>
      <c r="I57" s="17" t="str">
        <f aca="false">IF(E57="","",IF(H57&lt;0,IF(LEFT(A57,1)="Q","Périmé (en quarantaine)","PÉRIMÉ → déplacer en zone Q"),IF(H57&lt;3,"Péremption &lt; 3 mois",IF(H57&lt;6,"Péremption &lt; 6 mois",""))))</f>
        <v/>
      </c>
      <c r="J57" s="17" t="str">
        <f aca="false">IF(A57="","",IF(COUNTIF(Emplacements!$A$2:$A$1001,A57)=0,"⚠ emplacement inconnu","OK"))</f>
        <v/>
      </c>
      <c r="K57" s="22" t="str">
        <f aca="false">IF(AND(B57&lt;&gt;"",ISNUMBER(SEARCH(Recherche!$C$3,C57&amp;" "&amp;B57&amp;" "&amp;A57&amp;" "&amp;D57))),MAX($K$1:K56)+1,"")</f>
        <v/>
      </c>
    </row>
    <row r="58" customFormat="false" ht="15" hidden="false" customHeight="false" outlineLevel="0" collapsed="false">
      <c r="A58" s="12"/>
      <c r="B58" s="12"/>
      <c r="C58" s="17" t="str">
        <f aca="false">IF(B58="","",IFERROR(INDEX(Produits!$F$2:$F$1001,MATCH(B58,Produits!$A$2:$A$1001,0)),"⚠ code article inconnu"))</f>
        <v/>
      </c>
      <c r="D58" s="12"/>
      <c r="E58" s="23"/>
      <c r="F58" s="24"/>
      <c r="G58" s="23"/>
      <c r="H58" s="21" t="str">
        <f aca="true">IF(E58="","",ROUND((E58-TODAY())/30.4,1))</f>
        <v/>
      </c>
      <c r="I58" s="17" t="str">
        <f aca="false">IF(E58="","",IF(H58&lt;0,IF(LEFT(A58,1)="Q","Périmé (en quarantaine)","PÉRIMÉ → déplacer en zone Q"),IF(H58&lt;3,"Péremption &lt; 3 mois",IF(H58&lt;6,"Péremption &lt; 6 mois",""))))</f>
        <v/>
      </c>
      <c r="J58" s="17" t="str">
        <f aca="false">IF(A58="","",IF(COUNTIF(Emplacements!$A$2:$A$1001,A58)=0,"⚠ emplacement inconnu","OK"))</f>
        <v/>
      </c>
      <c r="K58" s="22" t="str">
        <f aca="false">IF(AND(B58&lt;&gt;"",ISNUMBER(SEARCH(Recherche!$C$3,C58&amp;" "&amp;B58&amp;" "&amp;A58&amp;" "&amp;D58))),MAX($K$1:K57)+1,"")</f>
        <v/>
      </c>
    </row>
    <row r="59" customFormat="false" ht="15" hidden="false" customHeight="false" outlineLevel="0" collapsed="false">
      <c r="A59" s="12"/>
      <c r="B59" s="12"/>
      <c r="C59" s="17" t="str">
        <f aca="false">IF(B59="","",IFERROR(INDEX(Produits!$F$2:$F$1001,MATCH(B59,Produits!$A$2:$A$1001,0)),"⚠ code article inconnu"))</f>
        <v/>
      </c>
      <c r="D59" s="12"/>
      <c r="E59" s="23"/>
      <c r="F59" s="24"/>
      <c r="G59" s="23"/>
      <c r="H59" s="21" t="str">
        <f aca="true">IF(E59="","",ROUND((E59-TODAY())/30.4,1))</f>
        <v/>
      </c>
      <c r="I59" s="17" t="str">
        <f aca="false">IF(E59="","",IF(H59&lt;0,IF(LEFT(A59,1)="Q","Périmé (en quarantaine)","PÉRIMÉ → déplacer en zone Q"),IF(H59&lt;3,"Péremption &lt; 3 mois",IF(H59&lt;6,"Péremption &lt; 6 mois",""))))</f>
        <v/>
      </c>
      <c r="J59" s="17" t="str">
        <f aca="false">IF(A59="","",IF(COUNTIF(Emplacements!$A$2:$A$1001,A59)=0,"⚠ emplacement inconnu","OK"))</f>
        <v/>
      </c>
      <c r="K59" s="22" t="str">
        <f aca="false">IF(AND(B59&lt;&gt;"",ISNUMBER(SEARCH(Recherche!$C$3,C59&amp;" "&amp;B59&amp;" "&amp;A59&amp;" "&amp;D59))),MAX($K$1:K58)+1,"")</f>
        <v/>
      </c>
    </row>
    <row r="60" customFormat="false" ht="15" hidden="false" customHeight="false" outlineLevel="0" collapsed="false">
      <c r="A60" s="12"/>
      <c r="B60" s="12"/>
      <c r="C60" s="17" t="str">
        <f aca="false">IF(B60="","",IFERROR(INDEX(Produits!$F$2:$F$1001,MATCH(B60,Produits!$A$2:$A$1001,0)),"⚠ code article inconnu"))</f>
        <v/>
      </c>
      <c r="D60" s="12"/>
      <c r="E60" s="23"/>
      <c r="F60" s="24"/>
      <c r="G60" s="23"/>
      <c r="H60" s="21" t="str">
        <f aca="true">IF(E60="","",ROUND((E60-TODAY())/30.4,1))</f>
        <v/>
      </c>
      <c r="I60" s="17" t="str">
        <f aca="false">IF(E60="","",IF(H60&lt;0,IF(LEFT(A60,1)="Q","Périmé (en quarantaine)","PÉRIMÉ → déplacer en zone Q"),IF(H60&lt;3,"Péremption &lt; 3 mois",IF(H60&lt;6,"Péremption &lt; 6 mois",""))))</f>
        <v/>
      </c>
      <c r="J60" s="17" t="str">
        <f aca="false">IF(A60="","",IF(COUNTIF(Emplacements!$A$2:$A$1001,A60)=0,"⚠ emplacement inconnu","OK"))</f>
        <v/>
      </c>
      <c r="K60" s="22" t="str">
        <f aca="false">IF(AND(B60&lt;&gt;"",ISNUMBER(SEARCH(Recherche!$C$3,C60&amp;" "&amp;B60&amp;" "&amp;A60&amp;" "&amp;D60))),MAX($K$1:K59)+1,"")</f>
        <v/>
      </c>
    </row>
    <row r="61" customFormat="false" ht="15" hidden="false" customHeight="false" outlineLevel="0" collapsed="false">
      <c r="A61" s="12"/>
      <c r="B61" s="12"/>
      <c r="C61" s="17" t="str">
        <f aca="false">IF(B61="","",IFERROR(INDEX(Produits!$F$2:$F$1001,MATCH(B61,Produits!$A$2:$A$1001,0)),"⚠ code article inconnu"))</f>
        <v/>
      </c>
      <c r="D61" s="12"/>
      <c r="E61" s="23"/>
      <c r="F61" s="24"/>
      <c r="G61" s="23"/>
      <c r="H61" s="21" t="str">
        <f aca="true">IF(E61="","",ROUND((E61-TODAY())/30.4,1))</f>
        <v/>
      </c>
      <c r="I61" s="17" t="str">
        <f aca="false">IF(E61="","",IF(H61&lt;0,IF(LEFT(A61,1)="Q","Périmé (en quarantaine)","PÉRIMÉ → déplacer en zone Q"),IF(H61&lt;3,"Péremption &lt; 3 mois",IF(H61&lt;6,"Péremption &lt; 6 mois",""))))</f>
        <v/>
      </c>
      <c r="J61" s="17" t="str">
        <f aca="false">IF(A61="","",IF(COUNTIF(Emplacements!$A$2:$A$1001,A61)=0,"⚠ emplacement inconnu","OK"))</f>
        <v/>
      </c>
      <c r="K61" s="22" t="str">
        <f aca="false">IF(AND(B61&lt;&gt;"",ISNUMBER(SEARCH(Recherche!$C$3,C61&amp;" "&amp;B61&amp;" "&amp;A61&amp;" "&amp;D61))),MAX($K$1:K60)+1,"")</f>
        <v/>
      </c>
    </row>
    <row r="62" customFormat="false" ht="15" hidden="false" customHeight="false" outlineLevel="0" collapsed="false">
      <c r="A62" s="12"/>
      <c r="B62" s="12"/>
      <c r="C62" s="17" t="str">
        <f aca="false">IF(B62="","",IFERROR(INDEX(Produits!$F$2:$F$1001,MATCH(B62,Produits!$A$2:$A$1001,0)),"⚠ code article inconnu"))</f>
        <v/>
      </c>
      <c r="D62" s="12"/>
      <c r="E62" s="23"/>
      <c r="F62" s="24"/>
      <c r="G62" s="23"/>
      <c r="H62" s="21" t="str">
        <f aca="true">IF(E62="","",ROUND((E62-TODAY())/30.4,1))</f>
        <v/>
      </c>
      <c r="I62" s="17" t="str">
        <f aca="false">IF(E62="","",IF(H62&lt;0,IF(LEFT(A62,1)="Q","Périmé (en quarantaine)","PÉRIMÉ → déplacer en zone Q"),IF(H62&lt;3,"Péremption &lt; 3 mois",IF(H62&lt;6,"Péremption &lt; 6 mois",""))))</f>
        <v/>
      </c>
      <c r="J62" s="17" t="str">
        <f aca="false">IF(A62="","",IF(COUNTIF(Emplacements!$A$2:$A$1001,A62)=0,"⚠ emplacement inconnu","OK"))</f>
        <v/>
      </c>
      <c r="K62" s="22" t="str">
        <f aca="false">IF(AND(B62&lt;&gt;"",ISNUMBER(SEARCH(Recherche!$C$3,C62&amp;" "&amp;B62&amp;" "&amp;A62&amp;" "&amp;D62))),MAX($K$1:K61)+1,"")</f>
        <v/>
      </c>
    </row>
    <row r="63" customFormat="false" ht="15" hidden="false" customHeight="false" outlineLevel="0" collapsed="false">
      <c r="A63" s="12"/>
      <c r="B63" s="12"/>
      <c r="C63" s="17" t="str">
        <f aca="false">IF(B63="","",IFERROR(INDEX(Produits!$F$2:$F$1001,MATCH(B63,Produits!$A$2:$A$1001,0)),"⚠ code article inconnu"))</f>
        <v/>
      </c>
      <c r="D63" s="12"/>
      <c r="E63" s="23"/>
      <c r="F63" s="24"/>
      <c r="G63" s="23"/>
      <c r="H63" s="21" t="str">
        <f aca="true">IF(E63="","",ROUND((E63-TODAY())/30.4,1))</f>
        <v/>
      </c>
      <c r="I63" s="17" t="str">
        <f aca="false">IF(E63="","",IF(H63&lt;0,IF(LEFT(A63,1)="Q","Périmé (en quarantaine)","PÉRIMÉ → déplacer en zone Q"),IF(H63&lt;3,"Péremption &lt; 3 mois",IF(H63&lt;6,"Péremption &lt; 6 mois",""))))</f>
        <v/>
      </c>
      <c r="J63" s="17" t="str">
        <f aca="false">IF(A63="","",IF(COUNTIF(Emplacements!$A$2:$A$1001,A63)=0,"⚠ emplacement inconnu","OK"))</f>
        <v/>
      </c>
      <c r="K63" s="22" t="str">
        <f aca="false">IF(AND(B63&lt;&gt;"",ISNUMBER(SEARCH(Recherche!$C$3,C63&amp;" "&amp;B63&amp;" "&amp;A63&amp;" "&amp;D63))),MAX($K$1:K62)+1,"")</f>
        <v/>
      </c>
    </row>
    <row r="64" customFormat="false" ht="15" hidden="false" customHeight="false" outlineLevel="0" collapsed="false">
      <c r="A64" s="12"/>
      <c r="B64" s="12"/>
      <c r="C64" s="17" t="str">
        <f aca="false">IF(B64="","",IFERROR(INDEX(Produits!$F$2:$F$1001,MATCH(B64,Produits!$A$2:$A$1001,0)),"⚠ code article inconnu"))</f>
        <v/>
      </c>
      <c r="D64" s="12"/>
      <c r="E64" s="23"/>
      <c r="F64" s="24"/>
      <c r="G64" s="23"/>
      <c r="H64" s="21" t="str">
        <f aca="true">IF(E64="","",ROUND((E64-TODAY())/30.4,1))</f>
        <v/>
      </c>
      <c r="I64" s="17" t="str">
        <f aca="false">IF(E64="","",IF(H64&lt;0,IF(LEFT(A64,1)="Q","Périmé (en quarantaine)","PÉRIMÉ → déplacer en zone Q"),IF(H64&lt;3,"Péremption &lt; 3 mois",IF(H64&lt;6,"Péremption &lt; 6 mois",""))))</f>
        <v/>
      </c>
      <c r="J64" s="17" t="str">
        <f aca="false">IF(A64="","",IF(COUNTIF(Emplacements!$A$2:$A$1001,A64)=0,"⚠ emplacement inconnu","OK"))</f>
        <v/>
      </c>
      <c r="K64" s="22" t="str">
        <f aca="false">IF(AND(B64&lt;&gt;"",ISNUMBER(SEARCH(Recherche!$C$3,C64&amp;" "&amp;B64&amp;" "&amp;A64&amp;" "&amp;D64))),MAX($K$1:K63)+1,"")</f>
        <v/>
      </c>
    </row>
    <row r="65" customFormat="false" ht="15" hidden="false" customHeight="false" outlineLevel="0" collapsed="false">
      <c r="A65" s="12"/>
      <c r="B65" s="12"/>
      <c r="C65" s="17" t="str">
        <f aca="false">IF(B65="","",IFERROR(INDEX(Produits!$F$2:$F$1001,MATCH(B65,Produits!$A$2:$A$1001,0)),"⚠ code article inconnu"))</f>
        <v/>
      </c>
      <c r="D65" s="12"/>
      <c r="E65" s="23"/>
      <c r="F65" s="24"/>
      <c r="G65" s="23"/>
      <c r="H65" s="21" t="str">
        <f aca="true">IF(E65="","",ROUND((E65-TODAY())/30.4,1))</f>
        <v/>
      </c>
      <c r="I65" s="17" t="str">
        <f aca="false">IF(E65="","",IF(H65&lt;0,IF(LEFT(A65,1)="Q","Périmé (en quarantaine)","PÉRIMÉ → déplacer en zone Q"),IF(H65&lt;3,"Péremption &lt; 3 mois",IF(H65&lt;6,"Péremption &lt; 6 mois",""))))</f>
        <v/>
      </c>
      <c r="J65" s="17" t="str">
        <f aca="false">IF(A65="","",IF(COUNTIF(Emplacements!$A$2:$A$1001,A65)=0,"⚠ emplacement inconnu","OK"))</f>
        <v/>
      </c>
      <c r="K65" s="22" t="str">
        <f aca="false">IF(AND(B65&lt;&gt;"",ISNUMBER(SEARCH(Recherche!$C$3,C65&amp;" "&amp;B65&amp;" "&amp;A65&amp;" "&amp;D65))),MAX($K$1:K64)+1,"")</f>
        <v/>
      </c>
    </row>
    <row r="66" customFormat="false" ht="15" hidden="false" customHeight="false" outlineLevel="0" collapsed="false">
      <c r="A66" s="12"/>
      <c r="B66" s="12"/>
      <c r="C66" s="17" t="str">
        <f aca="false">IF(B66="","",IFERROR(INDEX(Produits!$F$2:$F$1001,MATCH(B66,Produits!$A$2:$A$1001,0)),"⚠ code article inconnu"))</f>
        <v/>
      </c>
      <c r="D66" s="12"/>
      <c r="E66" s="23"/>
      <c r="F66" s="24"/>
      <c r="G66" s="23"/>
      <c r="H66" s="21" t="str">
        <f aca="true">IF(E66="","",ROUND((E66-TODAY())/30.4,1))</f>
        <v/>
      </c>
      <c r="I66" s="17" t="str">
        <f aca="false">IF(E66="","",IF(H66&lt;0,IF(LEFT(A66,1)="Q","Périmé (en quarantaine)","PÉRIMÉ → déplacer en zone Q"),IF(H66&lt;3,"Péremption &lt; 3 mois",IF(H66&lt;6,"Péremption &lt; 6 mois",""))))</f>
        <v/>
      </c>
      <c r="J66" s="17" t="str">
        <f aca="false">IF(A66="","",IF(COUNTIF(Emplacements!$A$2:$A$1001,A66)=0,"⚠ emplacement inconnu","OK"))</f>
        <v/>
      </c>
      <c r="K66" s="22" t="str">
        <f aca="false">IF(AND(B66&lt;&gt;"",ISNUMBER(SEARCH(Recherche!$C$3,C66&amp;" "&amp;B66&amp;" "&amp;A66&amp;" "&amp;D66))),MAX($K$1:K65)+1,"")</f>
        <v/>
      </c>
    </row>
    <row r="67" customFormat="false" ht="15" hidden="false" customHeight="false" outlineLevel="0" collapsed="false">
      <c r="A67" s="12"/>
      <c r="B67" s="12"/>
      <c r="C67" s="17" t="str">
        <f aca="false">IF(B67="","",IFERROR(INDEX(Produits!$F$2:$F$1001,MATCH(B67,Produits!$A$2:$A$1001,0)),"⚠ code article inconnu"))</f>
        <v/>
      </c>
      <c r="D67" s="12"/>
      <c r="E67" s="23"/>
      <c r="F67" s="24"/>
      <c r="G67" s="23"/>
      <c r="H67" s="21" t="str">
        <f aca="true">IF(E67="","",ROUND((E67-TODAY())/30.4,1))</f>
        <v/>
      </c>
      <c r="I67" s="17" t="str">
        <f aca="false">IF(E67="","",IF(H67&lt;0,IF(LEFT(A67,1)="Q","Périmé (en quarantaine)","PÉRIMÉ → déplacer en zone Q"),IF(H67&lt;3,"Péremption &lt; 3 mois",IF(H67&lt;6,"Péremption &lt; 6 mois",""))))</f>
        <v/>
      </c>
      <c r="J67" s="17" t="str">
        <f aca="false">IF(A67="","",IF(COUNTIF(Emplacements!$A$2:$A$1001,A67)=0,"⚠ emplacement inconnu","OK"))</f>
        <v/>
      </c>
      <c r="K67" s="22" t="str">
        <f aca="false">IF(AND(B67&lt;&gt;"",ISNUMBER(SEARCH(Recherche!$C$3,C67&amp;" "&amp;B67&amp;" "&amp;A67&amp;" "&amp;D67))),MAX($K$1:K66)+1,"")</f>
        <v/>
      </c>
    </row>
    <row r="68" customFormat="false" ht="15" hidden="false" customHeight="false" outlineLevel="0" collapsed="false">
      <c r="A68" s="12"/>
      <c r="B68" s="12"/>
      <c r="C68" s="17" t="str">
        <f aca="false">IF(B68="","",IFERROR(INDEX(Produits!$F$2:$F$1001,MATCH(B68,Produits!$A$2:$A$1001,0)),"⚠ code article inconnu"))</f>
        <v/>
      </c>
      <c r="D68" s="12"/>
      <c r="E68" s="23"/>
      <c r="F68" s="24"/>
      <c r="G68" s="23"/>
      <c r="H68" s="21" t="str">
        <f aca="true">IF(E68="","",ROUND((E68-TODAY())/30.4,1))</f>
        <v/>
      </c>
      <c r="I68" s="17" t="str">
        <f aca="false">IF(E68="","",IF(H68&lt;0,IF(LEFT(A68,1)="Q","Périmé (en quarantaine)","PÉRIMÉ → déplacer en zone Q"),IF(H68&lt;3,"Péremption &lt; 3 mois",IF(H68&lt;6,"Péremption &lt; 6 mois",""))))</f>
        <v/>
      </c>
      <c r="J68" s="17" t="str">
        <f aca="false">IF(A68="","",IF(COUNTIF(Emplacements!$A$2:$A$1001,A68)=0,"⚠ emplacement inconnu","OK"))</f>
        <v/>
      </c>
      <c r="K68" s="22" t="str">
        <f aca="false">IF(AND(B68&lt;&gt;"",ISNUMBER(SEARCH(Recherche!$C$3,C68&amp;" "&amp;B68&amp;" "&amp;A68&amp;" "&amp;D68))),MAX($K$1:K67)+1,"")</f>
        <v/>
      </c>
    </row>
    <row r="69" customFormat="false" ht="15" hidden="false" customHeight="false" outlineLevel="0" collapsed="false">
      <c r="A69" s="12"/>
      <c r="B69" s="12"/>
      <c r="C69" s="17" t="str">
        <f aca="false">IF(B69="","",IFERROR(INDEX(Produits!$F$2:$F$1001,MATCH(B69,Produits!$A$2:$A$1001,0)),"⚠ code article inconnu"))</f>
        <v/>
      </c>
      <c r="D69" s="12"/>
      <c r="E69" s="23"/>
      <c r="F69" s="24"/>
      <c r="G69" s="23"/>
      <c r="H69" s="21" t="str">
        <f aca="true">IF(E69="","",ROUND((E69-TODAY())/30.4,1))</f>
        <v/>
      </c>
      <c r="I69" s="17" t="str">
        <f aca="false">IF(E69="","",IF(H69&lt;0,IF(LEFT(A69,1)="Q","Périmé (en quarantaine)","PÉRIMÉ → déplacer en zone Q"),IF(H69&lt;3,"Péremption &lt; 3 mois",IF(H69&lt;6,"Péremption &lt; 6 mois",""))))</f>
        <v/>
      </c>
      <c r="J69" s="17" t="str">
        <f aca="false">IF(A69="","",IF(COUNTIF(Emplacements!$A$2:$A$1001,A69)=0,"⚠ emplacement inconnu","OK"))</f>
        <v/>
      </c>
      <c r="K69" s="22" t="str">
        <f aca="false">IF(AND(B69&lt;&gt;"",ISNUMBER(SEARCH(Recherche!$C$3,C69&amp;" "&amp;B69&amp;" "&amp;A69&amp;" "&amp;D69))),MAX($K$1:K68)+1,"")</f>
        <v/>
      </c>
    </row>
    <row r="70" customFormat="false" ht="15" hidden="false" customHeight="false" outlineLevel="0" collapsed="false">
      <c r="A70" s="12"/>
      <c r="B70" s="12"/>
      <c r="C70" s="17" t="str">
        <f aca="false">IF(B70="","",IFERROR(INDEX(Produits!$F$2:$F$1001,MATCH(B70,Produits!$A$2:$A$1001,0)),"⚠ code article inconnu"))</f>
        <v/>
      </c>
      <c r="D70" s="12"/>
      <c r="E70" s="23"/>
      <c r="F70" s="24"/>
      <c r="G70" s="23"/>
      <c r="H70" s="21" t="str">
        <f aca="true">IF(E70="","",ROUND((E70-TODAY())/30.4,1))</f>
        <v/>
      </c>
      <c r="I70" s="17" t="str">
        <f aca="false">IF(E70="","",IF(H70&lt;0,IF(LEFT(A70,1)="Q","Périmé (en quarantaine)","PÉRIMÉ → déplacer en zone Q"),IF(H70&lt;3,"Péremption &lt; 3 mois",IF(H70&lt;6,"Péremption &lt; 6 mois",""))))</f>
        <v/>
      </c>
      <c r="J70" s="17" t="str">
        <f aca="false">IF(A70="","",IF(COUNTIF(Emplacements!$A$2:$A$1001,A70)=0,"⚠ emplacement inconnu","OK"))</f>
        <v/>
      </c>
      <c r="K70" s="22" t="str">
        <f aca="false">IF(AND(B70&lt;&gt;"",ISNUMBER(SEARCH(Recherche!$C$3,C70&amp;" "&amp;B70&amp;" "&amp;A70&amp;" "&amp;D70))),MAX($K$1:K69)+1,"")</f>
        <v/>
      </c>
    </row>
    <row r="71" customFormat="false" ht="15" hidden="false" customHeight="false" outlineLevel="0" collapsed="false">
      <c r="A71" s="12"/>
      <c r="B71" s="12"/>
      <c r="C71" s="17" t="str">
        <f aca="false">IF(B71="","",IFERROR(INDEX(Produits!$F$2:$F$1001,MATCH(B71,Produits!$A$2:$A$1001,0)),"⚠ code article inconnu"))</f>
        <v/>
      </c>
      <c r="D71" s="12"/>
      <c r="E71" s="23"/>
      <c r="F71" s="24"/>
      <c r="G71" s="23"/>
      <c r="H71" s="21" t="str">
        <f aca="true">IF(E71="","",ROUND((E71-TODAY())/30.4,1))</f>
        <v/>
      </c>
      <c r="I71" s="17" t="str">
        <f aca="false">IF(E71="","",IF(H71&lt;0,IF(LEFT(A71,1)="Q","Périmé (en quarantaine)","PÉRIMÉ → déplacer en zone Q"),IF(H71&lt;3,"Péremption &lt; 3 mois",IF(H71&lt;6,"Péremption &lt; 6 mois",""))))</f>
        <v/>
      </c>
      <c r="J71" s="17" t="str">
        <f aca="false">IF(A71="","",IF(COUNTIF(Emplacements!$A$2:$A$1001,A71)=0,"⚠ emplacement inconnu","OK"))</f>
        <v/>
      </c>
      <c r="K71" s="22" t="str">
        <f aca="false">IF(AND(B71&lt;&gt;"",ISNUMBER(SEARCH(Recherche!$C$3,C71&amp;" "&amp;B71&amp;" "&amp;A71&amp;" "&amp;D71))),MAX($K$1:K70)+1,"")</f>
        <v/>
      </c>
    </row>
    <row r="72" customFormat="false" ht="15" hidden="false" customHeight="false" outlineLevel="0" collapsed="false">
      <c r="A72" s="12"/>
      <c r="B72" s="12"/>
      <c r="C72" s="17" t="str">
        <f aca="false">IF(B72="","",IFERROR(INDEX(Produits!$F$2:$F$1001,MATCH(B72,Produits!$A$2:$A$1001,0)),"⚠ code article inconnu"))</f>
        <v/>
      </c>
      <c r="D72" s="12"/>
      <c r="E72" s="23"/>
      <c r="F72" s="24"/>
      <c r="G72" s="23"/>
      <c r="H72" s="21" t="str">
        <f aca="true">IF(E72="","",ROUND((E72-TODAY())/30.4,1))</f>
        <v/>
      </c>
      <c r="I72" s="17" t="str">
        <f aca="false">IF(E72="","",IF(H72&lt;0,IF(LEFT(A72,1)="Q","Périmé (en quarantaine)","PÉRIMÉ → déplacer en zone Q"),IF(H72&lt;3,"Péremption &lt; 3 mois",IF(H72&lt;6,"Péremption &lt; 6 mois",""))))</f>
        <v/>
      </c>
      <c r="J72" s="17" t="str">
        <f aca="false">IF(A72="","",IF(COUNTIF(Emplacements!$A$2:$A$1001,A72)=0,"⚠ emplacement inconnu","OK"))</f>
        <v/>
      </c>
      <c r="K72" s="22" t="str">
        <f aca="false">IF(AND(B72&lt;&gt;"",ISNUMBER(SEARCH(Recherche!$C$3,C72&amp;" "&amp;B72&amp;" "&amp;A72&amp;" "&amp;D72))),MAX($K$1:K71)+1,"")</f>
        <v/>
      </c>
    </row>
    <row r="73" customFormat="false" ht="15" hidden="false" customHeight="false" outlineLevel="0" collapsed="false">
      <c r="A73" s="12"/>
      <c r="B73" s="12"/>
      <c r="C73" s="17" t="str">
        <f aca="false">IF(B73="","",IFERROR(INDEX(Produits!$F$2:$F$1001,MATCH(B73,Produits!$A$2:$A$1001,0)),"⚠ code article inconnu"))</f>
        <v/>
      </c>
      <c r="D73" s="12"/>
      <c r="E73" s="23"/>
      <c r="F73" s="24"/>
      <c r="G73" s="23"/>
      <c r="H73" s="21" t="str">
        <f aca="true">IF(E73="","",ROUND((E73-TODAY())/30.4,1))</f>
        <v/>
      </c>
      <c r="I73" s="17" t="str">
        <f aca="false">IF(E73="","",IF(H73&lt;0,IF(LEFT(A73,1)="Q","Périmé (en quarantaine)","PÉRIMÉ → déplacer en zone Q"),IF(H73&lt;3,"Péremption &lt; 3 mois",IF(H73&lt;6,"Péremption &lt; 6 mois",""))))</f>
        <v/>
      </c>
      <c r="J73" s="17" t="str">
        <f aca="false">IF(A73="","",IF(COUNTIF(Emplacements!$A$2:$A$1001,A73)=0,"⚠ emplacement inconnu","OK"))</f>
        <v/>
      </c>
      <c r="K73" s="22" t="str">
        <f aca="false">IF(AND(B73&lt;&gt;"",ISNUMBER(SEARCH(Recherche!$C$3,C73&amp;" "&amp;B73&amp;" "&amp;A73&amp;" "&amp;D73))),MAX($K$1:K72)+1,"")</f>
        <v/>
      </c>
    </row>
    <row r="74" customFormat="false" ht="15" hidden="false" customHeight="false" outlineLevel="0" collapsed="false">
      <c r="A74" s="12"/>
      <c r="B74" s="12"/>
      <c r="C74" s="17" t="str">
        <f aca="false">IF(B74="","",IFERROR(INDEX(Produits!$F$2:$F$1001,MATCH(B74,Produits!$A$2:$A$1001,0)),"⚠ code article inconnu"))</f>
        <v/>
      </c>
      <c r="D74" s="12"/>
      <c r="E74" s="23"/>
      <c r="F74" s="24"/>
      <c r="G74" s="23"/>
      <c r="H74" s="21" t="str">
        <f aca="true">IF(E74="","",ROUND((E74-TODAY())/30.4,1))</f>
        <v/>
      </c>
      <c r="I74" s="17" t="str">
        <f aca="false">IF(E74="","",IF(H74&lt;0,IF(LEFT(A74,1)="Q","Périmé (en quarantaine)","PÉRIMÉ → déplacer en zone Q"),IF(H74&lt;3,"Péremption &lt; 3 mois",IF(H74&lt;6,"Péremption &lt; 6 mois",""))))</f>
        <v/>
      </c>
      <c r="J74" s="17" t="str">
        <f aca="false">IF(A74="","",IF(COUNTIF(Emplacements!$A$2:$A$1001,A74)=0,"⚠ emplacement inconnu","OK"))</f>
        <v/>
      </c>
      <c r="K74" s="22" t="str">
        <f aca="false">IF(AND(B74&lt;&gt;"",ISNUMBER(SEARCH(Recherche!$C$3,C74&amp;" "&amp;B74&amp;" "&amp;A74&amp;" "&amp;D74))),MAX($K$1:K73)+1,"")</f>
        <v/>
      </c>
    </row>
    <row r="75" customFormat="false" ht="15" hidden="false" customHeight="false" outlineLevel="0" collapsed="false">
      <c r="A75" s="12"/>
      <c r="B75" s="12"/>
      <c r="C75" s="17" t="str">
        <f aca="false">IF(B75="","",IFERROR(INDEX(Produits!$F$2:$F$1001,MATCH(B75,Produits!$A$2:$A$1001,0)),"⚠ code article inconnu"))</f>
        <v/>
      </c>
      <c r="D75" s="12"/>
      <c r="E75" s="23"/>
      <c r="F75" s="24"/>
      <c r="G75" s="23"/>
      <c r="H75" s="21" t="str">
        <f aca="true">IF(E75="","",ROUND((E75-TODAY())/30.4,1))</f>
        <v/>
      </c>
      <c r="I75" s="17" t="str">
        <f aca="false">IF(E75="","",IF(H75&lt;0,IF(LEFT(A75,1)="Q","Périmé (en quarantaine)","PÉRIMÉ → déplacer en zone Q"),IF(H75&lt;3,"Péremption &lt; 3 mois",IF(H75&lt;6,"Péremption &lt; 6 mois",""))))</f>
        <v/>
      </c>
      <c r="J75" s="17" t="str">
        <f aca="false">IF(A75="","",IF(COUNTIF(Emplacements!$A$2:$A$1001,A75)=0,"⚠ emplacement inconnu","OK"))</f>
        <v/>
      </c>
      <c r="K75" s="22" t="str">
        <f aca="false">IF(AND(B75&lt;&gt;"",ISNUMBER(SEARCH(Recherche!$C$3,C75&amp;" "&amp;B75&amp;" "&amp;A75&amp;" "&amp;D75))),MAX($K$1:K74)+1,"")</f>
        <v/>
      </c>
    </row>
    <row r="76" customFormat="false" ht="15" hidden="false" customHeight="false" outlineLevel="0" collapsed="false">
      <c r="A76" s="12"/>
      <c r="B76" s="12"/>
      <c r="C76" s="17" t="str">
        <f aca="false">IF(B76="","",IFERROR(INDEX(Produits!$F$2:$F$1001,MATCH(B76,Produits!$A$2:$A$1001,0)),"⚠ code article inconnu"))</f>
        <v/>
      </c>
      <c r="D76" s="12"/>
      <c r="E76" s="23"/>
      <c r="F76" s="24"/>
      <c r="G76" s="23"/>
      <c r="H76" s="21" t="str">
        <f aca="true">IF(E76="","",ROUND((E76-TODAY())/30.4,1))</f>
        <v/>
      </c>
      <c r="I76" s="17" t="str">
        <f aca="false">IF(E76="","",IF(H76&lt;0,IF(LEFT(A76,1)="Q","Périmé (en quarantaine)","PÉRIMÉ → déplacer en zone Q"),IF(H76&lt;3,"Péremption &lt; 3 mois",IF(H76&lt;6,"Péremption &lt; 6 mois",""))))</f>
        <v/>
      </c>
      <c r="J76" s="17" t="str">
        <f aca="false">IF(A76="","",IF(COUNTIF(Emplacements!$A$2:$A$1001,A76)=0,"⚠ emplacement inconnu","OK"))</f>
        <v/>
      </c>
      <c r="K76" s="22" t="str">
        <f aca="false">IF(AND(B76&lt;&gt;"",ISNUMBER(SEARCH(Recherche!$C$3,C76&amp;" "&amp;B76&amp;" "&amp;A76&amp;" "&amp;D76))),MAX($K$1:K75)+1,"")</f>
        <v/>
      </c>
    </row>
    <row r="77" customFormat="false" ht="15" hidden="false" customHeight="false" outlineLevel="0" collapsed="false">
      <c r="A77" s="12"/>
      <c r="B77" s="12"/>
      <c r="C77" s="17" t="str">
        <f aca="false">IF(B77="","",IFERROR(INDEX(Produits!$F$2:$F$1001,MATCH(B77,Produits!$A$2:$A$1001,0)),"⚠ code article inconnu"))</f>
        <v/>
      </c>
      <c r="D77" s="12"/>
      <c r="E77" s="23"/>
      <c r="F77" s="24"/>
      <c r="G77" s="23"/>
      <c r="H77" s="21" t="str">
        <f aca="true">IF(E77="","",ROUND((E77-TODAY())/30.4,1))</f>
        <v/>
      </c>
      <c r="I77" s="17" t="str">
        <f aca="false">IF(E77="","",IF(H77&lt;0,IF(LEFT(A77,1)="Q","Périmé (en quarantaine)","PÉRIMÉ → déplacer en zone Q"),IF(H77&lt;3,"Péremption &lt; 3 mois",IF(H77&lt;6,"Péremption &lt; 6 mois",""))))</f>
        <v/>
      </c>
      <c r="J77" s="17" t="str">
        <f aca="false">IF(A77="","",IF(COUNTIF(Emplacements!$A$2:$A$1001,A77)=0,"⚠ emplacement inconnu","OK"))</f>
        <v/>
      </c>
      <c r="K77" s="22" t="str">
        <f aca="false">IF(AND(B77&lt;&gt;"",ISNUMBER(SEARCH(Recherche!$C$3,C77&amp;" "&amp;B77&amp;" "&amp;A77&amp;" "&amp;D77))),MAX($K$1:K76)+1,"")</f>
        <v/>
      </c>
    </row>
    <row r="78" customFormat="false" ht="15" hidden="false" customHeight="false" outlineLevel="0" collapsed="false">
      <c r="A78" s="12"/>
      <c r="B78" s="12"/>
      <c r="C78" s="17" t="str">
        <f aca="false">IF(B78="","",IFERROR(INDEX(Produits!$F$2:$F$1001,MATCH(B78,Produits!$A$2:$A$1001,0)),"⚠ code article inconnu"))</f>
        <v/>
      </c>
      <c r="D78" s="12"/>
      <c r="E78" s="23"/>
      <c r="F78" s="24"/>
      <c r="G78" s="23"/>
      <c r="H78" s="21" t="str">
        <f aca="true">IF(E78="","",ROUND((E78-TODAY())/30.4,1))</f>
        <v/>
      </c>
      <c r="I78" s="17" t="str">
        <f aca="false">IF(E78="","",IF(H78&lt;0,IF(LEFT(A78,1)="Q","Périmé (en quarantaine)","PÉRIMÉ → déplacer en zone Q"),IF(H78&lt;3,"Péremption &lt; 3 mois",IF(H78&lt;6,"Péremption &lt; 6 mois",""))))</f>
        <v/>
      </c>
      <c r="J78" s="17" t="str">
        <f aca="false">IF(A78="","",IF(COUNTIF(Emplacements!$A$2:$A$1001,A78)=0,"⚠ emplacement inconnu","OK"))</f>
        <v/>
      </c>
      <c r="K78" s="22" t="str">
        <f aca="false">IF(AND(B78&lt;&gt;"",ISNUMBER(SEARCH(Recherche!$C$3,C78&amp;" "&amp;B78&amp;" "&amp;A78&amp;" "&amp;D78))),MAX($K$1:K77)+1,"")</f>
        <v/>
      </c>
    </row>
    <row r="79" customFormat="false" ht="15" hidden="false" customHeight="false" outlineLevel="0" collapsed="false">
      <c r="A79" s="12"/>
      <c r="B79" s="12"/>
      <c r="C79" s="17" t="str">
        <f aca="false">IF(B79="","",IFERROR(INDEX(Produits!$F$2:$F$1001,MATCH(B79,Produits!$A$2:$A$1001,0)),"⚠ code article inconnu"))</f>
        <v/>
      </c>
      <c r="D79" s="12"/>
      <c r="E79" s="23"/>
      <c r="F79" s="24"/>
      <c r="G79" s="23"/>
      <c r="H79" s="21" t="str">
        <f aca="true">IF(E79="","",ROUND((E79-TODAY())/30.4,1))</f>
        <v/>
      </c>
      <c r="I79" s="17" t="str">
        <f aca="false">IF(E79="","",IF(H79&lt;0,IF(LEFT(A79,1)="Q","Périmé (en quarantaine)","PÉRIMÉ → déplacer en zone Q"),IF(H79&lt;3,"Péremption &lt; 3 mois",IF(H79&lt;6,"Péremption &lt; 6 mois",""))))</f>
        <v/>
      </c>
      <c r="J79" s="17" t="str">
        <f aca="false">IF(A79="","",IF(COUNTIF(Emplacements!$A$2:$A$1001,A79)=0,"⚠ emplacement inconnu","OK"))</f>
        <v/>
      </c>
      <c r="K79" s="22" t="str">
        <f aca="false">IF(AND(B79&lt;&gt;"",ISNUMBER(SEARCH(Recherche!$C$3,C79&amp;" "&amp;B79&amp;" "&amp;A79&amp;" "&amp;D79))),MAX($K$1:K78)+1,"")</f>
        <v/>
      </c>
    </row>
    <row r="80" customFormat="false" ht="15" hidden="false" customHeight="false" outlineLevel="0" collapsed="false">
      <c r="A80" s="12"/>
      <c r="B80" s="12"/>
      <c r="C80" s="17" t="str">
        <f aca="false">IF(B80="","",IFERROR(INDEX(Produits!$F$2:$F$1001,MATCH(B80,Produits!$A$2:$A$1001,0)),"⚠ code article inconnu"))</f>
        <v/>
      </c>
      <c r="D80" s="12"/>
      <c r="E80" s="23"/>
      <c r="F80" s="24"/>
      <c r="G80" s="23"/>
      <c r="H80" s="21" t="str">
        <f aca="true">IF(E80="","",ROUND((E80-TODAY())/30.4,1))</f>
        <v/>
      </c>
      <c r="I80" s="17" t="str">
        <f aca="false">IF(E80="","",IF(H80&lt;0,IF(LEFT(A80,1)="Q","Périmé (en quarantaine)","PÉRIMÉ → déplacer en zone Q"),IF(H80&lt;3,"Péremption &lt; 3 mois",IF(H80&lt;6,"Péremption &lt; 6 mois",""))))</f>
        <v/>
      </c>
      <c r="J80" s="17" t="str">
        <f aca="false">IF(A80="","",IF(COUNTIF(Emplacements!$A$2:$A$1001,A80)=0,"⚠ emplacement inconnu","OK"))</f>
        <v/>
      </c>
      <c r="K80" s="22" t="str">
        <f aca="false">IF(AND(B80&lt;&gt;"",ISNUMBER(SEARCH(Recherche!$C$3,C80&amp;" "&amp;B80&amp;" "&amp;A80&amp;" "&amp;D80))),MAX($K$1:K79)+1,"")</f>
        <v/>
      </c>
    </row>
    <row r="81" customFormat="false" ht="15" hidden="false" customHeight="false" outlineLevel="0" collapsed="false">
      <c r="A81" s="12"/>
      <c r="B81" s="12"/>
      <c r="C81" s="17" t="str">
        <f aca="false">IF(B81="","",IFERROR(INDEX(Produits!$F$2:$F$1001,MATCH(B81,Produits!$A$2:$A$1001,0)),"⚠ code article inconnu"))</f>
        <v/>
      </c>
      <c r="D81" s="12"/>
      <c r="E81" s="23"/>
      <c r="F81" s="24"/>
      <c r="G81" s="23"/>
      <c r="H81" s="21" t="str">
        <f aca="true">IF(E81="","",ROUND((E81-TODAY())/30.4,1))</f>
        <v/>
      </c>
      <c r="I81" s="17" t="str">
        <f aca="false">IF(E81="","",IF(H81&lt;0,IF(LEFT(A81,1)="Q","Périmé (en quarantaine)","PÉRIMÉ → déplacer en zone Q"),IF(H81&lt;3,"Péremption &lt; 3 mois",IF(H81&lt;6,"Péremption &lt; 6 mois",""))))</f>
        <v/>
      </c>
      <c r="J81" s="17" t="str">
        <f aca="false">IF(A81="","",IF(COUNTIF(Emplacements!$A$2:$A$1001,A81)=0,"⚠ emplacement inconnu","OK"))</f>
        <v/>
      </c>
      <c r="K81" s="22" t="str">
        <f aca="false">IF(AND(B81&lt;&gt;"",ISNUMBER(SEARCH(Recherche!$C$3,C81&amp;" "&amp;B81&amp;" "&amp;A81&amp;" "&amp;D81))),MAX($K$1:K80)+1,"")</f>
        <v/>
      </c>
    </row>
    <row r="82" customFormat="false" ht="15" hidden="false" customHeight="false" outlineLevel="0" collapsed="false">
      <c r="A82" s="12"/>
      <c r="B82" s="12"/>
      <c r="C82" s="17" t="str">
        <f aca="false">IF(B82="","",IFERROR(INDEX(Produits!$F$2:$F$1001,MATCH(B82,Produits!$A$2:$A$1001,0)),"⚠ code article inconnu"))</f>
        <v/>
      </c>
      <c r="D82" s="12"/>
      <c r="E82" s="23"/>
      <c r="F82" s="24"/>
      <c r="G82" s="23"/>
      <c r="H82" s="21" t="str">
        <f aca="true">IF(E82="","",ROUND((E82-TODAY())/30.4,1))</f>
        <v/>
      </c>
      <c r="I82" s="17" t="str">
        <f aca="false">IF(E82="","",IF(H82&lt;0,IF(LEFT(A82,1)="Q","Périmé (en quarantaine)","PÉRIMÉ → déplacer en zone Q"),IF(H82&lt;3,"Péremption &lt; 3 mois",IF(H82&lt;6,"Péremption &lt; 6 mois",""))))</f>
        <v/>
      </c>
      <c r="J82" s="17" t="str">
        <f aca="false">IF(A82="","",IF(COUNTIF(Emplacements!$A$2:$A$1001,A82)=0,"⚠ emplacement inconnu","OK"))</f>
        <v/>
      </c>
      <c r="K82" s="22" t="str">
        <f aca="false">IF(AND(B82&lt;&gt;"",ISNUMBER(SEARCH(Recherche!$C$3,C82&amp;" "&amp;B82&amp;" "&amp;A82&amp;" "&amp;D82))),MAX($K$1:K81)+1,"")</f>
        <v/>
      </c>
    </row>
    <row r="83" customFormat="false" ht="15" hidden="false" customHeight="false" outlineLevel="0" collapsed="false">
      <c r="A83" s="12"/>
      <c r="B83" s="12"/>
      <c r="C83" s="17" t="str">
        <f aca="false">IF(B83="","",IFERROR(INDEX(Produits!$F$2:$F$1001,MATCH(B83,Produits!$A$2:$A$1001,0)),"⚠ code article inconnu"))</f>
        <v/>
      </c>
      <c r="D83" s="12"/>
      <c r="E83" s="23"/>
      <c r="F83" s="24"/>
      <c r="G83" s="23"/>
      <c r="H83" s="21" t="str">
        <f aca="true">IF(E83="","",ROUND((E83-TODAY())/30.4,1))</f>
        <v/>
      </c>
      <c r="I83" s="17" t="str">
        <f aca="false">IF(E83="","",IF(H83&lt;0,IF(LEFT(A83,1)="Q","Périmé (en quarantaine)","PÉRIMÉ → déplacer en zone Q"),IF(H83&lt;3,"Péremption &lt; 3 mois",IF(H83&lt;6,"Péremption &lt; 6 mois",""))))</f>
        <v/>
      </c>
      <c r="J83" s="17" t="str">
        <f aca="false">IF(A83="","",IF(COUNTIF(Emplacements!$A$2:$A$1001,A83)=0,"⚠ emplacement inconnu","OK"))</f>
        <v/>
      </c>
      <c r="K83" s="22" t="str">
        <f aca="false">IF(AND(B83&lt;&gt;"",ISNUMBER(SEARCH(Recherche!$C$3,C83&amp;" "&amp;B83&amp;" "&amp;A83&amp;" "&amp;D83))),MAX($K$1:K82)+1,"")</f>
        <v/>
      </c>
    </row>
    <row r="84" customFormat="false" ht="15" hidden="false" customHeight="false" outlineLevel="0" collapsed="false">
      <c r="A84" s="12"/>
      <c r="B84" s="12"/>
      <c r="C84" s="17" t="str">
        <f aca="false">IF(B84="","",IFERROR(INDEX(Produits!$F$2:$F$1001,MATCH(B84,Produits!$A$2:$A$1001,0)),"⚠ code article inconnu"))</f>
        <v/>
      </c>
      <c r="D84" s="12"/>
      <c r="E84" s="23"/>
      <c r="F84" s="24"/>
      <c r="G84" s="23"/>
      <c r="H84" s="21" t="str">
        <f aca="true">IF(E84="","",ROUND((E84-TODAY())/30.4,1))</f>
        <v/>
      </c>
      <c r="I84" s="17" t="str">
        <f aca="false">IF(E84="","",IF(H84&lt;0,IF(LEFT(A84,1)="Q","Périmé (en quarantaine)","PÉRIMÉ → déplacer en zone Q"),IF(H84&lt;3,"Péremption &lt; 3 mois",IF(H84&lt;6,"Péremption &lt; 6 mois",""))))</f>
        <v/>
      </c>
      <c r="J84" s="17" t="str">
        <f aca="false">IF(A84="","",IF(COUNTIF(Emplacements!$A$2:$A$1001,A84)=0,"⚠ emplacement inconnu","OK"))</f>
        <v/>
      </c>
      <c r="K84" s="22" t="str">
        <f aca="false">IF(AND(B84&lt;&gt;"",ISNUMBER(SEARCH(Recherche!$C$3,C84&amp;" "&amp;B84&amp;" "&amp;A84&amp;" "&amp;D84))),MAX($K$1:K83)+1,"")</f>
        <v/>
      </c>
    </row>
    <row r="85" customFormat="false" ht="15" hidden="false" customHeight="false" outlineLevel="0" collapsed="false">
      <c r="A85" s="12"/>
      <c r="B85" s="12"/>
      <c r="C85" s="17" t="str">
        <f aca="false">IF(B85="","",IFERROR(INDEX(Produits!$F$2:$F$1001,MATCH(B85,Produits!$A$2:$A$1001,0)),"⚠ code article inconnu"))</f>
        <v/>
      </c>
      <c r="D85" s="12"/>
      <c r="E85" s="23"/>
      <c r="F85" s="24"/>
      <c r="G85" s="23"/>
      <c r="H85" s="21" t="str">
        <f aca="true">IF(E85="","",ROUND((E85-TODAY())/30.4,1))</f>
        <v/>
      </c>
      <c r="I85" s="17" t="str">
        <f aca="false">IF(E85="","",IF(H85&lt;0,IF(LEFT(A85,1)="Q","Périmé (en quarantaine)","PÉRIMÉ → déplacer en zone Q"),IF(H85&lt;3,"Péremption &lt; 3 mois",IF(H85&lt;6,"Péremption &lt; 6 mois",""))))</f>
        <v/>
      </c>
      <c r="J85" s="17" t="str">
        <f aca="false">IF(A85="","",IF(COUNTIF(Emplacements!$A$2:$A$1001,A85)=0,"⚠ emplacement inconnu","OK"))</f>
        <v/>
      </c>
      <c r="K85" s="22" t="str">
        <f aca="false">IF(AND(B85&lt;&gt;"",ISNUMBER(SEARCH(Recherche!$C$3,C85&amp;" "&amp;B85&amp;" "&amp;A85&amp;" "&amp;D85))),MAX($K$1:K84)+1,"")</f>
        <v/>
      </c>
    </row>
    <row r="86" customFormat="false" ht="15" hidden="false" customHeight="false" outlineLevel="0" collapsed="false">
      <c r="A86" s="12"/>
      <c r="B86" s="12"/>
      <c r="C86" s="17" t="str">
        <f aca="false">IF(B86="","",IFERROR(INDEX(Produits!$F$2:$F$1001,MATCH(B86,Produits!$A$2:$A$1001,0)),"⚠ code article inconnu"))</f>
        <v/>
      </c>
      <c r="D86" s="12"/>
      <c r="E86" s="23"/>
      <c r="F86" s="24"/>
      <c r="G86" s="23"/>
      <c r="H86" s="21" t="str">
        <f aca="true">IF(E86="","",ROUND((E86-TODAY())/30.4,1))</f>
        <v/>
      </c>
      <c r="I86" s="17" t="str">
        <f aca="false">IF(E86="","",IF(H86&lt;0,IF(LEFT(A86,1)="Q","Périmé (en quarantaine)","PÉRIMÉ → déplacer en zone Q"),IF(H86&lt;3,"Péremption &lt; 3 mois",IF(H86&lt;6,"Péremption &lt; 6 mois",""))))</f>
        <v/>
      </c>
      <c r="J86" s="17" t="str">
        <f aca="false">IF(A86="","",IF(COUNTIF(Emplacements!$A$2:$A$1001,A86)=0,"⚠ emplacement inconnu","OK"))</f>
        <v/>
      </c>
      <c r="K86" s="22" t="str">
        <f aca="false">IF(AND(B86&lt;&gt;"",ISNUMBER(SEARCH(Recherche!$C$3,C86&amp;" "&amp;B86&amp;" "&amp;A86&amp;" "&amp;D86))),MAX($K$1:K85)+1,"")</f>
        <v/>
      </c>
    </row>
    <row r="87" customFormat="false" ht="15" hidden="false" customHeight="false" outlineLevel="0" collapsed="false">
      <c r="A87" s="12"/>
      <c r="B87" s="12"/>
      <c r="C87" s="17" t="str">
        <f aca="false">IF(B87="","",IFERROR(INDEX(Produits!$F$2:$F$1001,MATCH(B87,Produits!$A$2:$A$1001,0)),"⚠ code article inconnu"))</f>
        <v/>
      </c>
      <c r="D87" s="12"/>
      <c r="E87" s="23"/>
      <c r="F87" s="24"/>
      <c r="G87" s="23"/>
      <c r="H87" s="21" t="str">
        <f aca="true">IF(E87="","",ROUND((E87-TODAY())/30.4,1))</f>
        <v/>
      </c>
      <c r="I87" s="17" t="str">
        <f aca="false">IF(E87="","",IF(H87&lt;0,IF(LEFT(A87,1)="Q","Périmé (en quarantaine)","PÉRIMÉ → déplacer en zone Q"),IF(H87&lt;3,"Péremption &lt; 3 mois",IF(H87&lt;6,"Péremption &lt; 6 mois",""))))</f>
        <v/>
      </c>
      <c r="J87" s="17" t="str">
        <f aca="false">IF(A87="","",IF(COUNTIF(Emplacements!$A$2:$A$1001,A87)=0,"⚠ emplacement inconnu","OK"))</f>
        <v/>
      </c>
      <c r="K87" s="22" t="str">
        <f aca="false">IF(AND(B87&lt;&gt;"",ISNUMBER(SEARCH(Recherche!$C$3,C87&amp;" "&amp;B87&amp;" "&amp;A87&amp;" "&amp;D87))),MAX($K$1:K86)+1,"")</f>
        <v/>
      </c>
    </row>
    <row r="88" customFormat="false" ht="15" hidden="false" customHeight="false" outlineLevel="0" collapsed="false">
      <c r="A88" s="12"/>
      <c r="B88" s="12"/>
      <c r="C88" s="17" t="str">
        <f aca="false">IF(B88="","",IFERROR(INDEX(Produits!$F$2:$F$1001,MATCH(B88,Produits!$A$2:$A$1001,0)),"⚠ code article inconnu"))</f>
        <v/>
      </c>
      <c r="D88" s="12"/>
      <c r="E88" s="23"/>
      <c r="F88" s="24"/>
      <c r="G88" s="23"/>
      <c r="H88" s="21" t="str">
        <f aca="true">IF(E88="","",ROUND((E88-TODAY())/30.4,1))</f>
        <v/>
      </c>
      <c r="I88" s="17" t="str">
        <f aca="false">IF(E88="","",IF(H88&lt;0,IF(LEFT(A88,1)="Q","Périmé (en quarantaine)","PÉRIMÉ → déplacer en zone Q"),IF(H88&lt;3,"Péremption &lt; 3 mois",IF(H88&lt;6,"Péremption &lt; 6 mois",""))))</f>
        <v/>
      </c>
      <c r="J88" s="17" t="str">
        <f aca="false">IF(A88="","",IF(COUNTIF(Emplacements!$A$2:$A$1001,A88)=0,"⚠ emplacement inconnu","OK"))</f>
        <v/>
      </c>
      <c r="K88" s="22" t="str">
        <f aca="false">IF(AND(B88&lt;&gt;"",ISNUMBER(SEARCH(Recherche!$C$3,C88&amp;" "&amp;B88&amp;" "&amp;A88&amp;" "&amp;D88))),MAX($K$1:K87)+1,"")</f>
        <v/>
      </c>
    </row>
    <row r="89" customFormat="false" ht="15" hidden="false" customHeight="false" outlineLevel="0" collapsed="false">
      <c r="A89" s="12"/>
      <c r="B89" s="12"/>
      <c r="C89" s="17" t="str">
        <f aca="false">IF(B89="","",IFERROR(INDEX(Produits!$F$2:$F$1001,MATCH(B89,Produits!$A$2:$A$1001,0)),"⚠ code article inconnu"))</f>
        <v/>
      </c>
      <c r="D89" s="12"/>
      <c r="E89" s="23"/>
      <c r="F89" s="24"/>
      <c r="G89" s="23"/>
      <c r="H89" s="21" t="str">
        <f aca="true">IF(E89="","",ROUND((E89-TODAY())/30.4,1))</f>
        <v/>
      </c>
      <c r="I89" s="17" t="str">
        <f aca="false">IF(E89="","",IF(H89&lt;0,IF(LEFT(A89,1)="Q","Périmé (en quarantaine)","PÉRIMÉ → déplacer en zone Q"),IF(H89&lt;3,"Péremption &lt; 3 mois",IF(H89&lt;6,"Péremption &lt; 6 mois",""))))</f>
        <v/>
      </c>
      <c r="J89" s="17" t="str">
        <f aca="false">IF(A89="","",IF(COUNTIF(Emplacements!$A$2:$A$1001,A89)=0,"⚠ emplacement inconnu","OK"))</f>
        <v/>
      </c>
      <c r="K89" s="22" t="str">
        <f aca="false">IF(AND(B89&lt;&gt;"",ISNUMBER(SEARCH(Recherche!$C$3,C89&amp;" "&amp;B89&amp;" "&amp;A89&amp;" "&amp;D89))),MAX($K$1:K88)+1,"")</f>
        <v/>
      </c>
    </row>
    <row r="90" customFormat="false" ht="15" hidden="false" customHeight="false" outlineLevel="0" collapsed="false">
      <c r="A90" s="12"/>
      <c r="B90" s="12"/>
      <c r="C90" s="17" t="str">
        <f aca="false">IF(B90="","",IFERROR(INDEX(Produits!$F$2:$F$1001,MATCH(B90,Produits!$A$2:$A$1001,0)),"⚠ code article inconnu"))</f>
        <v/>
      </c>
      <c r="D90" s="12"/>
      <c r="E90" s="23"/>
      <c r="F90" s="24"/>
      <c r="G90" s="23"/>
      <c r="H90" s="21" t="str">
        <f aca="true">IF(E90="","",ROUND((E90-TODAY())/30.4,1))</f>
        <v/>
      </c>
      <c r="I90" s="17" t="str">
        <f aca="false">IF(E90="","",IF(H90&lt;0,IF(LEFT(A90,1)="Q","Périmé (en quarantaine)","PÉRIMÉ → déplacer en zone Q"),IF(H90&lt;3,"Péremption &lt; 3 mois",IF(H90&lt;6,"Péremption &lt; 6 mois",""))))</f>
        <v/>
      </c>
      <c r="J90" s="17" t="str">
        <f aca="false">IF(A90="","",IF(COUNTIF(Emplacements!$A$2:$A$1001,A90)=0,"⚠ emplacement inconnu","OK"))</f>
        <v/>
      </c>
      <c r="K90" s="22" t="str">
        <f aca="false">IF(AND(B90&lt;&gt;"",ISNUMBER(SEARCH(Recherche!$C$3,C90&amp;" "&amp;B90&amp;" "&amp;A90&amp;" "&amp;D90))),MAX($K$1:K89)+1,"")</f>
        <v/>
      </c>
    </row>
    <row r="91" customFormat="false" ht="15" hidden="false" customHeight="false" outlineLevel="0" collapsed="false">
      <c r="A91" s="12"/>
      <c r="B91" s="12"/>
      <c r="C91" s="17" t="str">
        <f aca="false">IF(B91="","",IFERROR(INDEX(Produits!$F$2:$F$1001,MATCH(B91,Produits!$A$2:$A$1001,0)),"⚠ code article inconnu"))</f>
        <v/>
      </c>
      <c r="D91" s="12"/>
      <c r="E91" s="23"/>
      <c r="F91" s="24"/>
      <c r="G91" s="23"/>
      <c r="H91" s="21" t="str">
        <f aca="true">IF(E91="","",ROUND((E91-TODAY())/30.4,1))</f>
        <v/>
      </c>
      <c r="I91" s="17" t="str">
        <f aca="false">IF(E91="","",IF(H91&lt;0,IF(LEFT(A91,1)="Q","Périmé (en quarantaine)","PÉRIMÉ → déplacer en zone Q"),IF(H91&lt;3,"Péremption &lt; 3 mois",IF(H91&lt;6,"Péremption &lt; 6 mois",""))))</f>
        <v/>
      </c>
      <c r="J91" s="17" t="str">
        <f aca="false">IF(A91="","",IF(COUNTIF(Emplacements!$A$2:$A$1001,A91)=0,"⚠ emplacement inconnu","OK"))</f>
        <v/>
      </c>
      <c r="K91" s="22" t="str">
        <f aca="false">IF(AND(B91&lt;&gt;"",ISNUMBER(SEARCH(Recherche!$C$3,C91&amp;" "&amp;B91&amp;" "&amp;A91&amp;" "&amp;D91))),MAX($K$1:K90)+1,"")</f>
        <v/>
      </c>
    </row>
    <row r="92" customFormat="false" ht="15" hidden="false" customHeight="false" outlineLevel="0" collapsed="false">
      <c r="A92" s="12"/>
      <c r="B92" s="12"/>
      <c r="C92" s="17" t="str">
        <f aca="false">IF(B92="","",IFERROR(INDEX(Produits!$F$2:$F$1001,MATCH(B92,Produits!$A$2:$A$1001,0)),"⚠ code article inconnu"))</f>
        <v/>
      </c>
      <c r="D92" s="12"/>
      <c r="E92" s="23"/>
      <c r="F92" s="24"/>
      <c r="G92" s="23"/>
      <c r="H92" s="21" t="str">
        <f aca="true">IF(E92="","",ROUND((E92-TODAY())/30.4,1))</f>
        <v/>
      </c>
      <c r="I92" s="17" t="str">
        <f aca="false">IF(E92="","",IF(H92&lt;0,IF(LEFT(A92,1)="Q","Périmé (en quarantaine)","PÉRIMÉ → déplacer en zone Q"),IF(H92&lt;3,"Péremption &lt; 3 mois",IF(H92&lt;6,"Péremption &lt; 6 mois",""))))</f>
        <v/>
      </c>
      <c r="J92" s="17" t="str">
        <f aca="false">IF(A92="","",IF(COUNTIF(Emplacements!$A$2:$A$1001,A92)=0,"⚠ emplacement inconnu","OK"))</f>
        <v/>
      </c>
      <c r="K92" s="22" t="str">
        <f aca="false">IF(AND(B92&lt;&gt;"",ISNUMBER(SEARCH(Recherche!$C$3,C92&amp;" "&amp;B92&amp;" "&amp;A92&amp;" "&amp;D92))),MAX($K$1:K91)+1,"")</f>
        <v/>
      </c>
    </row>
    <row r="93" customFormat="false" ht="15" hidden="false" customHeight="false" outlineLevel="0" collapsed="false">
      <c r="A93" s="12"/>
      <c r="B93" s="12"/>
      <c r="C93" s="17" t="str">
        <f aca="false">IF(B93="","",IFERROR(INDEX(Produits!$F$2:$F$1001,MATCH(B93,Produits!$A$2:$A$1001,0)),"⚠ code article inconnu"))</f>
        <v/>
      </c>
      <c r="D93" s="12"/>
      <c r="E93" s="23"/>
      <c r="F93" s="24"/>
      <c r="G93" s="23"/>
      <c r="H93" s="21" t="str">
        <f aca="true">IF(E93="","",ROUND((E93-TODAY())/30.4,1))</f>
        <v/>
      </c>
      <c r="I93" s="17" t="str">
        <f aca="false">IF(E93="","",IF(H93&lt;0,IF(LEFT(A93,1)="Q","Périmé (en quarantaine)","PÉRIMÉ → déplacer en zone Q"),IF(H93&lt;3,"Péremption &lt; 3 mois",IF(H93&lt;6,"Péremption &lt; 6 mois",""))))</f>
        <v/>
      </c>
      <c r="J93" s="17" t="str">
        <f aca="false">IF(A93="","",IF(COUNTIF(Emplacements!$A$2:$A$1001,A93)=0,"⚠ emplacement inconnu","OK"))</f>
        <v/>
      </c>
      <c r="K93" s="22" t="str">
        <f aca="false">IF(AND(B93&lt;&gt;"",ISNUMBER(SEARCH(Recherche!$C$3,C93&amp;" "&amp;B93&amp;" "&amp;A93&amp;" "&amp;D93))),MAX($K$1:K92)+1,"")</f>
        <v/>
      </c>
    </row>
    <row r="94" customFormat="false" ht="15" hidden="false" customHeight="false" outlineLevel="0" collapsed="false">
      <c r="A94" s="12"/>
      <c r="B94" s="12"/>
      <c r="C94" s="17" t="str">
        <f aca="false">IF(B94="","",IFERROR(INDEX(Produits!$F$2:$F$1001,MATCH(B94,Produits!$A$2:$A$1001,0)),"⚠ code article inconnu"))</f>
        <v/>
      </c>
      <c r="D94" s="12"/>
      <c r="E94" s="23"/>
      <c r="F94" s="24"/>
      <c r="G94" s="23"/>
      <c r="H94" s="21" t="str">
        <f aca="true">IF(E94="","",ROUND((E94-TODAY())/30.4,1))</f>
        <v/>
      </c>
      <c r="I94" s="17" t="str">
        <f aca="false">IF(E94="","",IF(H94&lt;0,IF(LEFT(A94,1)="Q","Périmé (en quarantaine)","PÉRIMÉ → déplacer en zone Q"),IF(H94&lt;3,"Péremption &lt; 3 mois",IF(H94&lt;6,"Péremption &lt; 6 mois",""))))</f>
        <v/>
      </c>
      <c r="J94" s="17" t="str">
        <f aca="false">IF(A94="","",IF(COUNTIF(Emplacements!$A$2:$A$1001,A94)=0,"⚠ emplacement inconnu","OK"))</f>
        <v/>
      </c>
      <c r="K94" s="22" t="str">
        <f aca="false">IF(AND(B94&lt;&gt;"",ISNUMBER(SEARCH(Recherche!$C$3,C94&amp;" "&amp;B94&amp;" "&amp;A94&amp;" "&amp;D94))),MAX($K$1:K93)+1,"")</f>
        <v/>
      </c>
    </row>
    <row r="95" customFormat="false" ht="15" hidden="false" customHeight="false" outlineLevel="0" collapsed="false">
      <c r="A95" s="12"/>
      <c r="B95" s="12"/>
      <c r="C95" s="17" t="str">
        <f aca="false">IF(B95="","",IFERROR(INDEX(Produits!$F$2:$F$1001,MATCH(B95,Produits!$A$2:$A$1001,0)),"⚠ code article inconnu"))</f>
        <v/>
      </c>
      <c r="D95" s="12"/>
      <c r="E95" s="23"/>
      <c r="F95" s="24"/>
      <c r="G95" s="23"/>
      <c r="H95" s="21" t="str">
        <f aca="true">IF(E95="","",ROUND((E95-TODAY())/30.4,1))</f>
        <v/>
      </c>
      <c r="I95" s="17" t="str">
        <f aca="false">IF(E95="","",IF(H95&lt;0,IF(LEFT(A95,1)="Q","Périmé (en quarantaine)","PÉRIMÉ → déplacer en zone Q"),IF(H95&lt;3,"Péremption &lt; 3 mois",IF(H95&lt;6,"Péremption &lt; 6 mois",""))))</f>
        <v/>
      </c>
      <c r="J95" s="17" t="str">
        <f aca="false">IF(A95="","",IF(COUNTIF(Emplacements!$A$2:$A$1001,A95)=0,"⚠ emplacement inconnu","OK"))</f>
        <v/>
      </c>
      <c r="K95" s="22" t="str">
        <f aca="false">IF(AND(B95&lt;&gt;"",ISNUMBER(SEARCH(Recherche!$C$3,C95&amp;" "&amp;B95&amp;" "&amp;A95&amp;" "&amp;D95))),MAX($K$1:K94)+1,"")</f>
        <v/>
      </c>
    </row>
    <row r="96" customFormat="false" ht="15" hidden="false" customHeight="false" outlineLevel="0" collapsed="false">
      <c r="A96" s="12"/>
      <c r="B96" s="12"/>
      <c r="C96" s="17" t="str">
        <f aca="false">IF(B96="","",IFERROR(INDEX(Produits!$F$2:$F$1001,MATCH(B96,Produits!$A$2:$A$1001,0)),"⚠ code article inconnu"))</f>
        <v/>
      </c>
      <c r="D96" s="12"/>
      <c r="E96" s="23"/>
      <c r="F96" s="24"/>
      <c r="G96" s="23"/>
      <c r="H96" s="21" t="str">
        <f aca="true">IF(E96="","",ROUND((E96-TODAY())/30.4,1))</f>
        <v/>
      </c>
      <c r="I96" s="17" t="str">
        <f aca="false">IF(E96="","",IF(H96&lt;0,IF(LEFT(A96,1)="Q","Périmé (en quarantaine)","PÉRIMÉ → déplacer en zone Q"),IF(H96&lt;3,"Péremption &lt; 3 mois",IF(H96&lt;6,"Péremption &lt; 6 mois",""))))</f>
        <v/>
      </c>
      <c r="J96" s="17" t="str">
        <f aca="false">IF(A96="","",IF(COUNTIF(Emplacements!$A$2:$A$1001,A96)=0,"⚠ emplacement inconnu","OK"))</f>
        <v/>
      </c>
      <c r="K96" s="22" t="str">
        <f aca="false">IF(AND(B96&lt;&gt;"",ISNUMBER(SEARCH(Recherche!$C$3,C96&amp;" "&amp;B96&amp;" "&amp;A96&amp;" "&amp;D96))),MAX($K$1:K95)+1,"")</f>
        <v/>
      </c>
    </row>
    <row r="97" customFormat="false" ht="15" hidden="false" customHeight="false" outlineLevel="0" collapsed="false">
      <c r="A97" s="12"/>
      <c r="B97" s="12"/>
      <c r="C97" s="17" t="str">
        <f aca="false">IF(B97="","",IFERROR(INDEX(Produits!$F$2:$F$1001,MATCH(B97,Produits!$A$2:$A$1001,0)),"⚠ code article inconnu"))</f>
        <v/>
      </c>
      <c r="D97" s="12"/>
      <c r="E97" s="23"/>
      <c r="F97" s="24"/>
      <c r="G97" s="23"/>
      <c r="H97" s="21" t="str">
        <f aca="true">IF(E97="","",ROUND((E97-TODAY())/30.4,1))</f>
        <v/>
      </c>
      <c r="I97" s="17" t="str">
        <f aca="false">IF(E97="","",IF(H97&lt;0,IF(LEFT(A97,1)="Q","Périmé (en quarantaine)","PÉRIMÉ → déplacer en zone Q"),IF(H97&lt;3,"Péremption &lt; 3 mois",IF(H97&lt;6,"Péremption &lt; 6 mois",""))))</f>
        <v/>
      </c>
      <c r="J97" s="17" t="str">
        <f aca="false">IF(A97="","",IF(COUNTIF(Emplacements!$A$2:$A$1001,A97)=0,"⚠ emplacement inconnu","OK"))</f>
        <v/>
      </c>
      <c r="K97" s="22" t="str">
        <f aca="false">IF(AND(B97&lt;&gt;"",ISNUMBER(SEARCH(Recherche!$C$3,C97&amp;" "&amp;B97&amp;" "&amp;A97&amp;" "&amp;D97))),MAX($K$1:K96)+1,"")</f>
        <v/>
      </c>
    </row>
    <row r="98" customFormat="false" ht="15" hidden="false" customHeight="false" outlineLevel="0" collapsed="false">
      <c r="A98" s="12"/>
      <c r="B98" s="12"/>
      <c r="C98" s="17" t="str">
        <f aca="false">IF(B98="","",IFERROR(INDEX(Produits!$F$2:$F$1001,MATCH(B98,Produits!$A$2:$A$1001,0)),"⚠ code article inconnu"))</f>
        <v/>
      </c>
      <c r="D98" s="12"/>
      <c r="E98" s="23"/>
      <c r="F98" s="24"/>
      <c r="G98" s="23"/>
      <c r="H98" s="21" t="str">
        <f aca="true">IF(E98="","",ROUND((E98-TODAY())/30.4,1))</f>
        <v/>
      </c>
      <c r="I98" s="17" t="str">
        <f aca="false">IF(E98="","",IF(H98&lt;0,IF(LEFT(A98,1)="Q","Périmé (en quarantaine)","PÉRIMÉ → déplacer en zone Q"),IF(H98&lt;3,"Péremption &lt; 3 mois",IF(H98&lt;6,"Péremption &lt; 6 mois",""))))</f>
        <v/>
      </c>
      <c r="J98" s="17" t="str">
        <f aca="false">IF(A98="","",IF(COUNTIF(Emplacements!$A$2:$A$1001,A98)=0,"⚠ emplacement inconnu","OK"))</f>
        <v/>
      </c>
      <c r="K98" s="22" t="str">
        <f aca="false">IF(AND(B98&lt;&gt;"",ISNUMBER(SEARCH(Recherche!$C$3,C98&amp;" "&amp;B98&amp;" "&amp;A98&amp;" "&amp;D98))),MAX($K$1:K97)+1,"")</f>
        <v/>
      </c>
    </row>
    <row r="99" customFormat="false" ht="15" hidden="false" customHeight="false" outlineLevel="0" collapsed="false">
      <c r="A99" s="12"/>
      <c r="B99" s="12"/>
      <c r="C99" s="17" t="str">
        <f aca="false">IF(B99="","",IFERROR(INDEX(Produits!$F$2:$F$1001,MATCH(B99,Produits!$A$2:$A$1001,0)),"⚠ code article inconnu"))</f>
        <v/>
      </c>
      <c r="D99" s="12"/>
      <c r="E99" s="23"/>
      <c r="F99" s="24"/>
      <c r="G99" s="23"/>
      <c r="H99" s="21" t="str">
        <f aca="true">IF(E99="","",ROUND((E99-TODAY())/30.4,1))</f>
        <v/>
      </c>
      <c r="I99" s="17" t="str">
        <f aca="false">IF(E99="","",IF(H99&lt;0,IF(LEFT(A99,1)="Q","Périmé (en quarantaine)","PÉRIMÉ → déplacer en zone Q"),IF(H99&lt;3,"Péremption &lt; 3 mois",IF(H99&lt;6,"Péremption &lt; 6 mois",""))))</f>
        <v/>
      </c>
      <c r="J99" s="17" t="str">
        <f aca="false">IF(A99="","",IF(COUNTIF(Emplacements!$A$2:$A$1001,A99)=0,"⚠ emplacement inconnu","OK"))</f>
        <v/>
      </c>
      <c r="K99" s="22" t="str">
        <f aca="false">IF(AND(B99&lt;&gt;"",ISNUMBER(SEARCH(Recherche!$C$3,C99&amp;" "&amp;B99&amp;" "&amp;A99&amp;" "&amp;D99))),MAX($K$1:K98)+1,"")</f>
        <v/>
      </c>
    </row>
    <row r="100" customFormat="false" ht="15" hidden="false" customHeight="false" outlineLevel="0" collapsed="false">
      <c r="A100" s="12"/>
      <c r="B100" s="12"/>
      <c r="C100" s="17" t="str">
        <f aca="false">IF(B100="","",IFERROR(INDEX(Produits!$F$2:$F$1001,MATCH(B100,Produits!$A$2:$A$1001,0)),"⚠ code article inconnu"))</f>
        <v/>
      </c>
      <c r="D100" s="12"/>
      <c r="E100" s="23"/>
      <c r="F100" s="24"/>
      <c r="G100" s="23"/>
      <c r="H100" s="21" t="str">
        <f aca="true">IF(E100="","",ROUND((E100-TODAY())/30.4,1))</f>
        <v/>
      </c>
      <c r="I100" s="17" t="str">
        <f aca="false">IF(E100="","",IF(H100&lt;0,IF(LEFT(A100,1)="Q","Périmé (en quarantaine)","PÉRIMÉ → déplacer en zone Q"),IF(H100&lt;3,"Péremption &lt; 3 mois",IF(H100&lt;6,"Péremption &lt; 6 mois",""))))</f>
        <v/>
      </c>
      <c r="J100" s="17" t="str">
        <f aca="false">IF(A100="","",IF(COUNTIF(Emplacements!$A$2:$A$1001,A100)=0,"⚠ emplacement inconnu","OK"))</f>
        <v/>
      </c>
      <c r="K100" s="22" t="str">
        <f aca="false">IF(AND(B100&lt;&gt;"",ISNUMBER(SEARCH(Recherche!$C$3,C100&amp;" "&amp;B100&amp;" "&amp;A100&amp;" "&amp;D100))),MAX($K$1:K99)+1,"")</f>
        <v/>
      </c>
    </row>
    <row r="101" customFormat="false" ht="15" hidden="false" customHeight="false" outlineLevel="0" collapsed="false">
      <c r="A101" s="12"/>
      <c r="B101" s="12"/>
      <c r="C101" s="17" t="str">
        <f aca="false">IF(B101="","",IFERROR(INDEX(Produits!$F$2:$F$1001,MATCH(B101,Produits!$A$2:$A$1001,0)),"⚠ code article inconnu"))</f>
        <v/>
      </c>
      <c r="D101" s="12"/>
      <c r="E101" s="23"/>
      <c r="F101" s="24"/>
      <c r="G101" s="23"/>
      <c r="H101" s="21" t="str">
        <f aca="true">IF(E101="","",ROUND((E101-TODAY())/30.4,1))</f>
        <v/>
      </c>
      <c r="I101" s="17" t="str">
        <f aca="false">IF(E101="","",IF(H101&lt;0,IF(LEFT(A101,1)="Q","Périmé (en quarantaine)","PÉRIMÉ → déplacer en zone Q"),IF(H101&lt;3,"Péremption &lt; 3 mois",IF(H101&lt;6,"Péremption &lt; 6 mois",""))))</f>
        <v/>
      </c>
      <c r="J101" s="17" t="str">
        <f aca="false">IF(A101="","",IF(COUNTIF(Emplacements!$A$2:$A$1001,A101)=0,"⚠ emplacement inconnu","OK"))</f>
        <v/>
      </c>
      <c r="K101" s="22" t="str">
        <f aca="false">IF(AND(B101&lt;&gt;"",ISNUMBER(SEARCH(Recherche!$C$3,C101&amp;" "&amp;B101&amp;" "&amp;A101&amp;" "&amp;D101))),MAX($K$1:K100)+1,"")</f>
        <v/>
      </c>
    </row>
    <row r="102" customFormat="false" ht="15" hidden="false" customHeight="false" outlineLevel="0" collapsed="false">
      <c r="A102" s="12"/>
      <c r="B102" s="12"/>
      <c r="C102" s="17" t="str">
        <f aca="false">IF(B102="","",IFERROR(INDEX(Produits!$F$2:$F$1001,MATCH(B102,Produits!$A$2:$A$1001,0)),"⚠ code article inconnu"))</f>
        <v/>
      </c>
      <c r="D102" s="12"/>
      <c r="E102" s="23"/>
      <c r="F102" s="24"/>
      <c r="G102" s="23"/>
      <c r="H102" s="21" t="str">
        <f aca="true">IF(E102="","",ROUND((E102-TODAY())/30.4,1))</f>
        <v/>
      </c>
      <c r="I102" s="17" t="str">
        <f aca="false">IF(E102="","",IF(H102&lt;0,IF(LEFT(A102,1)="Q","Périmé (en quarantaine)","PÉRIMÉ → déplacer en zone Q"),IF(H102&lt;3,"Péremption &lt; 3 mois",IF(H102&lt;6,"Péremption &lt; 6 mois",""))))</f>
        <v/>
      </c>
      <c r="J102" s="17" t="str">
        <f aca="false">IF(A102="","",IF(COUNTIF(Emplacements!$A$2:$A$1001,A102)=0,"⚠ emplacement inconnu","OK"))</f>
        <v/>
      </c>
      <c r="K102" s="22" t="str">
        <f aca="false">IF(AND(B102&lt;&gt;"",ISNUMBER(SEARCH(Recherche!$C$3,C102&amp;" "&amp;B102&amp;" "&amp;A102&amp;" "&amp;D102))),MAX($K$1:K101)+1,"")</f>
        <v/>
      </c>
    </row>
    <row r="103" customFormat="false" ht="15" hidden="false" customHeight="false" outlineLevel="0" collapsed="false">
      <c r="A103" s="12"/>
      <c r="B103" s="12"/>
      <c r="C103" s="17" t="str">
        <f aca="false">IF(B103="","",IFERROR(INDEX(Produits!$F$2:$F$1001,MATCH(B103,Produits!$A$2:$A$1001,0)),"⚠ code article inconnu"))</f>
        <v/>
      </c>
      <c r="D103" s="12"/>
      <c r="E103" s="23"/>
      <c r="F103" s="24"/>
      <c r="G103" s="23"/>
      <c r="H103" s="21" t="str">
        <f aca="true">IF(E103="","",ROUND((E103-TODAY())/30.4,1))</f>
        <v/>
      </c>
      <c r="I103" s="17" t="str">
        <f aca="false">IF(E103="","",IF(H103&lt;0,IF(LEFT(A103,1)="Q","Périmé (en quarantaine)","PÉRIMÉ → déplacer en zone Q"),IF(H103&lt;3,"Péremption &lt; 3 mois",IF(H103&lt;6,"Péremption &lt; 6 mois",""))))</f>
        <v/>
      </c>
      <c r="J103" s="17" t="str">
        <f aca="false">IF(A103="","",IF(COUNTIF(Emplacements!$A$2:$A$1001,A103)=0,"⚠ emplacement inconnu","OK"))</f>
        <v/>
      </c>
      <c r="K103" s="22" t="str">
        <f aca="false">IF(AND(B103&lt;&gt;"",ISNUMBER(SEARCH(Recherche!$C$3,C103&amp;" "&amp;B103&amp;" "&amp;A103&amp;" "&amp;D103))),MAX($K$1:K102)+1,"")</f>
        <v/>
      </c>
    </row>
    <row r="104" customFormat="false" ht="15" hidden="false" customHeight="false" outlineLevel="0" collapsed="false">
      <c r="A104" s="12"/>
      <c r="B104" s="12"/>
      <c r="C104" s="17" t="str">
        <f aca="false">IF(B104="","",IFERROR(INDEX(Produits!$F$2:$F$1001,MATCH(B104,Produits!$A$2:$A$1001,0)),"⚠ code article inconnu"))</f>
        <v/>
      </c>
      <c r="D104" s="12"/>
      <c r="E104" s="23"/>
      <c r="F104" s="24"/>
      <c r="G104" s="23"/>
      <c r="H104" s="21" t="str">
        <f aca="true">IF(E104="","",ROUND((E104-TODAY())/30.4,1))</f>
        <v/>
      </c>
      <c r="I104" s="17" t="str">
        <f aca="false">IF(E104="","",IF(H104&lt;0,IF(LEFT(A104,1)="Q","Périmé (en quarantaine)","PÉRIMÉ → déplacer en zone Q"),IF(H104&lt;3,"Péremption &lt; 3 mois",IF(H104&lt;6,"Péremption &lt; 6 mois",""))))</f>
        <v/>
      </c>
      <c r="J104" s="17" t="str">
        <f aca="false">IF(A104="","",IF(COUNTIF(Emplacements!$A$2:$A$1001,A104)=0,"⚠ emplacement inconnu","OK"))</f>
        <v/>
      </c>
      <c r="K104" s="22" t="str">
        <f aca="false">IF(AND(B104&lt;&gt;"",ISNUMBER(SEARCH(Recherche!$C$3,C104&amp;" "&amp;B104&amp;" "&amp;A104&amp;" "&amp;D104))),MAX($K$1:K103)+1,"")</f>
        <v/>
      </c>
    </row>
    <row r="105" customFormat="false" ht="15" hidden="false" customHeight="false" outlineLevel="0" collapsed="false">
      <c r="A105" s="12"/>
      <c r="B105" s="12"/>
      <c r="C105" s="17" t="str">
        <f aca="false">IF(B105="","",IFERROR(INDEX(Produits!$F$2:$F$1001,MATCH(B105,Produits!$A$2:$A$1001,0)),"⚠ code article inconnu"))</f>
        <v/>
      </c>
      <c r="D105" s="12"/>
      <c r="E105" s="23"/>
      <c r="F105" s="24"/>
      <c r="G105" s="23"/>
      <c r="H105" s="21" t="str">
        <f aca="true">IF(E105="","",ROUND((E105-TODAY())/30.4,1))</f>
        <v/>
      </c>
      <c r="I105" s="17" t="str">
        <f aca="false">IF(E105="","",IF(H105&lt;0,IF(LEFT(A105,1)="Q","Périmé (en quarantaine)","PÉRIMÉ → déplacer en zone Q"),IF(H105&lt;3,"Péremption &lt; 3 mois",IF(H105&lt;6,"Péremption &lt; 6 mois",""))))</f>
        <v/>
      </c>
      <c r="J105" s="17" t="str">
        <f aca="false">IF(A105="","",IF(COUNTIF(Emplacements!$A$2:$A$1001,A105)=0,"⚠ emplacement inconnu","OK"))</f>
        <v/>
      </c>
      <c r="K105" s="22" t="str">
        <f aca="false">IF(AND(B105&lt;&gt;"",ISNUMBER(SEARCH(Recherche!$C$3,C105&amp;" "&amp;B105&amp;" "&amp;A105&amp;" "&amp;D105))),MAX($K$1:K104)+1,"")</f>
        <v/>
      </c>
    </row>
    <row r="106" customFormat="false" ht="15" hidden="false" customHeight="false" outlineLevel="0" collapsed="false">
      <c r="A106" s="12"/>
      <c r="B106" s="12"/>
      <c r="C106" s="17" t="str">
        <f aca="false">IF(B106="","",IFERROR(INDEX(Produits!$F$2:$F$1001,MATCH(B106,Produits!$A$2:$A$1001,0)),"⚠ code article inconnu"))</f>
        <v/>
      </c>
      <c r="D106" s="12"/>
      <c r="E106" s="23"/>
      <c r="F106" s="24"/>
      <c r="G106" s="23"/>
      <c r="H106" s="21" t="str">
        <f aca="true">IF(E106="","",ROUND((E106-TODAY())/30.4,1))</f>
        <v/>
      </c>
      <c r="I106" s="17" t="str">
        <f aca="false">IF(E106="","",IF(H106&lt;0,IF(LEFT(A106,1)="Q","Périmé (en quarantaine)","PÉRIMÉ → déplacer en zone Q"),IF(H106&lt;3,"Péremption &lt; 3 mois",IF(H106&lt;6,"Péremption &lt; 6 mois",""))))</f>
        <v/>
      </c>
      <c r="J106" s="17" t="str">
        <f aca="false">IF(A106="","",IF(COUNTIF(Emplacements!$A$2:$A$1001,A106)=0,"⚠ emplacement inconnu","OK"))</f>
        <v/>
      </c>
      <c r="K106" s="22" t="str">
        <f aca="false">IF(AND(B106&lt;&gt;"",ISNUMBER(SEARCH(Recherche!$C$3,C106&amp;" "&amp;B106&amp;" "&amp;A106&amp;" "&amp;D106))),MAX($K$1:K105)+1,"")</f>
        <v/>
      </c>
    </row>
    <row r="107" customFormat="false" ht="15" hidden="false" customHeight="false" outlineLevel="0" collapsed="false">
      <c r="A107" s="12"/>
      <c r="B107" s="12"/>
      <c r="C107" s="17" t="str">
        <f aca="false">IF(B107="","",IFERROR(INDEX(Produits!$F$2:$F$1001,MATCH(B107,Produits!$A$2:$A$1001,0)),"⚠ code article inconnu"))</f>
        <v/>
      </c>
      <c r="D107" s="12"/>
      <c r="E107" s="23"/>
      <c r="F107" s="24"/>
      <c r="G107" s="23"/>
      <c r="H107" s="21" t="str">
        <f aca="true">IF(E107="","",ROUND((E107-TODAY())/30.4,1))</f>
        <v/>
      </c>
      <c r="I107" s="17" t="str">
        <f aca="false">IF(E107="","",IF(H107&lt;0,IF(LEFT(A107,1)="Q","Périmé (en quarantaine)","PÉRIMÉ → déplacer en zone Q"),IF(H107&lt;3,"Péremption &lt; 3 mois",IF(H107&lt;6,"Péremption &lt; 6 mois",""))))</f>
        <v/>
      </c>
      <c r="J107" s="17" t="str">
        <f aca="false">IF(A107="","",IF(COUNTIF(Emplacements!$A$2:$A$1001,A107)=0,"⚠ emplacement inconnu","OK"))</f>
        <v/>
      </c>
      <c r="K107" s="22" t="str">
        <f aca="false">IF(AND(B107&lt;&gt;"",ISNUMBER(SEARCH(Recherche!$C$3,C107&amp;" "&amp;B107&amp;" "&amp;A107&amp;" "&amp;D107))),MAX($K$1:K106)+1,"")</f>
        <v/>
      </c>
    </row>
    <row r="108" customFormat="false" ht="15" hidden="false" customHeight="false" outlineLevel="0" collapsed="false">
      <c r="A108" s="12"/>
      <c r="B108" s="12"/>
      <c r="C108" s="17" t="str">
        <f aca="false">IF(B108="","",IFERROR(INDEX(Produits!$F$2:$F$1001,MATCH(B108,Produits!$A$2:$A$1001,0)),"⚠ code article inconnu"))</f>
        <v/>
      </c>
      <c r="D108" s="12"/>
      <c r="E108" s="23"/>
      <c r="F108" s="24"/>
      <c r="G108" s="23"/>
      <c r="H108" s="21" t="str">
        <f aca="true">IF(E108="","",ROUND((E108-TODAY())/30.4,1))</f>
        <v/>
      </c>
      <c r="I108" s="17" t="str">
        <f aca="false">IF(E108="","",IF(H108&lt;0,IF(LEFT(A108,1)="Q","Périmé (en quarantaine)","PÉRIMÉ → déplacer en zone Q"),IF(H108&lt;3,"Péremption &lt; 3 mois",IF(H108&lt;6,"Péremption &lt; 6 mois",""))))</f>
        <v/>
      </c>
      <c r="J108" s="17" t="str">
        <f aca="false">IF(A108="","",IF(COUNTIF(Emplacements!$A$2:$A$1001,A108)=0,"⚠ emplacement inconnu","OK"))</f>
        <v/>
      </c>
      <c r="K108" s="22" t="str">
        <f aca="false">IF(AND(B108&lt;&gt;"",ISNUMBER(SEARCH(Recherche!$C$3,C108&amp;" "&amp;B108&amp;" "&amp;A108&amp;" "&amp;D108))),MAX($K$1:K107)+1,"")</f>
        <v/>
      </c>
    </row>
    <row r="109" customFormat="false" ht="15" hidden="false" customHeight="false" outlineLevel="0" collapsed="false">
      <c r="A109" s="12"/>
      <c r="B109" s="12"/>
      <c r="C109" s="17" t="str">
        <f aca="false">IF(B109="","",IFERROR(INDEX(Produits!$F$2:$F$1001,MATCH(B109,Produits!$A$2:$A$1001,0)),"⚠ code article inconnu"))</f>
        <v/>
      </c>
      <c r="D109" s="12"/>
      <c r="E109" s="23"/>
      <c r="F109" s="24"/>
      <c r="G109" s="23"/>
      <c r="H109" s="21" t="str">
        <f aca="true">IF(E109="","",ROUND((E109-TODAY())/30.4,1))</f>
        <v/>
      </c>
      <c r="I109" s="17" t="str">
        <f aca="false">IF(E109="","",IF(H109&lt;0,IF(LEFT(A109,1)="Q","Périmé (en quarantaine)","PÉRIMÉ → déplacer en zone Q"),IF(H109&lt;3,"Péremption &lt; 3 mois",IF(H109&lt;6,"Péremption &lt; 6 mois",""))))</f>
        <v/>
      </c>
      <c r="J109" s="17" t="str">
        <f aca="false">IF(A109="","",IF(COUNTIF(Emplacements!$A$2:$A$1001,A109)=0,"⚠ emplacement inconnu","OK"))</f>
        <v/>
      </c>
      <c r="K109" s="22" t="str">
        <f aca="false">IF(AND(B109&lt;&gt;"",ISNUMBER(SEARCH(Recherche!$C$3,C109&amp;" "&amp;B109&amp;" "&amp;A109&amp;" "&amp;D109))),MAX($K$1:K108)+1,"")</f>
        <v/>
      </c>
    </row>
    <row r="110" customFormat="false" ht="15" hidden="false" customHeight="false" outlineLevel="0" collapsed="false">
      <c r="A110" s="12"/>
      <c r="B110" s="12"/>
      <c r="C110" s="17" t="str">
        <f aca="false">IF(B110="","",IFERROR(INDEX(Produits!$F$2:$F$1001,MATCH(B110,Produits!$A$2:$A$1001,0)),"⚠ code article inconnu"))</f>
        <v/>
      </c>
      <c r="D110" s="12"/>
      <c r="E110" s="23"/>
      <c r="F110" s="24"/>
      <c r="G110" s="23"/>
      <c r="H110" s="21" t="str">
        <f aca="true">IF(E110="","",ROUND((E110-TODAY())/30.4,1))</f>
        <v/>
      </c>
      <c r="I110" s="17" t="str">
        <f aca="false">IF(E110="","",IF(H110&lt;0,IF(LEFT(A110,1)="Q","Périmé (en quarantaine)","PÉRIMÉ → déplacer en zone Q"),IF(H110&lt;3,"Péremption &lt; 3 mois",IF(H110&lt;6,"Péremption &lt; 6 mois",""))))</f>
        <v/>
      </c>
      <c r="J110" s="17" t="str">
        <f aca="false">IF(A110="","",IF(COUNTIF(Emplacements!$A$2:$A$1001,A110)=0,"⚠ emplacement inconnu","OK"))</f>
        <v/>
      </c>
      <c r="K110" s="22" t="str">
        <f aca="false">IF(AND(B110&lt;&gt;"",ISNUMBER(SEARCH(Recherche!$C$3,C110&amp;" "&amp;B110&amp;" "&amp;A110&amp;" "&amp;D110))),MAX($K$1:K109)+1,"")</f>
        <v/>
      </c>
    </row>
    <row r="111" customFormat="false" ht="15" hidden="false" customHeight="false" outlineLevel="0" collapsed="false">
      <c r="A111" s="12"/>
      <c r="B111" s="12"/>
      <c r="C111" s="17" t="str">
        <f aca="false">IF(B111="","",IFERROR(INDEX(Produits!$F$2:$F$1001,MATCH(B111,Produits!$A$2:$A$1001,0)),"⚠ code article inconnu"))</f>
        <v/>
      </c>
      <c r="D111" s="12"/>
      <c r="E111" s="23"/>
      <c r="F111" s="24"/>
      <c r="G111" s="23"/>
      <c r="H111" s="21" t="str">
        <f aca="true">IF(E111="","",ROUND((E111-TODAY())/30.4,1))</f>
        <v/>
      </c>
      <c r="I111" s="17" t="str">
        <f aca="false">IF(E111="","",IF(H111&lt;0,IF(LEFT(A111,1)="Q","Périmé (en quarantaine)","PÉRIMÉ → déplacer en zone Q"),IF(H111&lt;3,"Péremption &lt; 3 mois",IF(H111&lt;6,"Péremption &lt; 6 mois",""))))</f>
        <v/>
      </c>
      <c r="J111" s="17" t="str">
        <f aca="false">IF(A111="","",IF(COUNTIF(Emplacements!$A$2:$A$1001,A111)=0,"⚠ emplacement inconnu","OK"))</f>
        <v/>
      </c>
      <c r="K111" s="22" t="str">
        <f aca="false">IF(AND(B111&lt;&gt;"",ISNUMBER(SEARCH(Recherche!$C$3,C111&amp;" "&amp;B111&amp;" "&amp;A111&amp;" "&amp;D111))),MAX($K$1:K110)+1,"")</f>
        <v/>
      </c>
    </row>
    <row r="112" customFormat="false" ht="15" hidden="false" customHeight="false" outlineLevel="0" collapsed="false">
      <c r="A112" s="12"/>
      <c r="B112" s="12"/>
      <c r="C112" s="17" t="str">
        <f aca="false">IF(B112="","",IFERROR(INDEX(Produits!$F$2:$F$1001,MATCH(B112,Produits!$A$2:$A$1001,0)),"⚠ code article inconnu"))</f>
        <v/>
      </c>
      <c r="D112" s="12"/>
      <c r="E112" s="23"/>
      <c r="F112" s="24"/>
      <c r="G112" s="23"/>
      <c r="H112" s="21" t="str">
        <f aca="true">IF(E112="","",ROUND((E112-TODAY())/30.4,1))</f>
        <v/>
      </c>
      <c r="I112" s="17" t="str">
        <f aca="false">IF(E112="","",IF(H112&lt;0,IF(LEFT(A112,1)="Q","Périmé (en quarantaine)","PÉRIMÉ → déplacer en zone Q"),IF(H112&lt;3,"Péremption &lt; 3 mois",IF(H112&lt;6,"Péremption &lt; 6 mois",""))))</f>
        <v/>
      </c>
      <c r="J112" s="17" t="str">
        <f aca="false">IF(A112="","",IF(COUNTIF(Emplacements!$A$2:$A$1001,A112)=0,"⚠ emplacement inconnu","OK"))</f>
        <v/>
      </c>
      <c r="K112" s="22" t="str">
        <f aca="false">IF(AND(B112&lt;&gt;"",ISNUMBER(SEARCH(Recherche!$C$3,C112&amp;" "&amp;B112&amp;" "&amp;A112&amp;" "&amp;D112))),MAX($K$1:K111)+1,"")</f>
        <v/>
      </c>
    </row>
    <row r="113" customFormat="false" ht="15" hidden="false" customHeight="false" outlineLevel="0" collapsed="false">
      <c r="A113" s="12"/>
      <c r="B113" s="12"/>
      <c r="C113" s="17" t="str">
        <f aca="false">IF(B113="","",IFERROR(INDEX(Produits!$F$2:$F$1001,MATCH(B113,Produits!$A$2:$A$1001,0)),"⚠ code article inconnu"))</f>
        <v/>
      </c>
      <c r="D113" s="12"/>
      <c r="E113" s="23"/>
      <c r="F113" s="24"/>
      <c r="G113" s="23"/>
      <c r="H113" s="21" t="str">
        <f aca="true">IF(E113="","",ROUND((E113-TODAY())/30.4,1))</f>
        <v/>
      </c>
      <c r="I113" s="17" t="str">
        <f aca="false">IF(E113="","",IF(H113&lt;0,IF(LEFT(A113,1)="Q","Périmé (en quarantaine)","PÉRIMÉ → déplacer en zone Q"),IF(H113&lt;3,"Péremption &lt; 3 mois",IF(H113&lt;6,"Péremption &lt; 6 mois",""))))</f>
        <v/>
      </c>
      <c r="J113" s="17" t="str">
        <f aca="false">IF(A113="","",IF(COUNTIF(Emplacements!$A$2:$A$1001,A113)=0,"⚠ emplacement inconnu","OK"))</f>
        <v/>
      </c>
      <c r="K113" s="22" t="str">
        <f aca="false">IF(AND(B113&lt;&gt;"",ISNUMBER(SEARCH(Recherche!$C$3,C113&amp;" "&amp;B113&amp;" "&amp;A113&amp;" "&amp;D113))),MAX($K$1:K112)+1,"")</f>
        <v/>
      </c>
    </row>
    <row r="114" customFormat="false" ht="15" hidden="false" customHeight="false" outlineLevel="0" collapsed="false">
      <c r="A114" s="12"/>
      <c r="B114" s="12"/>
      <c r="C114" s="17" t="str">
        <f aca="false">IF(B114="","",IFERROR(INDEX(Produits!$F$2:$F$1001,MATCH(B114,Produits!$A$2:$A$1001,0)),"⚠ code article inconnu"))</f>
        <v/>
      </c>
      <c r="D114" s="12"/>
      <c r="E114" s="23"/>
      <c r="F114" s="24"/>
      <c r="G114" s="23"/>
      <c r="H114" s="21" t="str">
        <f aca="true">IF(E114="","",ROUND((E114-TODAY())/30.4,1))</f>
        <v/>
      </c>
      <c r="I114" s="17" t="str">
        <f aca="false">IF(E114="","",IF(H114&lt;0,IF(LEFT(A114,1)="Q","Périmé (en quarantaine)","PÉRIMÉ → déplacer en zone Q"),IF(H114&lt;3,"Péremption &lt; 3 mois",IF(H114&lt;6,"Péremption &lt; 6 mois",""))))</f>
        <v/>
      </c>
      <c r="J114" s="17" t="str">
        <f aca="false">IF(A114="","",IF(COUNTIF(Emplacements!$A$2:$A$1001,A114)=0,"⚠ emplacement inconnu","OK"))</f>
        <v/>
      </c>
      <c r="K114" s="22" t="str">
        <f aca="false">IF(AND(B114&lt;&gt;"",ISNUMBER(SEARCH(Recherche!$C$3,C114&amp;" "&amp;B114&amp;" "&amp;A114&amp;" "&amp;D114))),MAX($K$1:K113)+1,"")</f>
        <v/>
      </c>
    </row>
    <row r="115" customFormat="false" ht="15" hidden="false" customHeight="false" outlineLevel="0" collapsed="false">
      <c r="A115" s="12"/>
      <c r="B115" s="12"/>
      <c r="C115" s="17" t="str">
        <f aca="false">IF(B115="","",IFERROR(INDEX(Produits!$F$2:$F$1001,MATCH(B115,Produits!$A$2:$A$1001,0)),"⚠ code article inconnu"))</f>
        <v/>
      </c>
      <c r="D115" s="12"/>
      <c r="E115" s="23"/>
      <c r="F115" s="24"/>
      <c r="G115" s="23"/>
      <c r="H115" s="21" t="str">
        <f aca="true">IF(E115="","",ROUND((E115-TODAY())/30.4,1))</f>
        <v/>
      </c>
      <c r="I115" s="17" t="str">
        <f aca="false">IF(E115="","",IF(H115&lt;0,IF(LEFT(A115,1)="Q","Périmé (en quarantaine)","PÉRIMÉ → déplacer en zone Q"),IF(H115&lt;3,"Péremption &lt; 3 mois",IF(H115&lt;6,"Péremption &lt; 6 mois",""))))</f>
        <v/>
      </c>
      <c r="J115" s="17" t="str">
        <f aca="false">IF(A115="","",IF(COUNTIF(Emplacements!$A$2:$A$1001,A115)=0,"⚠ emplacement inconnu","OK"))</f>
        <v/>
      </c>
      <c r="K115" s="22" t="str">
        <f aca="false">IF(AND(B115&lt;&gt;"",ISNUMBER(SEARCH(Recherche!$C$3,C115&amp;" "&amp;B115&amp;" "&amp;A115&amp;" "&amp;D115))),MAX($K$1:K114)+1,"")</f>
        <v/>
      </c>
    </row>
    <row r="116" customFormat="false" ht="15" hidden="false" customHeight="false" outlineLevel="0" collapsed="false">
      <c r="A116" s="12"/>
      <c r="B116" s="12"/>
      <c r="C116" s="17" t="str">
        <f aca="false">IF(B116="","",IFERROR(INDEX(Produits!$F$2:$F$1001,MATCH(B116,Produits!$A$2:$A$1001,0)),"⚠ code article inconnu"))</f>
        <v/>
      </c>
      <c r="D116" s="12"/>
      <c r="E116" s="23"/>
      <c r="F116" s="24"/>
      <c r="G116" s="23"/>
      <c r="H116" s="21" t="str">
        <f aca="true">IF(E116="","",ROUND((E116-TODAY())/30.4,1))</f>
        <v/>
      </c>
      <c r="I116" s="17" t="str">
        <f aca="false">IF(E116="","",IF(H116&lt;0,IF(LEFT(A116,1)="Q","Périmé (en quarantaine)","PÉRIMÉ → déplacer en zone Q"),IF(H116&lt;3,"Péremption &lt; 3 mois",IF(H116&lt;6,"Péremption &lt; 6 mois",""))))</f>
        <v/>
      </c>
      <c r="J116" s="17" t="str">
        <f aca="false">IF(A116="","",IF(COUNTIF(Emplacements!$A$2:$A$1001,A116)=0,"⚠ emplacement inconnu","OK"))</f>
        <v/>
      </c>
      <c r="K116" s="22" t="str">
        <f aca="false">IF(AND(B116&lt;&gt;"",ISNUMBER(SEARCH(Recherche!$C$3,C116&amp;" "&amp;B116&amp;" "&amp;A116&amp;" "&amp;D116))),MAX($K$1:K115)+1,"")</f>
        <v/>
      </c>
    </row>
    <row r="117" customFormat="false" ht="15" hidden="false" customHeight="false" outlineLevel="0" collapsed="false">
      <c r="A117" s="12"/>
      <c r="B117" s="12"/>
      <c r="C117" s="17" t="str">
        <f aca="false">IF(B117="","",IFERROR(INDEX(Produits!$F$2:$F$1001,MATCH(B117,Produits!$A$2:$A$1001,0)),"⚠ code article inconnu"))</f>
        <v/>
      </c>
      <c r="D117" s="12"/>
      <c r="E117" s="23"/>
      <c r="F117" s="24"/>
      <c r="G117" s="23"/>
      <c r="H117" s="21" t="str">
        <f aca="true">IF(E117="","",ROUND((E117-TODAY())/30.4,1))</f>
        <v/>
      </c>
      <c r="I117" s="17" t="str">
        <f aca="false">IF(E117="","",IF(H117&lt;0,IF(LEFT(A117,1)="Q","Périmé (en quarantaine)","PÉRIMÉ → déplacer en zone Q"),IF(H117&lt;3,"Péremption &lt; 3 mois",IF(H117&lt;6,"Péremption &lt; 6 mois",""))))</f>
        <v/>
      </c>
      <c r="J117" s="17" t="str">
        <f aca="false">IF(A117="","",IF(COUNTIF(Emplacements!$A$2:$A$1001,A117)=0,"⚠ emplacement inconnu","OK"))</f>
        <v/>
      </c>
      <c r="K117" s="22" t="str">
        <f aca="false">IF(AND(B117&lt;&gt;"",ISNUMBER(SEARCH(Recherche!$C$3,C117&amp;" "&amp;B117&amp;" "&amp;A117&amp;" "&amp;D117))),MAX($K$1:K116)+1,"")</f>
        <v/>
      </c>
    </row>
    <row r="118" customFormat="false" ht="15" hidden="false" customHeight="false" outlineLevel="0" collapsed="false">
      <c r="A118" s="12"/>
      <c r="B118" s="12"/>
      <c r="C118" s="17" t="str">
        <f aca="false">IF(B118="","",IFERROR(INDEX(Produits!$F$2:$F$1001,MATCH(B118,Produits!$A$2:$A$1001,0)),"⚠ code article inconnu"))</f>
        <v/>
      </c>
      <c r="D118" s="12"/>
      <c r="E118" s="23"/>
      <c r="F118" s="24"/>
      <c r="G118" s="23"/>
      <c r="H118" s="21" t="str">
        <f aca="true">IF(E118="","",ROUND((E118-TODAY())/30.4,1))</f>
        <v/>
      </c>
      <c r="I118" s="17" t="str">
        <f aca="false">IF(E118="","",IF(H118&lt;0,IF(LEFT(A118,1)="Q","Périmé (en quarantaine)","PÉRIMÉ → déplacer en zone Q"),IF(H118&lt;3,"Péremption &lt; 3 mois",IF(H118&lt;6,"Péremption &lt; 6 mois",""))))</f>
        <v/>
      </c>
      <c r="J118" s="17" t="str">
        <f aca="false">IF(A118="","",IF(COUNTIF(Emplacements!$A$2:$A$1001,A118)=0,"⚠ emplacement inconnu","OK"))</f>
        <v/>
      </c>
      <c r="K118" s="22" t="str">
        <f aca="false">IF(AND(B118&lt;&gt;"",ISNUMBER(SEARCH(Recherche!$C$3,C118&amp;" "&amp;B118&amp;" "&amp;A118&amp;" "&amp;D118))),MAX($K$1:K117)+1,"")</f>
        <v/>
      </c>
    </row>
    <row r="119" customFormat="false" ht="15" hidden="false" customHeight="false" outlineLevel="0" collapsed="false">
      <c r="A119" s="12"/>
      <c r="B119" s="12"/>
      <c r="C119" s="17" t="str">
        <f aca="false">IF(B119="","",IFERROR(INDEX(Produits!$F$2:$F$1001,MATCH(B119,Produits!$A$2:$A$1001,0)),"⚠ code article inconnu"))</f>
        <v/>
      </c>
      <c r="D119" s="12"/>
      <c r="E119" s="23"/>
      <c r="F119" s="24"/>
      <c r="G119" s="23"/>
      <c r="H119" s="21" t="str">
        <f aca="true">IF(E119="","",ROUND((E119-TODAY())/30.4,1))</f>
        <v/>
      </c>
      <c r="I119" s="17" t="str">
        <f aca="false">IF(E119="","",IF(H119&lt;0,IF(LEFT(A119,1)="Q","Périmé (en quarantaine)","PÉRIMÉ → déplacer en zone Q"),IF(H119&lt;3,"Péremption &lt; 3 mois",IF(H119&lt;6,"Péremption &lt; 6 mois",""))))</f>
        <v/>
      </c>
      <c r="J119" s="17" t="str">
        <f aca="false">IF(A119="","",IF(COUNTIF(Emplacements!$A$2:$A$1001,A119)=0,"⚠ emplacement inconnu","OK"))</f>
        <v/>
      </c>
      <c r="K119" s="22" t="str">
        <f aca="false">IF(AND(B119&lt;&gt;"",ISNUMBER(SEARCH(Recherche!$C$3,C119&amp;" "&amp;B119&amp;" "&amp;A119&amp;" "&amp;D119))),MAX($K$1:K118)+1,"")</f>
        <v/>
      </c>
    </row>
    <row r="120" customFormat="false" ht="15" hidden="false" customHeight="false" outlineLevel="0" collapsed="false">
      <c r="A120" s="12"/>
      <c r="B120" s="12"/>
      <c r="C120" s="17" t="str">
        <f aca="false">IF(B120="","",IFERROR(INDEX(Produits!$F$2:$F$1001,MATCH(B120,Produits!$A$2:$A$1001,0)),"⚠ code article inconnu"))</f>
        <v/>
      </c>
      <c r="D120" s="12"/>
      <c r="E120" s="23"/>
      <c r="F120" s="24"/>
      <c r="G120" s="23"/>
      <c r="H120" s="21" t="str">
        <f aca="true">IF(E120="","",ROUND((E120-TODAY())/30.4,1))</f>
        <v/>
      </c>
      <c r="I120" s="17" t="str">
        <f aca="false">IF(E120="","",IF(H120&lt;0,IF(LEFT(A120,1)="Q","Périmé (en quarantaine)","PÉRIMÉ → déplacer en zone Q"),IF(H120&lt;3,"Péremption &lt; 3 mois",IF(H120&lt;6,"Péremption &lt; 6 mois",""))))</f>
        <v/>
      </c>
      <c r="J120" s="17" t="str">
        <f aca="false">IF(A120="","",IF(COUNTIF(Emplacements!$A$2:$A$1001,A120)=0,"⚠ emplacement inconnu","OK"))</f>
        <v/>
      </c>
      <c r="K120" s="22" t="str">
        <f aca="false">IF(AND(B120&lt;&gt;"",ISNUMBER(SEARCH(Recherche!$C$3,C120&amp;" "&amp;B120&amp;" "&amp;A120&amp;" "&amp;D120))),MAX($K$1:K119)+1,"")</f>
        <v/>
      </c>
    </row>
    <row r="121" customFormat="false" ht="15" hidden="false" customHeight="false" outlineLevel="0" collapsed="false">
      <c r="A121" s="12"/>
      <c r="B121" s="12"/>
      <c r="C121" s="17" t="str">
        <f aca="false">IF(B121="","",IFERROR(INDEX(Produits!$F$2:$F$1001,MATCH(B121,Produits!$A$2:$A$1001,0)),"⚠ code article inconnu"))</f>
        <v/>
      </c>
      <c r="D121" s="12"/>
      <c r="E121" s="23"/>
      <c r="F121" s="24"/>
      <c r="G121" s="23"/>
      <c r="H121" s="21" t="str">
        <f aca="true">IF(E121="","",ROUND((E121-TODAY())/30.4,1))</f>
        <v/>
      </c>
      <c r="I121" s="17" t="str">
        <f aca="false">IF(E121="","",IF(H121&lt;0,IF(LEFT(A121,1)="Q","Périmé (en quarantaine)","PÉRIMÉ → déplacer en zone Q"),IF(H121&lt;3,"Péremption &lt; 3 mois",IF(H121&lt;6,"Péremption &lt; 6 mois",""))))</f>
        <v/>
      </c>
      <c r="J121" s="17" t="str">
        <f aca="false">IF(A121="","",IF(COUNTIF(Emplacements!$A$2:$A$1001,A121)=0,"⚠ emplacement inconnu","OK"))</f>
        <v/>
      </c>
      <c r="K121" s="22" t="str">
        <f aca="false">IF(AND(B121&lt;&gt;"",ISNUMBER(SEARCH(Recherche!$C$3,C121&amp;" "&amp;B121&amp;" "&amp;A121&amp;" "&amp;D121))),MAX($K$1:K120)+1,"")</f>
        <v/>
      </c>
    </row>
    <row r="122" customFormat="false" ht="15" hidden="false" customHeight="false" outlineLevel="0" collapsed="false">
      <c r="A122" s="12"/>
      <c r="B122" s="12"/>
      <c r="C122" s="17" t="str">
        <f aca="false">IF(B122="","",IFERROR(INDEX(Produits!$F$2:$F$1001,MATCH(B122,Produits!$A$2:$A$1001,0)),"⚠ code article inconnu"))</f>
        <v/>
      </c>
      <c r="D122" s="12"/>
      <c r="E122" s="23"/>
      <c r="F122" s="24"/>
      <c r="G122" s="23"/>
      <c r="H122" s="21" t="str">
        <f aca="true">IF(E122="","",ROUND((E122-TODAY())/30.4,1))</f>
        <v/>
      </c>
      <c r="I122" s="17" t="str">
        <f aca="false">IF(E122="","",IF(H122&lt;0,IF(LEFT(A122,1)="Q","Périmé (en quarantaine)","PÉRIMÉ → déplacer en zone Q"),IF(H122&lt;3,"Péremption &lt; 3 mois",IF(H122&lt;6,"Péremption &lt; 6 mois",""))))</f>
        <v/>
      </c>
      <c r="J122" s="17" t="str">
        <f aca="false">IF(A122="","",IF(COUNTIF(Emplacements!$A$2:$A$1001,A122)=0,"⚠ emplacement inconnu","OK"))</f>
        <v/>
      </c>
      <c r="K122" s="22" t="str">
        <f aca="false">IF(AND(B122&lt;&gt;"",ISNUMBER(SEARCH(Recherche!$C$3,C122&amp;" "&amp;B122&amp;" "&amp;A122&amp;" "&amp;D122))),MAX($K$1:K121)+1,"")</f>
        <v/>
      </c>
    </row>
    <row r="123" customFormat="false" ht="15" hidden="false" customHeight="false" outlineLevel="0" collapsed="false">
      <c r="A123" s="12"/>
      <c r="B123" s="12"/>
      <c r="C123" s="17" t="str">
        <f aca="false">IF(B123="","",IFERROR(INDEX(Produits!$F$2:$F$1001,MATCH(B123,Produits!$A$2:$A$1001,0)),"⚠ code article inconnu"))</f>
        <v/>
      </c>
      <c r="D123" s="12"/>
      <c r="E123" s="23"/>
      <c r="F123" s="24"/>
      <c r="G123" s="23"/>
      <c r="H123" s="21" t="str">
        <f aca="true">IF(E123="","",ROUND((E123-TODAY())/30.4,1))</f>
        <v/>
      </c>
      <c r="I123" s="17" t="str">
        <f aca="false">IF(E123="","",IF(H123&lt;0,IF(LEFT(A123,1)="Q","Périmé (en quarantaine)","PÉRIMÉ → déplacer en zone Q"),IF(H123&lt;3,"Péremption &lt; 3 mois",IF(H123&lt;6,"Péremption &lt; 6 mois",""))))</f>
        <v/>
      </c>
      <c r="J123" s="17" t="str">
        <f aca="false">IF(A123="","",IF(COUNTIF(Emplacements!$A$2:$A$1001,A123)=0,"⚠ emplacement inconnu","OK"))</f>
        <v/>
      </c>
      <c r="K123" s="22" t="str">
        <f aca="false">IF(AND(B123&lt;&gt;"",ISNUMBER(SEARCH(Recherche!$C$3,C123&amp;" "&amp;B123&amp;" "&amp;A123&amp;" "&amp;D123))),MAX($K$1:K122)+1,"")</f>
        <v/>
      </c>
    </row>
    <row r="124" customFormat="false" ht="15" hidden="false" customHeight="false" outlineLevel="0" collapsed="false">
      <c r="A124" s="12"/>
      <c r="B124" s="12"/>
      <c r="C124" s="17" t="str">
        <f aca="false">IF(B124="","",IFERROR(INDEX(Produits!$F$2:$F$1001,MATCH(B124,Produits!$A$2:$A$1001,0)),"⚠ code article inconnu"))</f>
        <v/>
      </c>
      <c r="D124" s="12"/>
      <c r="E124" s="23"/>
      <c r="F124" s="24"/>
      <c r="G124" s="23"/>
      <c r="H124" s="21" t="str">
        <f aca="true">IF(E124="","",ROUND((E124-TODAY())/30.4,1))</f>
        <v/>
      </c>
      <c r="I124" s="17" t="str">
        <f aca="false">IF(E124="","",IF(H124&lt;0,IF(LEFT(A124,1)="Q","Périmé (en quarantaine)","PÉRIMÉ → déplacer en zone Q"),IF(H124&lt;3,"Péremption &lt; 3 mois",IF(H124&lt;6,"Péremption &lt; 6 mois",""))))</f>
        <v/>
      </c>
      <c r="J124" s="17" t="str">
        <f aca="false">IF(A124="","",IF(COUNTIF(Emplacements!$A$2:$A$1001,A124)=0,"⚠ emplacement inconnu","OK"))</f>
        <v/>
      </c>
      <c r="K124" s="22" t="str">
        <f aca="false">IF(AND(B124&lt;&gt;"",ISNUMBER(SEARCH(Recherche!$C$3,C124&amp;" "&amp;B124&amp;" "&amp;A124&amp;" "&amp;D124))),MAX($K$1:K123)+1,"")</f>
        <v/>
      </c>
    </row>
    <row r="125" customFormat="false" ht="15" hidden="false" customHeight="false" outlineLevel="0" collapsed="false">
      <c r="A125" s="12"/>
      <c r="B125" s="12"/>
      <c r="C125" s="17" t="str">
        <f aca="false">IF(B125="","",IFERROR(INDEX(Produits!$F$2:$F$1001,MATCH(B125,Produits!$A$2:$A$1001,0)),"⚠ code article inconnu"))</f>
        <v/>
      </c>
      <c r="D125" s="12"/>
      <c r="E125" s="23"/>
      <c r="F125" s="24"/>
      <c r="G125" s="23"/>
      <c r="H125" s="21" t="str">
        <f aca="true">IF(E125="","",ROUND((E125-TODAY())/30.4,1))</f>
        <v/>
      </c>
      <c r="I125" s="17" t="str">
        <f aca="false">IF(E125="","",IF(H125&lt;0,IF(LEFT(A125,1)="Q","Périmé (en quarantaine)","PÉRIMÉ → déplacer en zone Q"),IF(H125&lt;3,"Péremption &lt; 3 mois",IF(H125&lt;6,"Péremption &lt; 6 mois",""))))</f>
        <v/>
      </c>
      <c r="J125" s="17" t="str">
        <f aca="false">IF(A125="","",IF(COUNTIF(Emplacements!$A$2:$A$1001,A125)=0,"⚠ emplacement inconnu","OK"))</f>
        <v/>
      </c>
      <c r="K125" s="22" t="str">
        <f aca="false">IF(AND(B125&lt;&gt;"",ISNUMBER(SEARCH(Recherche!$C$3,C125&amp;" "&amp;B125&amp;" "&amp;A125&amp;" "&amp;D125))),MAX($K$1:K124)+1,"")</f>
        <v/>
      </c>
    </row>
    <row r="126" customFormat="false" ht="15" hidden="false" customHeight="false" outlineLevel="0" collapsed="false">
      <c r="A126" s="12"/>
      <c r="B126" s="12"/>
      <c r="C126" s="17" t="str">
        <f aca="false">IF(B126="","",IFERROR(INDEX(Produits!$F$2:$F$1001,MATCH(B126,Produits!$A$2:$A$1001,0)),"⚠ code article inconnu"))</f>
        <v/>
      </c>
      <c r="D126" s="12"/>
      <c r="E126" s="23"/>
      <c r="F126" s="24"/>
      <c r="G126" s="23"/>
      <c r="H126" s="21" t="str">
        <f aca="true">IF(E126="","",ROUND((E126-TODAY())/30.4,1))</f>
        <v/>
      </c>
      <c r="I126" s="17" t="str">
        <f aca="false">IF(E126="","",IF(H126&lt;0,IF(LEFT(A126,1)="Q","Périmé (en quarantaine)","PÉRIMÉ → déplacer en zone Q"),IF(H126&lt;3,"Péremption &lt; 3 mois",IF(H126&lt;6,"Péremption &lt; 6 mois",""))))</f>
        <v/>
      </c>
      <c r="J126" s="17" t="str">
        <f aca="false">IF(A126="","",IF(COUNTIF(Emplacements!$A$2:$A$1001,A126)=0,"⚠ emplacement inconnu","OK"))</f>
        <v/>
      </c>
      <c r="K126" s="22" t="str">
        <f aca="false">IF(AND(B126&lt;&gt;"",ISNUMBER(SEARCH(Recherche!$C$3,C126&amp;" "&amp;B126&amp;" "&amp;A126&amp;" "&amp;D126))),MAX($K$1:K125)+1,"")</f>
        <v/>
      </c>
    </row>
    <row r="127" customFormat="false" ht="15" hidden="false" customHeight="false" outlineLevel="0" collapsed="false">
      <c r="A127" s="12"/>
      <c r="B127" s="12"/>
      <c r="C127" s="17" t="str">
        <f aca="false">IF(B127="","",IFERROR(INDEX(Produits!$F$2:$F$1001,MATCH(B127,Produits!$A$2:$A$1001,0)),"⚠ code article inconnu"))</f>
        <v/>
      </c>
      <c r="D127" s="12"/>
      <c r="E127" s="23"/>
      <c r="F127" s="24"/>
      <c r="G127" s="23"/>
      <c r="H127" s="21" t="str">
        <f aca="true">IF(E127="","",ROUND((E127-TODAY())/30.4,1))</f>
        <v/>
      </c>
      <c r="I127" s="17" t="str">
        <f aca="false">IF(E127="","",IF(H127&lt;0,IF(LEFT(A127,1)="Q","Périmé (en quarantaine)","PÉRIMÉ → déplacer en zone Q"),IF(H127&lt;3,"Péremption &lt; 3 mois",IF(H127&lt;6,"Péremption &lt; 6 mois",""))))</f>
        <v/>
      </c>
      <c r="J127" s="17" t="str">
        <f aca="false">IF(A127="","",IF(COUNTIF(Emplacements!$A$2:$A$1001,A127)=0,"⚠ emplacement inconnu","OK"))</f>
        <v/>
      </c>
      <c r="K127" s="22" t="str">
        <f aca="false">IF(AND(B127&lt;&gt;"",ISNUMBER(SEARCH(Recherche!$C$3,C127&amp;" "&amp;B127&amp;" "&amp;A127&amp;" "&amp;D127))),MAX($K$1:K126)+1,"")</f>
        <v/>
      </c>
    </row>
    <row r="128" customFormat="false" ht="15" hidden="false" customHeight="false" outlineLevel="0" collapsed="false">
      <c r="A128" s="12"/>
      <c r="B128" s="12"/>
      <c r="C128" s="17" t="str">
        <f aca="false">IF(B128="","",IFERROR(INDEX(Produits!$F$2:$F$1001,MATCH(B128,Produits!$A$2:$A$1001,0)),"⚠ code article inconnu"))</f>
        <v/>
      </c>
      <c r="D128" s="12"/>
      <c r="E128" s="23"/>
      <c r="F128" s="24"/>
      <c r="G128" s="23"/>
      <c r="H128" s="21" t="str">
        <f aca="true">IF(E128="","",ROUND((E128-TODAY())/30.4,1))</f>
        <v/>
      </c>
      <c r="I128" s="17" t="str">
        <f aca="false">IF(E128="","",IF(H128&lt;0,IF(LEFT(A128,1)="Q","Périmé (en quarantaine)","PÉRIMÉ → déplacer en zone Q"),IF(H128&lt;3,"Péremption &lt; 3 mois",IF(H128&lt;6,"Péremption &lt; 6 mois",""))))</f>
        <v/>
      </c>
      <c r="J128" s="17" t="str">
        <f aca="false">IF(A128="","",IF(COUNTIF(Emplacements!$A$2:$A$1001,A128)=0,"⚠ emplacement inconnu","OK"))</f>
        <v/>
      </c>
      <c r="K128" s="22" t="str">
        <f aca="false">IF(AND(B128&lt;&gt;"",ISNUMBER(SEARCH(Recherche!$C$3,C128&amp;" "&amp;B128&amp;" "&amp;A128&amp;" "&amp;D128))),MAX($K$1:K127)+1,"")</f>
        <v/>
      </c>
    </row>
    <row r="129" customFormat="false" ht="15" hidden="false" customHeight="false" outlineLevel="0" collapsed="false">
      <c r="A129" s="12"/>
      <c r="B129" s="12"/>
      <c r="C129" s="17" t="str">
        <f aca="false">IF(B129="","",IFERROR(INDEX(Produits!$F$2:$F$1001,MATCH(B129,Produits!$A$2:$A$1001,0)),"⚠ code article inconnu"))</f>
        <v/>
      </c>
      <c r="D129" s="12"/>
      <c r="E129" s="23"/>
      <c r="F129" s="24"/>
      <c r="G129" s="23"/>
      <c r="H129" s="21" t="str">
        <f aca="true">IF(E129="","",ROUND((E129-TODAY())/30.4,1))</f>
        <v/>
      </c>
      <c r="I129" s="17" t="str">
        <f aca="false">IF(E129="","",IF(H129&lt;0,IF(LEFT(A129,1)="Q","Périmé (en quarantaine)","PÉRIMÉ → déplacer en zone Q"),IF(H129&lt;3,"Péremption &lt; 3 mois",IF(H129&lt;6,"Péremption &lt; 6 mois",""))))</f>
        <v/>
      </c>
      <c r="J129" s="17" t="str">
        <f aca="false">IF(A129="","",IF(COUNTIF(Emplacements!$A$2:$A$1001,A129)=0,"⚠ emplacement inconnu","OK"))</f>
        <v/>
      </c>
      <c r="K129" s="22" t="str">
        <f aca="false">IF(AND(B129&lt;&gt;"",ISNUMBER(SEARCH(Recherche!$C$3,C129&amp;" "&amp;B129&amp;" "&amp;A129&amp;" "&amp;D129))),MAX($K$1:K128)+1,"")</f>
        <v/>
      </c>
    </row>
    <row r="130" customFormat="false" ht="15" hidden="false" customHeight="false" outlineLevel="0" collapsed="false">
      <c r="A130" s="12"/>
      <c r="B130" s="12"/>
      <c r="C130" s="17" t="str">
        <f aca="false">IF(B130="","",IFERROR(INDEX(Produits!$F$2:$F$1001,MATCH(B130,Produits!$A$2:$A$1001,0)),"⚠ code article inconnu"))</f>
        <v/>
      </c>
      <c r="D130" s="12"/>
      <c r="E130" s="23"/>
      <c r="F130" s="24"/>
      <c r="G130" s="23"/>
      <c r="H130" s="21" t="str">
        <f aca="true">IF(E130="","",ROUND((E130-TODAY())/30.4,1))</f>
        <v/>
      </c>
      <c r="I130" s="17" t="str">
        <f aca="false">IF(E130="","",IF(H130&lt;0,IF(LEFT(A130,1)="Q","Périmé (en quarantaine)","PÉRIMÉ → déplacer en zone Q"),IF(H130&lt;3,"Péremption &lt; 3 mois",IF(H130&lt;6,"Péremption &lt; 6 mois",""))))</f>
        <v/>
      </c>
      <c r="J130" s="17" t="str">
        <f aca="false">IF(A130="","",IF(COUNTIF(Emplacements!$A$2:$A$1001,A130)=0,"⚠ emplacement inconnu","OK"))</f>
        <v/>
      </c>
      <c r="K130" s="22" t="str">
        <f aca="false">IF(AND(B130&lt;&gt;"",ISNUMBER(SEARCH(Recherche!$C$3,C130&amp;" "&amp;B130&amp;" "&amp;A130&amp;" "&amp;D130))),MAX($K$1:K129)+1,"")</f>
        <v/>
      </c>
    </row>
    <row r="131" customFormat="false" ht="15" hidden="false" customHeight="false" outlineLevel="0" collapsed="false">
      <c r="A131" s="12"/>
      <c r="B131" s="12"/>
      <c r="C131" s="17" t="str">
        <f aca="false">IF(B131="","",IFERROR(INDEX(Produits!$F$2:$F$1001,MATCH(B131,Produits!$A$2:$A$1001,0)),"⚠ code article inconnu"))</f>
        <v/>
      </c>
      <c r="D131" s="12"/>
      <c r="E131" s="23"/>
      <c r="F131" s="24"/>
      <c r="G131" s="23"/>
      <c r="H131" s="21" t="str">
        <f aca="true">IF(E131="","",ROUND((E131-TODAY())/30.4,1))</f>
        <v/>
      </c>
      <c r="I131" s="17" t="str">
        <f aca="false">IF(E131="","",IF(H131&lt;0,IF(LEFT(A131,1)="Q","Périmé (en quarantaine)","PÉRIMÉ → déplacer en zone Q"),IF(H131&lt;3,"Péremption &lt; 3 mois",IF(H131&lt;6,"Péremption &lt; 6 mois",""))))</f>
        <v/>
      </c>
      <c r="J131" s="17" t="str">
        <f aca="false">IF(A131="","",IF(COUNTIF(Emplacements!$A$2:$A$1001,A131)=0,"⚠ emplacement inconnu","OK"))</f>
        <v/>
      </c>
      <c r="K131" s="22" t="str">
        <f aca="false">IF(AND(B131&lt;&gt;"",ISNUMBER(SEARCH(Recherche!$C$3,C131&amp;" "&amp;B131&amp;" "&amp;A131&amp;" "&amp;D131))),MAX($K$1:K130)+1,"")</f>
        <v/>
      </c>
    </row>
    <row r="132" customFormat="false" ht="15" hidden="false" customHeight="false" outlineLevel="0" collapsed="false">
      <c r="A132" s="12"/>
      <c r="B132" s="12"/>
      <c r="C132" s="17" t="str">
        <f aca="false">IF(B132="","",IFERROR(INDEX(Produits!$F$2:$F$1001,MATCH(B132,Produits!$A$2:$A$1001,0)),"⚠ code article inconnu"))</f>
        <v/>
      </c>
      <c r="D132" s="12"/>
      <c r="E132" s="23"/>
      <c r="F132" s="24"/>
      <c r="G132" s="23"/>
      <c r="H132" s="21" t="str">
        <f aca="true">IF(E132="","",ROUND((E132-TODAY())/30.4,1))</f>
        <v/>
      </c>
      <c r="I132" s="17" t="str">
        <f aca="false">IF(E132="","",IF(H132&lt;0,IF(LEFT(A132,1)="Q","Périmé (en quarantaine)","PÉRIMÉ → déplacer en zone Q"),IF(H132&lt;3,"Péremption &lt; 3 mois",IF(H132&lt;6,"Péremption &lt; 6 mois",""))))</f>
        <v/>
      </c>
      <c r="J132" s="17" t="str">
        <f aca="false">IF(A132="","",IF(COUNTIF(Emplacements!$A$2:$A$1001,A132)=0,"⚠ emplacement inconnu","OK"))</f>
        <v/>
      </c>
      <c r="K132" s="22" t="str">
        <f aca="false">IF(AND(B132&lt;&gt;"",ISNUMBER(SEARCH(Recherche!$C$3,C132&amp;" "&amp;B132&amp;" "&amp;A132&amp;" "&amp;D132))),MAX($K$1:K131)+1,"")</f>
        <v/>
      </c>
    </row>
    <row r="133" customFormat="false" ht="15" hidden="false" customHeight="false" outlineLevel="0" collapsed="false">
      <c r="A133" s="12"/>
      <c r="B133" s="12"/>
      <c r="C133" s="17" t="str">
        <f aca="false">IF(B133="","",IFERROR(INDEX(Produits!$F$2:$F$1001,MATCH(B133,Produits!$A$2:$A$1001,0)),"⚠ code article inconnu"))</f>
        <v/>
      </c>
      <c r="D133" s="12"/>
      <c r="E133" s="23"/>
      <c r="F133" s="24"/>
      <c r="G133" s="23"/>
      <c r="H133" s="21" t="str">
        <f aca="true">IF(E133="","",ROUND((E133-TODAY())/30.4,1))</f>
        <v/>
      </c>
      <c r="I133" s="17" t="str">
        <f aca="false">IF(E133="","",IF(H133&lt;0,IF(LEFT(A133,1)="Q","Périmé (en quarantaine)","PÉRIMÉ → déplacer en zone Q"),IF(H133&lt;3,"Péremption &lt; 3 mois",IF(H133&lt;6,"Péremption &lt; 6 mois",""))))</f>
        <v/>
      </c>
      <c r="J133" s="17" t="str">
        <f aca="false">IF(A133="","",IF(COUNTIF(Emplacements!$A$2:$A$1001,A133)=0,"⚠ emplacement inconnu","OK"))</f>
        <v/>
      </c>
      <c r="K133" s="22" t="str">
        <f aca="false">IF(AND(B133&lt;&gt;"",ISNUMBER(SEARCH(Recherche!$C$3,C133&amp;" "&amp;B133&amp;" "&amp;A133&amp;" "&amp;D133))),MAX($K$1:K132)+1,"")</f>
        <v/>
      </c>
    </row>
    <row r="134" customFormat="false" ht="15" hidden="false" customHeight="false" outlineLevel="0" collapsed="false">
      <c r="A134" s="12"/>
      <c r="B134" s="12"/>
      <c r="C134" s="17" t="str">
        <f aca="false">IF(B134="","",IFERROR(INDEX(Produits!$F$2:$F$1001,MATCH(B134,Produits!$A$2:$A$1001,0)),"⚠ code article inconnu"))</f>
        <v/>
      </c>
      <c r="D134" s="12"/>
      <c r="E134" s="23"/>
      <c r="F134" s="24"/>
      <c r="G134" s="23"/>
      <c r="H134" s="21" t="str">
        <f aca="true">IF(E134="","",ROUND((E134-TODAY())/30.4,1))</f>
        <v/>
      </c>
      <c r="I134" s="17" t="str">
        <f aca="false">IF(E134="","",IF(H134&lt;0,IF(LEFT(A134,1)="Q","Périmé (en quarantaine)","PÉRIMÉ → déplacer en zone Q"),IF(H134&lt;3,"Péremption &lt; 3 mois",IF(H134&lt;6,"Péremption &lt; 6 mois",""))))</f>
        <v/>
      </c>
      <c r="J134" s="17" t="str">
        <f aca="false">IF(A134="","",IF(COUNTIF(Emplacements!$A$2:$A$1001,A134)=0,"⚠ emplacement inconnu","OK"))</f>
        <v/>
      </c>
      <c r="K134" s="22" t="str">
        <f aca="false">IF(AND(B134&lt;&gt;"",ISNUMBER(SEARCH(Recherche!$C$3,C134&amp;" "&amp;B134&amp;" "&amp;A134&amp;" "&amp;D134))),MAX($K$1:K133)+1,"")</f>
        <v/>
      </c>
    </row>
    <row r="135" customFormat="false" ht="15" hidden="false" customHeight="false" outlineLevel="0" collapsed="false">
      <c r="A135" s="12"/>
      <c r="B135" s="12"/>
      <c r="C135" s="17" t="str">
        <f aca="false">IF(B135="","",IFERROR(INDEX(Produits!$F$2:$F$1001,MATCH(B135,Produits!$A$2:$A$1001,0)),"⚠ code article inconnu"))</f>
        <v/>
      </c>
      <c r="D135" s="12"/>
      <c r="E135" s="23"/>
      <c r="F135" s="24"/>
      <c r="G135" s="23"/>
      <c r="H135" s="21" t="str">
        <f aca="true">IF(E135="","",ROUND((E135-TODAY())/30.4,1))</f>
        <v/>
      </c>
      <c r="I135" s="17" t="str">
        <f aca="false">IF(E135="","",IF(H135&lt;0,IF(LEFT(A135,1)="Q","Périmé (en quarantaine)","PÉRIMÉ → déplacer en zone Q"),IF(H135&lt;3,"Péremption &lt; 3 mois",IF(H135&lt;6,"Péremption &lt; 6 mois",""))))</f>
        <v/>
      </c>
      <c r="J135" s="17" t="str">
        <f aca="false">IF(A135="","",IF(COUNTIF(Emplacements!$A$2:$A$1001,A135)=0,"⚠ emplacement inconnu","OK"))</f>
        <v/>
      </c>
      <c r="K135" s="22" t="str">
        <f aca="false">IF(AND(B135&lt;&gt;"",ISNUMBER(SEARCH(Recherche!$C$3,C135&amp;" "&amp;B135&amp;" "&amp;A135&amp;" "&amp;D135))),MAX($K$1:K134)+1,"")</f>
        <v/>
      </c>
    </row>
    <row r="136" customFormat="false" ht="15" hidden="false" customHeight="false" outlineLevel="0" collapsed="false">
      <c r="A136" s="12"/>
      <c r="B136" s="12"/>
      <c r="C136" s="17" t="str">
        <f aca="false">IF(B136="","",IFERROR(INDEX(Produits!$F$2:$F$1001,MATCH(B136,Produits!$A$2:$A$1001,0)),"⚠ code article inconnu"))</f>
        <v/>
      </c>
      <c r="D136" s="12"/>
      <c r="E136" s="23"/>
      <c r="F136" s="24"/>
      <c r="G136" s="23"/>
      <c r="H136" s="21" t="str">
        <f aca="true">IF(E136="","",ROUND((E136-TODAY())/30.4,1))</f>
        <v/>
      </c>
      <c r="I136" s="17" t="str">
        <f aca="false">IF(E136="","",IF(H136&lt;0,IF(LEFT(A136,1)="Q","Périmé (en quarantaine)","PÉRIMÉ → déplacer en zone Q"),IF(H136&lt;3,"Péremption &lt; 3 mois",IF(H136&lt;6,"Péremption &lt; 6 mois",""))))</f>
        <v/>
      </c>
      <c r="J136" s="17" t="str">
        <f aca="false">IF(A136="","",IF(COUNTIF(Emplacements!$A$2:$A$1001,A136)=0,"⚠ emplacement inconnu","OK"))</f>
        <v/>
      </c>
      <c r="K136" s="22" t="str">
        <f aca="false">IF(AND(B136&lt;&gt;"",ISNUMBER(SEARCH(Recherche!$C$3,C136&amp;" "&amp;B136&amp;" "&amp;A136&amp;" "&amp;D136))),MAX($K$1:K135)+1,"")</f>
        <v/>
      </c>
    </row>
    <row r="137" customFormat="false" ht="15" hidden="false" customHeight="false" outlineLevel="0" collapsed="false">
      <c r="A137" s="12"/>
      <c r="B137" s="12"/>
      <c r="C137" s="17" t="str">
        <f aca="false">IF(B137="","",IFERROR(INDEX(Produits!$F$2:$F$1001,MATCH(B137,Produits!$A$2:$A$1001,0)),"⚠ code article inconnu"))</f>
        <v/>
      </c>
      <c r="D137" s="12"/>
      <c r="E137" s="23"/>
      <c r="F137" s="24"/>
      <c r="G137" s="23"/>
      <c r="H137" s="21" t="str">
        <f aca="true">IF(E137="","",ROUND((E137-TODAY())/30.4,1))</f>
        <v/>
      </c>
      <c r="I137" s="17" t="str">
        <f aca="false">IF(E137="","",IF(H137&lt;0,IF(LEFT(A137,1)="Q","Périmé (en quarantaine)","PÉRIMÉ → déplacer en zone Q"),IF(H137&lt;3,"Péremption &lt; 3 mois",IF(H137&lt;6,"Péremption &lt; 6 mois",""))))</f>
        <v/>
      </c>
      <c r="J137" s="17" t="str">
        <f aca="false">IF(A137="","",IF(COUNTIF(Emplacements!$A$2:$A$1001,A137)=0,"⚠ emplacement inconnu","OK"))</f>
        <v/>
      </c>
      <c r="K137" s="22" t="str">
        <f aca="false">IF(AND(B137&lt;&gt;"",ISNUMBER(SEARCH(Recherche!$C$3,C137&amp;" "&amp;B137&amp;" "&amp;A137&amp;" "&amp;D137))),MAX($K$1:K136)+1,"")</f>
        <v/>
      </c>
    </row>
    <row r="138" customFormat="false" ht="15" hidden="false" customHeight="false" outlineLevel="0" collapsed="false">
      <c r="A138" s="12"/>
      <c r="B138" s="12"/>
      <c r="C138" s="17" t="str">
        <f aca="false">IF(B138="","",IFERROR(INDEX(Produits!$F$2:$F$1001,MATCH(B138,Produits!$A$2:$A$1001,0)),"⚠ code article inconnu"))</f>
        <v/>
      </c>
      <c r="D138" s="12"/>
      <c r="E138" s="23"/>
      <c r="F138" s="24"/>
      <c r="G138" s="23"/>
      <c r="H138" s="21" t="str">
        <f aca="true">IF(E138="","",ROUND((E138-TODAY())/30.4,1))</f>
        <v/>
      </c>
      <c r="I138" s="17" t="str">
        <f aca="false">IF(E138="","",IF(H138&lt;0,IF(LEFT(A138,1)="Q","Périmé (en quarantaine)","PÉRIMÉ → déplacer en zone Q"),IF(H138&lt;3,"Péremption &lt; 3 mois",IF(H138&lt;6,"Péremption &lt; 6 mois",""))))</f>
        <v/>
      </c>
      <c r="J138" s="17" t="str">
        <f aca="false">IF(A138="","",IF(COUNTIF(Emplacements!$A$2:$A$1001,A138)=0,"⚠ emplacement inconnu","OK"))</f>
        <v/>
      </c>
      <c r="K138" s="22" t="str">
        <f aca="false">IF(AND(B138&lt;&gt;"",ISNUMBER(SEARCH(Recherche!$C$3,C138&amp;" "&amp;B138&amp;" "&amp;A138&amp;" "&amp;D138))),MAX($K$1:K137)+1,"")</f>
        <v/>
      </c>
    </row>
    <row r="139" customFormat="false" ht="15" hidden="false" customHeight="false" outlineLevel="0" collapsed="false">
      <c r="A139" s="12"/>
      <c r="B139" s="12"/>
      <c r="C139" s="17" t="str">
        <f aca="false">IF(B139="","",IFERROR(INDEX(Produits!$F$2:$F$1001,MATCH(B139,Produits!$A$2:$A$1001,0)),"⚠ code article inconnu"))</f>
        <v/>
      </c>
      <c r="D139" s="12"/>
      <c r="E139" s="23"/>
      <c r="F139" s="24"/>
      <c r="G139" s="23"/>
      <c r="H139" s="21" t="str">
        <f aca="true">IF(E139="","",ROUND((E139-TODAY())/30.4,1))</f>
        <v/>
      </c>
      <c r="I139" s="17" t="str">
        <f aca="false">IF(E139="","",IF(H139&lt;0,IF(LEFT(A139,1)="Q","Périmé (en quarantaine)","PÉRIMÉ → déplacer en zone Q"),IF(H139&lt;3,"Péremption &lt; 3 mois",IF(H139&lt;6,"Péremption &lt; 6 mois",""))))</f>
        <v/>
      </c>
      <c r="J139" s="17" t="str">
        <f aca="false">IF(A139="","",IF(COUNTIF(Emplacements!$A$2:$A$1001,A139)=0,"⚠ emplacement inconnu","OK"))</f>
        <v/>
      </c>
      <c r="K139" s="22" t="str">
        <f aca="false">IF(AND(B139&lt;&gt;"",ISNUMBER(SEARCH(Recherche!$C$3,C139&amp;" "&amp;B139&amp;" "&amp;A139&amp;" "&amp;D139))),MAX($K$1:K138)+1,"")</f>
        <v/>
      </c>
    </row>
    <row r="140" customFormat="false" ht="15" hidden="false" customHeight="false" outlineLevel="0" collapsed="false">
      <c r="A140" s="12"/>
      <c r="B140" s="12"/>
      <c r="C140" s="17" t="str">
        <f aca="false">IF(B140="","",IFERROR(INDEX(Produits!$F$2:$F$1001,MATCH(B140,Produits!$A$2:$A$1001,0)),"⚠ code article inconnu"))</f>
        <v/>
      </c>
      <c r="D140" s="12"/>
      <c r="E140" s="23"/>
      <c r="F140" s="24"/>
      <c r="G140" s="23"/>
      <c r="H140" s="21" t="str">
        <f aca="true">IF(E140="","",ROUND((E140-TODAY())/30.4,1))</f>
        <v/>
      </c>
      <c r="I140" s="17" t="str">
        <f aca="false">IF(E140="","",IF(H140&lt;0,IF(LEFT(A140,1)="Q","Périmé (en quarantaine)","PÉRIMÉ → déplacer en zone Q"),IF(H140&lt;3,"Péremption &lt; 3 mois",IF(H140&lt;6,"Péremption &lt; 6 mois",""))))</f>
        <v/>
      </c>
      <c r="J140" s="17" t="str">
        <f aca="false">IF(A140="","",IF(COUNTIF(Emplacements!$A$2:$A$1001,A140)=0,"⚠ emplacement inconnu","OK"))</f>
        <v/>
      </c>
      <c r="K140" s="22" t="str">
        <f aca="false">IF(AND(B140&lt;&gt;"",ISNUMBER(SEARCH(Recherche!$C$3,C140&amp;" "&amp;B140&amp;" "&amp;A140&amp;" "&amp;D140))),MAX($K$1:K139)+1,"")</f>
        <v/>
      </c>
    </row>
    <row r="141" customFormat="false" ht="15" hidden="false" customHeight="false" outlineLevel="0" collapsed="false">
      <c r="A141" s="12"/>
      <c r="B141" s="12"/>
      <c r="C141" s="17" t="str">
        <f aca="false">IF(B141="","",IFERROR(INDEX(Produits!$F$2:$F$1001,MATCH(B141,Produits!$A$2:$A$1001,0)),"⚠ code article inconnu"))</f>
        <v/>
      </c>
      <c r="D141" s="12"/>
      <c r="E141" s="23"/>
      <c r="F141" s="24"/>
      <c r="G141" s="23"/>
      <c r="H141" s="21" t="str">
        <f aca="true">IF(E141="","",ROUND((E141-TODAY())/30.4,1))</f>
        <v/>
      </c>
      <c r="I141" s="17" t="str">
        <f aca="false">IF(E141="","",IF(H141&lt;0,IF(LEFT(A141,1)="Q","Périmé (en quarantaine)","PÉRIMÉ → déplacer en zone Q"),IF(H141&lt;3,"Péremption &lt; 3 mois",IF(H141&lt;6,"Péremption &lt; 6 mois",""))))</f>
        <v/>
      </c>
      <c r="J141" s="17" t="str">
        <f aca="false">IF(A141="","",IF(COUNTIF(Emplacements!$A$2:$A$1001,A141)=0,"⚠ emplacement inconnu","OK"))</f>
        <v/>
      </c>
      <c r="K141" s="22" t="str">
        <f aca="false">IF(AND(B141&lt;&gt;"",ISNUMBER(SEARCH(Recherche!$C$3,C141&amp;" "&amp;B141&amp;" "&amp;A141&amp;" "&amp;D141))),MAX($K$1:K140)+1,"")</f>
        <v/>
      </c>
    </row>
    <row r="142" customFormat="false" ht="15" hidden="false" customHeight="false" outlineLevel="0" collapsed="false">
      <c r="A142" s="12"/>
      <c r="B142" s="12"/>
      <c r="C142" s="17" t="str">
        <f aca="false">IF(B142="","",IFERROR(INDEX(Produits!$F$2:$F$1001,MATCH(B142,Produits!$A$2:$A$1001,0)),"⚠ code article inconnu"))</f>
        <v/>
      </c>
      <c r="D142" s="12"/>
      <c r="E142" s="23"/>
      <c r="F142" s="24"/>
      <c r="G142" s="23"/>
      <c r="H142" s="21" t="str">
        <f aca="true">IF(E142="","",ROUND((E142-TODAY())/30.4,1))</f>
        <v/>
      </c>
      <c r="I142" s="17" t="str">
        <f aca="false">IF(E142="","",IF(H142&lt;0,IF(LEFT(A142,1)="Q","Périmé (en quarantaine)","PÉRIMÉ → déplacer en zone Q"),IF(H142&lt;3,"Péremption &lt; 3 mois",IF(H142&lt;6,"Péremption &lt; 6 mois",""))))</f>
        <v/>
      </c>
      <c r="J142" s="17" t="str">
        <f aca="false">IF(A142="","",IF(COUNTIF(Emplacements!$A$2:$A$1001,A142)=0,"⚠ emplacement inconnu","OK"))</f>
        <v/>
      </c>
      <c r="K142" s="22" t="str">
        <f aca="false">IF(AND(B142&lt;&gt;"",ISNUMBER(SEARCH(Recherche!$C$3,C142&amp;" "&amp;B142&amp;" "&amp;A142&amp;" "&amp;D142))),MAX($K$1:K141)+1,"")</f>
        <v/>
      </c>
    </row>
    <row r="143" customFormat="false" ht="15" hidden="false" customHeight="false" outlineLevel="0" collapsed="false">
      <c r="A143" s="12"/>
      <c r="B143" s="12"/>
      <c r="C143" s="17" t="str">
        <f aca="false">IF(B143="","",IFERROR(INDEX(Produits!$F$2:$F$1001,MATCH(B143,Produits!$A$2:$A$1001,0)),"⚠ code article inconnu"))</f>
        <v/>
      </c>
      <c r="D143" s="12"/>
      <c r="E143" s="23"/>
      <c r="F143" s="24"/>
      <c r="G143" s="23"/>
      <c r="H143" s="21" t="str">
        <f aca="true">IF(E143="","",ROUND((E143-TODAY())/30.4,1))</f>
        <v/>
      </c>
      <c r="I143" s="17" t="str">
        <f aca="false">IF(E143="","",IF(H143&lt;0,IF(LEFT(A143,1)="Q","Périmé (en quarantaine)","PÉRIMÉ → déplacer en zone Q"),IF(H143&lt;3,"Péremption &lt; 3 mois",IF(H143&lt;6,"Péremption &lt; 6 mois",""))))</f>
        <v/>
      </c>
      <c r="J143" s="17" t="str">
        <f aca="false">IF(A143="","",IF(COUNTIF(Emplacements!$A$2:$A$1001,A143)=0,"⚠ emplacement inconnu","OK"))</f>
        <v/>
      </c>
      <c r="K143" s="22" t="str">
        <f aca="false">IF(AND(B143&lt;&gt;"",ISNUMBER(SEARCH(Recherche!$C$3,C143&amp;" "&amp;B143&amp;" "&amp;A143&amp;" "&amp;D143))),MAX($K$1:K142)+1,"")</f>
        <v/>
      </c>
    </row>
    <row r="144" customFormat="false" ht="15" hidden="false" customHeight="false" outlineLevel="0" collapsed="false">
      <c r="A144" s="12"/>
      <c r="B144" s="12"/>
      <c r="C144" s="17" t="str">
        <f aca="false">IF(B144="","",IFERROR(INDEX(Produits!$F$2:$F$1001,MATCH(B144,Produits!$A$2:$A$1001,0)),"⚠ code article inconnu"))</f>
        <v/>
      </c>
      <c r="D144" s="12"/>
      <c r="E144" s="23"/>
      <c r="F144" s="24"/>
      <c r="G144" s="23"/>
      <c r="H144" s="21" t="str">
        <f aca="true">IF(E144="","",ROUND((E144-TODAY())/30.4,1))</f>
        <v/>
      </c>
      <c r="I144" s="17" t="str">
        <f aca="false">IF(E144="","",IF(H144&lt;0,IF(LEFT(A144,1)="Q","Périmé (en quarantaine)","PÉRIMÉ → déplacer en zone Q"),IF(H144&lt;3,"Péremption &lt; 3 mois",IF(H144&lt;6,"Péremption &lt; 6 mois",""))))</f>
        <v/>
      </c>
      <c r="J144" s="17" t="str">
        <f aca="false">IF(A144="","",IF(COUNTIF(Emplacements!$A$2:$A$1001,A144)=0,"⚠ emplacement inconnu","OK"))</f>
        <v/>
      </c>
      <c r="K144" s="22" t="str">
        <f aca="false">IF(AND(B144&lt;&gt;"",ISNUMBER(SEARCH(Recherche!$C$3,C144&amp;" "&amp;B144&amp;" "&amp;A144&amp;" "&amp;D144))),MAX($K$1:K143)+1,"")</f>
        <v/>
      </c>
    </row>
    <row r="145" customFormat="false" ht="15" hidden="false" customHeight="false" outlineLevel="0" collapsed="false">
      <c r="A145" s="12"/>
      <c r="B145" s="12"/>
      <c r="C145" s="17" t="str">
        <f aca="false">IF(B145="","",IFERROR(INDEX(Produits!$F$2:$F$1001,MATCH(B145,Produits!$A$2:$A$1001,0)),"⚠ code article inconnu"))</f>
        <v/>
      </c>
      <c r="D145" s="12"/>
      <c r="E145" s="23"/>
      <c r="F145" s="24"/>
      <c r="G145" s="23"/>
      <c r="H145" s="21" t="str">
        <f aca="true">IF(E145="","",ROUND((E145-TODAY())/30.4,1))</f>
        <v/>
      </c>
      <c r="I145" s="17" t="str">
        <f aca="false">IF(E145="","",IF(H145&lt;0,IF(LEFT(A145,1)="Q","Périmé (en quarantaine)","PÉRIMÉ → déplacer en zone Q"),IF(H145&lt;3,"Péremption &lt; 3 mois",IF(H145&lt;6,"Péremption &lt; 6 mois",""))))</f>
        <v/>
      </c>
      <c r="J145" s="17" t="str">
        <f aca="false">IF(A145="","",IF(COUNTIF(Emplacements!$A$2:$A$1001,A145)=0,"⚠ emplacement inconnu","OK"))</f>
        <v/>
      </c>
      <c r="K145" s="22" t="str">
        <f aca="false">IF(AND(B145&lt;&gt;"",ISNUMBER(SEARCH(Recherche!$C$3,C145&amp;" "&amp;B145&amp;" "&amp;A145&amp;" "&amp;D145))),MAX($K$1:K144)+1,"")</f>
        <v/>
      </c>
    </row>
    <row r="146" customFormat="false" ht="15" hidden="false" customHeight="false" outlineLevel="0" collapsed="false">
      <c r="A146" s="12"/>
      <c r="B146" s="12"/>
      <c r="C146" s="17" t="str">
        <f aca="false">IF(B146="","",IFERROR(INDEX(Produits!$F$2:$F$1001,MATCH(B146,Produits!$A$2:$A$1001,0)),"⚠ code article inconnu"))</f>
        <v/>
      </c>
      <c r="D146" s="12"/>
      <c r="E146" s="23"/>
      <c r="F146" s="24"/>
      <c r="G146" s="23"/>
      <c r="H146" s="21" t="str">
        <f aca="true">IF(E146="","",ROUND((E146-TODAY())/30.4,1))</f>
        <v/>
      </c>
      <c r="I146" s="17" t="str">
        <f aca="false">IF(E146="","",IF(H146&lt;0,IF(LEFT(A146,1)="Q","Périmé (en quarantaine)","PÉRIMÉ → déplacer en zone Q"),IF(H146&lt;3,"Péremption &lt; 3 mois",IF(H146&lt;6,"Péremption &lt; 6 mois",""))))</f>
        <v/>
      </c>
      <c r="J146" s="17" t="str">
        <f aca="false">IF(A146="","",IF(COUNTIF(Emplacements!$A$2:$A$1001,A146)=0,"⚠ emplacement inconnu","OK"))</f>
        <v/>
      </c>
      <c r="K146" s="22" t="str">
        <f aca="false">IF(AND(B146&lt;&gt;"",ISNUMBER(SEARCH(Recherche!$C$3,C146&amp;" "&amp;B146&amp;" "&amp;A146&amp;" "&amp;D146))),MAX($K$1:K145)+1,"")</f>
        <v/>
      </c>
    </row>
    <row r="147" customFormat="false" ht="15" hidden="false" customHeight="false" outlineLevel="0" collapsed="false">
      <c r="A147" s="12"/>
      <c r="B147" s="12"/>
      <c r="C147" s="17" t="str">
        <f aca="false">IF(B147="","",IFERROR(INDEX(Produits!$F$2:$F$1001,MATCH(B147,Produits!$A$2:$A$1001,0)),"⚠ code article inconnu"))</f>
        <v/>
      </c>
      <c r="D147" s="12"/>
      <c r="E147" s="23"/>
      <c r="F147" s="24"/>
      <c r="G147" s="23"/>
      <c r="H147" s="21" t="str">
        <f aca="true">IF(E147="","",ROUND((E147-TODAY())/30.4,1))</f>
        <v/>
      </c>
      <c r="I147" s="17" t="str">
        <f aca="false">IF(E147="","",IF(H147&lt;0,IF(LEFT(A147,1)="Q","Périmé (en quarantaine)","PÉRIMÉ → déplacer en zone Q"),IF(H147&lt;3,"Péremption &lt; 3 mois",IF(H147&lt;6,"Péremption &lt; 6 mois",""))))</f>
        <v/>
      </c>
      <c r="J147" s="17" t="str">
        <f aca="false">IF(A147="","",IF(COUNTIF(Emplacements!$A$2:$A$1001,A147)=0,"⚠ emplacement inconnu","OK"))</f>
        <v/>
      </c>
      <c r="K147" s="22" t="str">
        <f aca="false">IF(AND(B147&lt;&gt;"",ISNUMBER(SEARCH(Recherche!$C$3,C147&amp;" "&amp;B147&amp;" "&amp;A147&amp;" "&amp;D147))),MAX($K$1:K146)+1,"")</f>
        <v/>
      </c>
    </row>
    <row r="148" customFormat="false" ht="15" hidden="false" customHeight="false" outlineLevel="0" collapsed="false">
      <c r="A148" s="12"/>
      <c r="B148" s="12"/>
      <c r="C148" s="17" t="str">
        <f aca="false">IF(B148="","",IFERROR(INDEX(Produits!$F$2:$F$1001,MATCH(B148,Produits!$A$2:$A$1001,0)),"⚠ code article inconnu"))</f>
        <v/>
      </c>
      <c r="D148" s="12"/>
      <c r="E148" s="23"/>
      <c r="F148" s="24"/>
      <c r="G148" s="23"/>
      <c r="H148" s="21" t="str">
        <f aca="true">IF(E148="","",ROUND((E148-TODAY())/30.4,1))</f>
        <v/>
      </c>
      <c r="I148" s="17" t="str">
        <f aca="false">IF(E148="","",IF(H148&lt;0,IF(LEFT(A148,1)="Q","Périmé (en quarantaine)","PÉRIMÉ → déplacer en zone Q"),IF(H148&lt;3,"Péremption &lt; 3 mois",IF(H148&lt;6,"Péremption &lt; 6 mois",""))))</f>
        <v/>
      </c>
      <c r="J148" s="17" t="str">
        <f aca="false">IF(A148="","",IF(COUNTIF(Emplacements!$A$2:$A$1001,A148)=0,"⚠ emplacement inconnu","OK"))</f>
        <v/>
      </c>
      <c r="K148" s="22" t="str">
        <f aca="false">IF(AND(B148&lt;&gt;"",ISNUMBER(SEARCH(Recherche!$C$3,C148&amp;" "&amp;B148&amp;" "&amp;A148&amp;" "&amp;D148))),MAX($K$1:K147)+1,"")</f>
        <v/>
      </c>
    </row>
    <row r="149" customFormat="false" ht="15" hidden="false" customHeight="false" outlineLevel="0" collapsed="false">
      <c r="A149" s="12"/>
      <c r="B149" s="12"/>
      <c r="C149" s="17" t="str">
        <f aca="false">IF(B149="","",IFERROR(INDEX(Produits!$F$2:$F$1001,MATCH(B149,Produits!$A$2:$A$1001,0)),"⚠ code article inconnu"))</f>
        <v/>
      </c>
      <c r="D149" s="12"/>
      <c r="E149" s="23"/>
      <c r="F149" s="24"/>
      <c r="G149" s="23"/>
      <c r="H149" s="21" t="str">
        <f aca="true">IF(E149="","",ROUND((E149-TODAY())/30.4,1))</f>
        <v/>
      </c>
      <c r="I149" s="17" t="str">
        <f aca="false">IF(E149="","",IF(H149&lt;0,IF(LEFT(A149,1)="Q","Périmé (en quarantaine)","PÉRIMÉ → déplacer en zone Q"),IF(H149&lt;3,"Péremption &lt; 3 mois",IF(H149&lt;6,"Péremption &lt; 6 mois",""))))</f>
        <v/>
      </c>
      <c r="J149" s="17" t="str">
        <f aca="false">IF(A149="","",IF(COUNTIF(Emplacements!$A$2:$A$1001,A149)=0,"⚠ emplacement inconnu","OK"))</f>
        <v/>
      </c>
      <c r="K149" s="22" t="str">
        <f aca="false">IF(AND(B149&lt;&gt;"",ISNUMBER(SEARCH(Recherche!$C$3,C149&amp;" "&amp;B149&amp;" "&amp;A149&amp;" "&amp;D149))),MAX($K$1:K148)+1,"")</f>
        <v/>
      </c>
    </row>
    <row r="150" customFormat="false" ht="15" hidden="false" customHeight="false" outlineLevel="0" collapsed="false">
      <c r="A150" s="12"/>
      <c r="B150" s="12"/>
      <c r="C150" s="17" t="str">
        <f aca="false">IF(B150="","",IFERROR(INDEX(Produits!$F$2:$F$1001,MATCH(B150,Produits!$A$2:$A$1001,0)),"⚠ code article inconnu"))</f>
        <v/>
      </c>
      <c r="D150" s="12"/>
      <c r="E150" s="23"/>
      <c r="F150" s="24"/>
      <c r="G150" s="23"/>
      <c r="H150" s="21" t="str">
        <f aca="true">IF(E150="","",ROUND((E150-TODAY())/30.4,1))</f>
        <v/>
      </c>
      <c r="I150" s="17" t="str">
        <f aca="false">IF(E150="","",IF(H150&lt;0,IF(LEFT(A150,1)="Q","Périmé (en quarantaine)","PÉRIMÉ → déplacer en zone Q"),IF(H150&lt;3,"Péremption &lt; 3 mois",IF(H150&lt;6,"Péremption &lt; 6 mois",""))))</f>
        <v/>
      </c>
      <c r="J150" s="17" t="str">
        <f aca="false">IF(A150="","",IF(COUNTIF(Emplacements!$A$2:$A$1001,A150)=0,"⚠ emplacement inconnu","OK"))</f>
        <v/>
      </c>
      <c r="K150" s="22" t="str">
        <f aca="false">IF(AND(B150&lt;&gt;"",ISNUMBER(SEARCH(Recherche!$C$3,C150&amp;" "&amp;B150&amp;" "&amp;A150&amp;" "&amp;D150))),MAX($K$1:K149)+1,"")</f>
        <v/>
      </c>
    </row>
    <row r="151" customFormat="false" ht="15" hidden="false" customHeight="false" outlineLevel="0" collapsed="false">
      <c r="A151" s="12"/>
      <c r="B151" s="12"/>
      <c r="C151" s="17" t="str">
        <f aca="false">IF(B151="","",IFERROR(INDEX(Produits!$F$2:$F$1001,MATCH(B151,Produits!$A$2:$A$1001,0)),"⚠ code article inconnu"))</f>
        <v/>
      </c>
      <c r="D151" s="12"/>
      <c r="E151" s="23"/>
      <c r="F151" s="24"/>
      <c r="G151" s="23"/>
      <c r="H151" s="21" t="str">
        <f aca="true">IF(E151="","",ROUND((E151-TODAY())/30.4,1))</f>
        <v/>
      </c>
      <c r="I151" s="17" t="str">
        <f aca="false">IF(E151="","",IF(H151&lt;0,IF(LEFT(A151,1)="Q","Périmé (en quarantaine)","PÉRIMÉ → déplacer en zone Q"),IF(H151&lt;3,"Péremption &lt; 3 mois",IF(H151&lt;6,"Péremption &lt; 6 mois",""))))</f>
        <v/>
      </c>
      <c r="J151" s="17" t="str">
        <f aca="false">IF(A151="","",IF(COUNTIF(Emplacements!$A$2:$A$1001,A151)=0,"⚠ emplacement inconnu","OK"))</f>
        <v/>
      </c>
      <c r="K151" s="22" t="str">
        <f aca="false">IF(AND(B151&lt;&gt;"",ISNUMBER(SEARCH(Recherche!$C$3,C151&amp;" "&amp;B151&amp;" "&amp;A151&amp;" "&amp;D151))),MAX($K$1:K150)+1,"")</f>
        <v/>
      </c>
    </row>
    <row r="152" customFormat="false" ht="15" hidden="false" customHeight="false" outlineLevel="0" collapsed="false">
      <c r="A152" s="12"/>
      <c r="B152" s="12"/>
      <c r="C152" s="17" t="str">
        <f aca="false">IF(B152="","",IFERROR(INDEX(Produits!$F$2:$F$1001,MATCH(B152,Produits!$A$2:$A$1001,0)),"⚠ code article inconnu"))</f>
        <v/>
      </c>
      <c r="D152" s="12"/>
      <c r="E152" s="23"/>
      <c r="F152" s="24"/>
      <c r="G152" s="23"/>
      <c r="H152" s="21" t="str">
        <f aca="true">IF(E152="","",ROUND((E152-TODAY())/30.4,1))</f>
        <v/>
      </c>
      <c r="I152" s="17" t="str">
        <f aca="false">IF(E152="","",IF(H152&lt;0,IF(LEFT(A152,1)="Q","Périmé (en quarantaine)","PÉRIMÉ → déplacer en zone Q"),IF(H152&lt;3,"Péremption &lt; 3 mois",IF(H152&lt;6,"Péremption &lt; 6 mois",""))))</f>
        <v/>
      </c>
      <c r="J152" s="17" t="str">
        <f aca="false">IF(A152="","",IF(COUNTIF(Emplacements!$A$2:$A$1001,A152)=0,"⚠ emplacement inconnu","OK"))</f>
        <v/>
      </c>
      <c r="K152" s="22" t="str">
        <f aca="false">IF(AND(B152&lt;&gt;"",ISNUMBER(SEARCH(Recherche!$C$3,C152&amp;" "&amp;B152&amp;" "&amp;A152&amp;" "&amp;D152))),MAX($K$1:K151)+1,"")</f>
        <v/>
      </c>
    </row>
    <row r="153" customFormat="false" ht="15" hidden="false" customHeight="false" outlineLevel="0" collapsed="false">
      <c r="A153" s="12"/>
      <c r="B153" s="12"/>
      <c r="C153" s="17" t="str">
        <f aca="false">IF(B153="","",IFERROR(INDEX(Produits!$F$2:$F$1001,MATCH(B153,Produits!$A$2:$A$1001,0)),"⚠ code article inconnu"))</f>
        <v/>
      </c>
      <c r="D153" s="12"/>
      <c r="E153" s="23"/>
      <c r="F153" s="24"/>
      <c r="G153" s="23"/>
      <c r="H153" s="21" t="str">
        <f aca="true">IF(E153="","",ROUND((E153-TODAY())/30.4,1))</f>
        <v/>
      </c>
      <c r="I153" s="17" t="str">
        <f aca="false">IF(E153="","",IF(H153&lt;0,IF(LEFT(A153,1)="Q","Périmé (en quarantaine)","PÉRIMÉ → déplacer en zone Q"),IF(H153&lt;3,"Péremption &lt; 3 mois",IF(H153&lt;6,"Péremption &lt; 6 mois",""))))</f>
        <v/>
      </c>
      <c r="J153" s="17" t="str">
        <f aca="false">IF(A153="","",IF(COUNTIF(Emplacements!$A$2:$A$1001,A153)=0,"⚠ emplacement inconnu","OK"))</f>
        <v/>
      </c>
      <c r="K153" s="22" t="str">
        <f aca="false">IF(AND(B153&lt;&gt;"",ISNUMBER(SEARCH(Recherche!$C$3,C153&amp;" "&amp;B153&amp;" "&amp;A153&amp;" "&amp;D153))),MAX($K$1:K152)+1,"")</f>
        <v/>
      </c>
    </row>
    <row r="154" customFormat="false" ht="15" hidden="false" customHeight="false" outlineLevel="0" collapsed="false">
      <c r="A154" s="12"/>
      <c r="B154" s="12"/>
      <c r="C154" s="17" t="str">
        <f aca="false">IF(B154="","",IFERROR(INDEX(Produits!$F$2:$F$1001,MATCH(B154,Produits!$A$2:$A$1001,0)),"⚠ code article inconnu"))</f>
        <v/>
      </c>
      <c r="D154" s="12"/>
      <c r="E154" s="23"/>
      <c r="F154" s="24"/>
      <c r="G154" s="23"/>
      <c r="H154" s="21" t="str">
        <f aca="true">IF(E154="","",ROUND((E154-TODAY())/30.4,1))</f>
        <v/>
      </c>
      <c r="I154" s="17" t="str">
        <f aca="false">IF(E154="","",IF(H154&lt;0,IF(LEFT(A154,1)="Q","Périmé (en quarantaine)","PÉRIMÉ → déplacer en zone Q"),IF(H154&lt;3,"Péremption &lt; 3 mois",IF(H154&lt;6,"Péremption &lt; 6 mois",""))))</f>
        <v/>
      </c>
      <c r="J154" s="17" t="str">
        <f aca="false">IF(A154="","",IF(COUNTIF(Emplacements!$A$2:$A$1001,A154)=0,"⚠ emplacement inconnu","OK"))</f>
        <v/>
      </c>
      <c r="K154" s="22" t="str">
        <f aca="false">IF(AND(B154&lt;&gt;"",ISNUMBER(SEARCH(Recherche!$C$3,C154&amp;" "&amp;B154&amp;" "&amp;A154&amp;" "&amp;D154))),MAX($K$1:K153)+1,"")</f>
        <v/>
      </c>
    </row>
    <row r="155" customFormat="false" ht="15" hidden="false" customHeight="false" outlineLevel="0" collapsed="false">
      <c r="A155" s="12"/>
      <c r="B155" s="12"/>
      <c r="C155" s="17" t="str">
        <f aca="false">IF(B155="","",IFERROR(INDEX(Produits!$F$2:$F$1001,MATCH(B155,Produits!$A$2:$A$1001,0)),"⚠ code article inconnu"))</f>
        <v/>
      </c>
      <c r="D155" s="12"/>
      <c r="E155" s="23"/>
      <c r="F155" s="24"/>
      <c r="G155" s="23"/>
      <c r="H155" s="21" t="str">
        <f aca="true">IF(E155="","",ROUND((E155-TODAY())/30.4,1))</f>
        <v/>
      </c>
      <c r="I155" s="17" t="str">
        <f aca="false">IF(E155="","",IF(H155&lt;0,IF(LEFT(A155,1)="Q","Périmé (en quarantaine)","PÉRIMÉ → déplacer en zone Q"),IF(H155&lt;3,"Péremption &lt; 3 mois",IF(H155&lt;6,"Péremption &lt; 6 mois",""))))</f>
        <v/>
      </c>
      <c r="J155" s="17" t="str">
        <f aca="false">IF(A155="","",IF(COUNTIF(Emplacements!$A$2:$A$1001,A155)=0,"⚠ emplacement inconnu","OK"))</f>
        <v/>
      </c>
      <c r="K155" s="22" t="str">
        <f aca="false">IF(AND(B155&lt;&gt;"",ISNUMBER(SEARCH(Recherche!$C$3,C155&amp;" "&amp;B155&amp;" "&amp;A155&amp;" "&amp;D155))),MAX($K$1:K154)+1,"")</f>
        <v/>
      </c>
    </row>
    <row r="156" customFormat="false" ht="15" hidden="false" customHeight="false" outlineLevel="0" collapsed="false">
      <c r="A156" s="12"/>
      <c r="B156" s="12"/>
      <c r="C156" s="17" t="str">
        <f aca="false">IF(B156="","",IFERROR(INDEX(Produits!$F$2:$F$1001,MATCH(B156,Produits!$A$2:$A$1001,0)),"⚠ code article inconnu"))</f>
        <v/>
      </c>
      <c r="D156" s="12"/>
      <c r="E156" s="23"/>
      <c r="F156" s="24"/>
      <c r="G156" s="23"/>
      <c r="H156" s="21" t="str">
        <f aca="true">IF(E156="","",ROUND((E156-TODAY())/30.4,1))</f>
        <v/>
      </c>
      <c r="I156" s="17" t="str">
        <f aca="false">IF(E156="","",IF(H156&lt;0,IF(LEFT(A156,1)="Q","Périmé (en quarantaine)","PÉRIMÉ → déplacer en zone Q"),IF(H156&lt;3,"Péremption &lt; 3 mois",IF(H156&lt;6,"Péremption &lt; 6 mois",""))))</f>
        <v/>
      </c>
      <c r="J156" s="17" t="str">
        <f aca="false">IF(A156="","",IF(COUNTIF(Emplacements!$A$2:$A$1001,A156)=0,"⚠ emplacement inconnu","OK"))</f>
        <v/>
      </c>
      <c r="K156" s="22" t="str">
        <f aca="false">IF(AND(B156&lt;&gt;"",ISNUMBER(SEARCH(Recherche!$C$3,C156&amp;" "&amp;B156&amp;" "&amp;A156&amp;" "&amp;D156))),MAX($K$1:K155)+1,"")</f>
        <v/>
      </c>
    </row>
    <row r="157" customFormat="false" ht="15" hidden="false" customHeight="false" outlineLevel="0" collapsed="false">
      <c r="A157" s="12"/>
      <c r="B157" s="12"/>
      <c r="C157" s="17" t="str">
        <f aca="false">IF(B157="","",IFERROR(INDEX(Produits!$F$2:$F$1001,MATCH(B157,Produits!$A$2:$A$1001,0)),"⚠ code article inconnu"))</f>
        <v/>
      </c>
      <c r="D157" s="12"/>
      <c r="E157" s="23"/>
      <c r="F157" s="24"/>
      <c r="G157" s="23"/>
      <c r="H157" s="21" t="str">
        <f aca="true">IF(E157="","",ROUND((E157-TODAY())/30.4,1))</f>
        <v/>
      </c>
      <c r="I157" s="17" t="str">
        <f aca="false">IF(E157="","",IF(H157&lt;0,IF(LEFT(A157,1)="Q","Périmé (en quarantaine)","PÉRIMÉ → déplacer en zone Q"),IF(H157&lt;3,"Péremption &lt; 3 mois",IF(H157&lt;6,"Péremption &lt; 6 mois",""))))</f>
        <v/>
      </c>
      <c r="J157" s="17" t="str">
        <f aca="false">IF(A157="","",IF(COUNTIF(Emplacements!$A$2:$A$1001,A157)=0,"⚠ emplacement inconnu","OK"))</f>
        <v/>
      </c>
      <c r="K157" s="22" t="str">
        <f aca="false">IF(AND(B157&lt;&gt;"",ISNUMBER(SEARCH(Recherche!$C$3,C157&amp;" "&amp;B157&amp;" "&amp;A157&amp;" "&amp;D157))),MAX($K$1:K156)+1,"")</f>
        <v/>
      </c>
    </row>
    <row r="158" customFormat="false" ht="15" hidden="false" customHeight="false" outlineLevel="0" collapsed="false">
      <c r="A158" s="12"/>
      <c r="B158" s="12"/>
      <c r="C158" s="17" t="str">
        <f aca="false">IF(B158="","",IFERROR(INDEX(Produits!$F$2:$F$1001,MATCH(B158,Produits!$A$2:$A$1001,0)),"⚠ code article inconnu"))</f>
        <v/>
      </c>
      <c r="D158" s="12"/>
      <c r="E158" s="23"/>
      <c r="F158" s="24"/>
      <c r="G158" s="23"/>
      <c r="H158" s="21" t="str">
        <f aca="true">IF(E158="","",ROUND((E158-TODAY())/30.4,1))</f>
        <v/>
      </c>
      <c r="I158" s="17" t="str">
        <f aca="false">IF(E158="","",IF(H158&lt;0,IF(LEFT(A158,1)="Q","Périmé (en quarantaine)","PÉRIMÉ → déplacer en zone Q"),IF(H158&lt;3,"Péremption &lt; 3 mois",IF(H158&lt;6,"Péremption &lt; 6 mois",""))))</f>
        <v/>
      </c>
      <c r="J158" s="17" t="str">
        <f aca="false">IF(A158="","",IF(COUNTIF(Emplacements!$A$2:$A$1001,A158)=0,"⚠ emplacement inconnu","OK"))</f>
        <v/>
      </c>
      <c r="K158" s="22" t="str">
        <f aca="false">IF(AND(B158&lt;&gt;"",ISNUMBER(SEARCH(Recherche!$C$3,C158&amp;" "&amp;B158&amp;" "&amp;A158&amp;" "&amp;D158))),MAX($K$1:K157)+1,"")</f>
        <v/>
      </c>
    </row>
    <row r="159" customFormat="false" ht="15" hidden="false" customHeight="false" outlineLevel="0" collapsed="false">
      <c r="A159" s="12"/>
      <c r="B159" s="12"/>
      <c r="C159" s="17" t="str">
        <f aca="false">IF(B159="","",IFERROR(INDEX(Produits!$F$2:$F$1001,MATCH(B159,Produits!$A$2:$A$1001,0)),"⚠ code article inconnu"))</f>
        <v/>
      </c>
      <c r="D159" s="12"/>
      <c r="E159" s="23"/>
      <c r="F159" s="24"/>
      <c r="G159" s="23"/>
      <c r="H159" s="21" t="str">
        <f aca="true">IF(E159="","",ROUND((E159-TODAY())/30.4,1))</f>
        <v/>
      </c>
      <c r="I159" s="17" t="str">
        <f aca="false">IF(E159="","",IF(H159&lt;0,IF(LEFT(A159,1)="Q","Périmé (en quarantaine)","PÉRIMÉ → déplacer en zone Q"),IF(H159&lt;3,"Péremption &lt; 3 mois",IF(H159&lt;6,"Péremption &lt; 6 mois",""))))</f>
        <v/>
      </c>
      <c r="J159" s="17" t="str">
        <f aca="false">IF(A159="","",IF(COUNTIF(Emplacements!$A$2:$A$1001,A159)=0,"⚠ emplacement inconnu","OK"))</f>
        <v/>
      </c>
      <c r="K159" s="22" t="str">
        <f aca="false">IF(AND(B159&lt;&gt;"",ISNUMBER(SEARCH(Recherche!$C$3,C159&amp;" "&amp;B159&amp;" "&amp;A159&amp;" "&amp;D159))),MAX($K$1:K158)+1,"")</f>
        <v/>
      </c>
    </row>
    <row r="160" customFormat="false" ht="15" hidden="false" customHeight="false" outlineLevel="0" collapsed="false">
      <c r="A160" s="12"/>
      <c r="B160" s="12"/>
      <c r="C160" s="17" t="str">
        <f aca="false">IF(B160="","",IFERROR(INDEX(Produits!$F$2:$F$1001,MATCH(B160,Produits!$A$2:$A$1001,0)),"⚠ code article inconnu"))</f>
        <v/>
      </c>
      <c r="D160" s="12"/>
      <c r="E160" s="23"/>
      <c r="F160" s="24"/>
      <c r="G160" s="23"/>
      <c r="H160" s="21" t="str">
        <f aca="true">IF(E160="","",ROUND((E160-TODAY())/30.4,1))</f>
        <v/>
      </c>
      <c r="I160" s="17" t="str">
        <f aca="false">IF(E160="","",IF(H160&lt;0,IF(LEFT(A160,1)="Q","Périmé (en quarantaine)","PÉRIMÉ → déplacer en zone Q"),IF(H160&lt;3,"Péremption &lt; 3 mois",IF(H160&lt;6,"Péremption &lt; 6 mois",""))))</f>
        <v/>
      </c>
      <c r="J160" s="17" t="str">
        <f aca="false">IF(A160="","",IF(COUNTIF(Emplacements!$A$2:$A$1001,A160)=0,"⚠ emplacement inconnu","OK"))</f>
        <v/>
      </c>
      <c r="K160" s="22" t="str">
        <f aca="false">IF(AND(B160&lt;&gt;"",ISNUMBER(SEARCH(Recherche!$C$3,C160&amp;" "&amp;B160&amp;" "&amp;A160&amp;" "&amp;D160))),MAX($K$1:K159)+1,"")</f>
        <v/>
      </c>
    </row>
    <row r="161" customFormat="false" ht="15" hidden="false" customHeight="false" outlineLevel="0" collapsed="false">
      <c r="A161" s="12"/>
      <c r="B161" s="12"/>
      <c r="C161" s="17" t="str">
        <f aca="false">IF(B161="","",IFERROR(INDEX(Produits!$F$2:$F$1001,MATCH(B161,Produits!$A$2:$A$1001,0)),"⚠ code article inconnu"))</f>
        <v/>
      </c>
      <c r="D161" s="12"/>
      <c r="E161" s="23"/>
      <c r="F161" s="24"/>
      <c r="G161" s="23"/>
      <c r="H161" s="21" t="str">
        <f aca="true">IF(E161="","",ROUND((E161-TODAY())/30.4,1))</f>
        <v/>
      </c>
      <c r="I161" s="17" t="str">
        <f aca="false">IF(E161="","",IF(H161&lt;0,IF(LEFT(A161,1)="Q","Périmé (en quarantaine)","PÉRIMÉ → déplacer en zone Q"),IF(H161&lt;3,"Péremption &lt; 3 mois",IF(H161&lt;6,"Péremption &lt; 6 mois",""))))</f>
        <v/>
      </c>
      <c r="J161" s="17" t="str">
        <f aca="false">IF(A161="","",IF(COUNTIF(Emplacements!$A$2:$A$1001,A161)=0,"⚠ emplacement inconnu","OK"))</f>
        <v/>
      </c>
      <c r="K161" s="22" t="str">
        <f aca="false">IF(AND(B161&lt;&gt;"",ISNUMBER(SEARCH(Recherche!$C$3,C161&amp;" "&amp;B161&amp;" "&amp;A161&amp;" "&amp;D161))),MAX($K$1:K160)+1,"")</f>
        <v/>
      </c>
    </row>
    <row r="162" customFormat="false" ht="15" hidden="false" customHeight="false" outlineLevel="0" collapsed="false">
      <c r="A162" s="12"/>
      <c r="B162" s="12"/>
      <c r="C162" s="17" t="str">
        <f aca="false">IF(B162="","",IFERROR(INDEX(Produits!$F$2:$F$1001,MATCH(B162,Produits!$A$2:$A$1001,0)),"⚠ code article inconnu"))</f>
        <v/>
      </c>
      <c r="D162" s="12"/>
      <c r="E162" s="23"/>
      <c r="F162" s="24"/>
      <c r="G162" s="23"/>
      <c r="H162" s="21" t="str">
        <f aca="true">IF(E162="","",ROUND((E162-TODAY())/30.4,1))</f>
        <v/>
      </c>
      <c r="I162" s="17" t="str">
        <f aca="false">IF(E162="","",IF(H162&lt;0,IF(LEFT(A162,1)="Q","Périmé (en quarantaine)","PÉRIMÉ → déplacer en zone Q"),IF(H162&lt;3,"Péremption &lt; 3 mois",IF(H162&lt;6,"Péremption &lt; 6 mois",""))))</f>
        <v/>
      </c>
      <c r="J162" s="17" t="str">
        <f aca="false">IF(A162="","",IF(COUNTIF(Emplacements!$A$2:$A$1001,A162)=0,"⚠ emplacement inconnu","OK"))</f>
        <v/>
      </c>
      <c r="K162" s="22" t="str">
        <f aca="false">IF(AND(B162&lt;&gt;"",ISNUMBER(SEARCH(Recherche!$C$3,C162&amp;" "&amp;B162&amp;" "&amp;A162&amp;" "&amp;D162))),MAX($K$1:K161)+1,"")</f>
        <v/>
      </c>
    </row>
    <row r="163" customFormat="false" ht="15" hidden="false" customHeight="false" outlineLevel="0" collapsed="false">
      <c r="A163" s="12"/>
      <c r="B163" s="12"/>
      <c r="C163" s="17" t="str">
        <f aca="false">IF(B163="","",IFERROR(INDEX(Produits!$F$2:$F$1001,MATCH(B163,Produits!$A$2:$A$1001,0)),"⚠ code article inconnu"))</f>
        <v/>
      </c>
      <c r="D163" s="12"/>
      <c r="E163" s="23"/>
      <c r="F163" s="24"/>
      <c r="G163" s="23"/>
      <c r="H163" s="21" t="str">
        <f aca="true">IF(E163="","",ROUND((E163-TODAY())/30.4,1))</f>
        <v/>
      </c>
      <c r="I163" s="17" t="str">
        <f aca="false">IF(E163="","",IF(H163&lt;0,IF(LEFT(A163,1)="Q","Périmé (en quarantaine)","PÉRIMÉ → déplacer en zone Q"),IF(H163&lt;3,"Péremption &lt; 3 mois",IF(H163&lt;6,"Péremption &lt; 6 mois",""))))</f>
        <v/>
      </c>
      <c r="J163" s="17" t="str">
        <f aca="false">IF(A163="","",IF(COUNTIF(Emplacements!$A$2:$A$1001,A163)=0,"⚠ emplacement inconnu","OK"))</f>
        <v/>
      </c>
      <c r="K163" s="22" t="str">
        <f aca="false">IF(AND(B163&lt;&gt;"",ISNUMBER(SEARCH(Recherche!$C$3,C163&amp;" "&amp;B163&amp;" "&amp;A163&amp;" "&amp;D163))),MAX($K$1:K162)+1,"")</f>
        <v/>
      </c>
    </row>
    <row r="164" customFormat="false" ht="15" hidden="false" customHeight="false" outlineLevel="0" collapsed="false">
      <c r="A164" s="12"/>
      <c r="B164" s="12"/>
      <c r="C164" s="17" t="str">
        <f aca="false">IF(B164="","",IFERROR(INDEX(Produits!$F$2:$F$1001,MATCH(B164,Produits!$A$2:$A$1001,0)),"⚠ code article inconnu"))</f>
        <v/>
      </c>
      <c r="D164" s="12"/>
      <c r="E164" s="23"/>
      <c r="F164" s="24"/>
      <c r="G164" s="23"/>
      <c r="H164" s="21" t="str">
        <f aca="true">IF(E164="","",ROUND((E164-TODAY())/30.4,1))</f>
        <v/>
      </c>
      <c r="I164" s="17" t="str">
        <f aca="false">IF(E164="","",IF(H164&lt;0,IF(LEFT(A164,1)="Q","Périmé (en quarantaine)","PÉRIMÉ → déplacer en zone Q"),IF(H164&lt;3,"Péremption &lt; 3 mois",IF(H164&lt;6,"Péremption &lt; 6 mois",""))))</f>
        <v/>
      </c>
      <c r="J164" s="17" t="str">
        <f aca="false">IF(A164="","",IF(COUNTIF(Emplacements!$A$2:$A$1001,A164)=0,"⚠ emplacement inconnu","OK"))</f>
        <v/>
      </c>
      <c r="K164" s="22" t="str">
        <f aca="false">IF(AND(B164&lt;&gt;"",ISNUMBER(SEARCH(Recherche!$C$3,C164&amp;" "&amp;B164&amp;" "&amp;A164&amp;" "&amp;D164))),MAX($K$1:K163)+1,"")</f>
        <v/>
      </c>
    </row>
    <row r="165" customFormat="false" ht="15" hidden="false" customHeight="false" outlineLevel="0" collapsed="false">
      <c r="A165" s="12"/>
      <c r="B165" s="12"/>
      <c r="C165" s="17" t="str">
        <f aca="false">IF(B165="","",IFERROR(INDEX(Produits!$F$2:$F$1001,MATCH(B165,Produits!$A$2:$A$1001,0)),"⚠ code article inconnu"))</f>
        <v/>
      </c>
      <c r="D165" s="12"/>
      <c r="E165" s="23"/>
      <c r="F165" s="24"/>
      <c r="G165" s="23"/>
      <c r="H165" s="21" t="str">
        <f aca="true">IF(E165="","",ROUND((E165-TODAY())/30.4,1))</f>
        <v/>
      </c>
      <c r="I165" s="17" t="str">
        <f aca="false">IF(E165="","",IF(H165&lt;0,IF(LEFT(A165,1)="Q","Périmé (en quarantaine)","PÉRIMÉ → déplacer en zone Q"),IF(H165&lt;3,"Péremption &lt; 3 mois",IF(H165&lt;6,"Péremption &lt; 6 mois",""))))</f>
        <v/>
      </c>
      <c r="J165" s="17" t="str">
        <f aca="false">IF(A165="","",IF(COUNTIF(Emplacements!$A$2:$A$1001,A165)=0,"⚠ emplacement inconnu","OK"))</f>
        <v/>
      </c>
      <c r="K165" s="22" t="str">
        <f aca="false">IF(AND(B165&lt;&gt;"",ISNUMBER(SEARCH(Recherche!$C$3,C165&amp;" "&amp;B165&amp;" "&amp;A165&amp;" "&amp;D165))),MAX($K$1:K164)+1,"")</f>
        <v/>
      </c>
    </row>
    <row r="166" customFormat="false" ht="15" hidden="false" customHeight="false" outlineLevel="0" collapsed="false">
      <c r="A166" s="12"/>
      <c r="B166" s="12"/>
      <c r="C166" s="17" t="str">
        <f aca="false">IF(B166="","",IFERROR(INDEX(Produits!$F$2:$F$1001,MATCH(B166,Produits!$A$2:$A$1001,0)),"⚠ code article inconnu"))</f>
        <v/>
      </c>
      <c r="D166" s="12"/>
      <c r="E166" s="23"/>
      <c r="F166" s="24"/>
      <c r="G166" s="23"/>
      <c r="H166" s="21" t="str">
        <f aca="true">IF(E166="","",ROUND((E166-TODAY())/30.4,1))</f>
        <v/>
      </c>
      <c r="I166" s="17" t="str">
        <f aca="false">IF(E166="","",IF(H166&lt;0,IF(LEFT(A166,1)="Q","Périmé (en quarantaine)","PÉRIMÉ → déplacer en zone Q"),IF(H166&lt;3,"Péremption &lt; 3 mois",IF(H166&lt;6,"Péremption &lt; 6 mois",""))))</f>
        <v/>
      </c>
      <c r="J166" s="17" t="str">
        <f aca="false">IF(A166="","",IF(COUNTIF(Emplacements!$A$2:$A$1001,A166)=0,"⚠ emplacement inconnu","OK"))</f>
        <v/>
      </c>
      <c r="K166" s="22" t="str">
        <f aca="false">IF(AND(B166&lt;&gt;"",ISNUMBER(SEARCH(Recherche!$C$3,C166&amp;" "&amp;B166&amp;" "&amp;A166&amp;" "&amp;D166))),MAX($K$1:K165)+1,"")</f>
        <v/>
      </c>
    </row>
    <row r="167" customFormat="false" ht="15" hidden="false" customHeight="false" outlineLevel="0" collapsed="false">
      <c r="A167" s="12"/>
      <c r="B167" s="12"/>
      <c r="C167" s="17" t="str">
        <f aca="false">IF(B167="","",IFERROR(INDEX(Produits!$F$2:$F$1001,MATCH(B167,Produits!$A$2:$A$1001,0)),"⚠ code article inconnu"))</f>
        <v/>
      </c>
      <c r="D167" s="12"/>
      <c r="E167" s="23"/>
      <c r="F167" s="24"/>
      <c r="G167" s="23"/>
      <c r="H167" s="21" t="str">
        <f aca="true">IF(E167="","",ROUND((E167-TODAY())/30.4,1))</f>
        <v/>
      </c>
      <c r="I167" s="17" t="str">
        <f aca="false">IF(E167="","",IF(H167&lt;0,IF(LEFT(A167,1)="Q","Périmé (en quarantaine)","PÉRIMÉ → déplacer en zone Q"),IF(H167&lt;3,"Péremption &lt; 3 mois",IF(H167&lt;6,"Péremption &lt; 6 mois",""))))</f>
        <v/>
      </c>
      <c r="J167" s="17" t="str">
        <f aca="false">IF(A167="","",IF(COUNTIF(Emplacements!$A$2:$A$1001,A167)=0,"⚠ emplacement inconnu","OK"))</f>
        <v/>
      </c>
      <c r="K167" s="22" t="str">
        <f aca="false">IF(AND(B167&lt;&gt;"",ISNUMBER(SEARCH(Recherche!$C$3,C167&amp;" "&amp;B167&amp;" "&amp;A167&amp;" "&amp;D167))),MAX($K$1:K166)+1,"")</f>
        <v/>
      </c>
    </row>
    <row r="168" customFormat="false" ht="15" hidden="false" customHeight="false" outlineLevel="0" collapsed="false">
      <c r="A168" s="12"/>
      <c r="B168" s="12"/>
      <c r="C168" s="17" t="str">
        <f aca="false">IF(B168="","",IFERROR(INDEX(Produits!$F$2:$F$1001,MATCH(B168,Produits!$A$2:$A$1001,0)),"⚠ code article inconnu"))</f>
        <v/>
      </c>
      <c r="D168" s="12"/>
      <c r="E168" s="23"/>
      <c r="F168" s="24"/>
      <c r="G168" s="23"/>
      <c r="H168" s="21" t="str">
        <f aca="true">IF(E168="","",ROUND((E168-TODAY())/30.4,1))</f>
        <v/>
      </c>
      <c r="I168" s="17" t="str">
        <f aca="false">IF(E168="","",IF(H168&lt;0,IF(LEFT(A168,1)="Q","Périmé (en quarantaine)","PÉRIMÉ → déplacer en zone Q"),IF(H168&lt;3,"Péremption &lt; 3 mois",IF(H168&lt;6,"Péremption &lt; 6 mois",""))))</f>
        <v/>
      </c>
      <c r="J168" s="17" t="str">
        <f aca="false">IF(A168="","",IF(COUNTIF(Emplacements!$A$2:$A$1001,A168)=0,"⚠ emplacement inconnu","OK"))</f>
        <v/>
      </c>
      <c r="K168" s="22" t="str">
        <f aca="false">IF(AND(B168&lt;&gt;"",ISNUMBER(SEARCH(Recherche!$C$3,C168&amp;" "&amp;B168&amp;" "&amp;A168&amp;" "&amp;D168))),MAX($K$1:K167)+1,"")</f>
        <v/>
      </c>
    </row>
    <row r="169" customFormat="false" ht="15" hidden="false" customHeight="false" outlineLevel="0" collapsed="false">
      <c r="A169" s="12"/>
      <c r="B169" s="12"/>
      <c r="C169" s="17" t="str">
        <f aca="false">IF(B169="","",IFERROR(INDEX(Produits!$F$2:$F$1001,MATCH(B169,Produits!$A$2:$A$1001,0)),"⚠ code article inconnu"))</f>
        <v/>
      </c>
      <c r="D169" s="12"/>
      <c r="E169" s="23"/>
      <c r="F169" s="24"/>
      <c r="G169" s="23"/>
      <c r="H169" s="21" t="str">
        <f aca="true">IF(E169="","",ROUND((E169-TODAY())/30.4,1))</f>
        <v/>
      </c>
      <c r="I169" s="17" t="str">
        <f aca="false">IF(E169="","",IF(H169&lt;0,IF(LEFT(A169,1)="Q","Périmé (en quarantaine)","PÉRIMÉ → déplacer en zone Q"),IF(H169&lt;3,"Péremption &lt; 3 mois",IF(H169&lt;6,"Péremption &lt; 6 mois",""))))</f>
        <v/>
      </c>
      <c r="J169" s="17" t="str">
        <f aca="false">IF(A169="","",IF(COUNTIF(Emplacements!$A$2:$A$1001,A169)=0,"⚠ emplacement inconnu","OK"))</f>
        <v/>
      </c>
      <c r="K169" s="22" t="str">
        <f aca="false">IF(AND(B169&lt;&gt;"",ISNUMBER(SEARCH(Recherche!$C$3,C169&amp;" "&amp;B169&amp;" "&amp;A169&amp;" "&amp;D169))),MAX($K$1:K168)+1,"")</f>
        <v/>
      </c>
    </row>
    <row r="170" customFormat="false" ht="15" hidden="false" customHeight="false" outlineLevel="0" collapsed="false">
      <c r="A170" s="12"/>
      <c r="B170" s="12"/>
      <c r="C170" s="17" t="str">
        <f aca="false">IF(B170="","",IFERROR(INDEX(Produits!$F$2:$F$1001,MATCH(B170,Produits!$A$2:$A$1001,0)),"⚠ code article inconnu"))</f>
        <v/>
      </c>
      <c r="D170" s="12"/>
      <c r="E170" s="23"/>
      <c r="F170" s="24"/>
      <c r="G170" s="23"/>
      <c r="H170" s="21" t="str">
        <f aca="true">IF(E170="","",ROUND((E170-TODAY())/30.4,1))</f>
        <v/>
      </c>
      <c r="I170" s="17" t="str">
        <f aca="false">IF(E170="","",IF(H170&lt;0,IF(LEFT(A170,1)="Q","Périmé (en quarantaine)","PÉRIMÉ → déplacer en zone Q"),IF(H170&lt;3,"Péremption &lt; 3 mois",IF(H170&lt;6,"Péremption &lt; 6 mois",""))))</f>
        <v/>
      </c>
      <c r="J170" s="17" t="str">
        <f aca="false">IF(A170="","",IF(COUNTIF(Emplacements!$A$2:$A$1001,A170)=0,"⚠ emplacement inconnu","OK"))</f>
        <v/>
      </c>
      <c r="K170" s="22" t="str">
        <f aca="false">IF(AND(B170&lt;&gt;"",ISNUMBER(SEARCH(Recherche!$C$3,C170&amp;" "&amp;B170&amp;" "&amp;A170&amp;" "&amp;D170))),MAX($K$1:K169)+1,"")</f>
        <v/>
      </c>
    </row>
    <row r="171" customFormat="false" ht="15" hidden="false" customHeight="false" outlineLevel="0" collapsed="false">
      <c r="A171" s="12"/>
      <c r="B171" s="12"/>
      <c r="C171" s="17" t="str">
        <f aca="false">IF(B171="","",IFERROR(INDEX(Produits!$F$2:$F$1001,MATCH(B171,Produits!$A$2:$A$1001,0)),"⚠ code article inconnu"))</f>
        <v/>
      </c>
      <c r="D171" s="12"/>
      <c r="E171" s="23"/>
      <c r="F171" s="24"/>
      <c r="G171" s="23"/>
      <c r="H171" s="21" t="str">
        <f aca="true">IF(E171="","",ROUND((E171-TODAY())/30.4,1))</f>
        <v/>
      </c>
      <c r="I171" s="17" t="str">
        <f aca="false">IF(E171="","",IF(H171&lt;0,IF(LEFT(A171,1)="Q","Périmé (en quarantaine)","PÉRIMÉ → déplacer en zone Q"),IF(H171&lt;3,"Péremption &lt; 3 mois",IF(H171&lt;6,"Péremption &lt; 6 mois",""))))</f>
        <v/>
      </c>
      <c r="J171" s="17" t="str">
        <f aca="false">IF(A171="","",IF(COUNTIF(Emplacements!$A$2:$A$1001,A171)=0,"⚠ emplacement inconnu","OK"))</f>
        <v/>
      </c>
      <c r="K171" s="22" t="str">
        <f aca="false">IF(AND(B171&lt;&gt;"",ISNUMBER(SEARCH(Recherche!$C$3,C171&amp;" "&amp;B171&amp;" "&amp;A171&amp;" "&amp;D171))),MAX($K$1:K170)+1,"")</f>
        <v/>
      </c>
    </row>
    <row r="172" customFormat="false" ht="15" hidden="false" customHeight="false" outlineLevel="0" collapsed="false">
      <c r="A172" s="12"/>
      <c r="B172" s="12"/>
      <c r="C172" s="17" t="str">
        <f aca="false">IF(B172="","",IFERROR(INDEX(Produits!$F$2:$F$1001,MATCH(B172,Produits!$A$2:$A$1001,0)),"⚠ code article inconnu"))</f>
        <v/>
      </c>
      <c r="D172" s="12"/>
      <c r="E172" s="23"/>
      <c r="F172" s="24"/>
      <c r="G172" s="23"/>
      <c r="H172" s="21" t="str">
        <f aca="true">IF(E172="","",ROUND((E172-TODAY())/30.4,1))</f>
        <v/>
      </c>
      <c r="I172" s="17" t="str">
        <f aca="false">IF(E172="","",IF(H172&lt;0,IF(LEFT(A172,1)="Q","Périmé (en quarantaine)","PÉRIMÉ → déplacer en zone Q"),IF(H172&lt;3,"Péremption &lt; 3 mois",IF(H172&lt;6,"Péremption &lt; 6 mois",""))))</f>
        <v/>
      </c>
      <c r="J172" s="17" t="str">
        <f aca="false">IF(A172="","",IF(COUNTIF(Emplacements!$A$2:$A$1001,A172)=0,"⚠ emplacement inconnu","OK"))</f>
        <v/>
      </c>
      <c r="K172" s="22" t="str">
        <f aca="false">IF(AND(B172&lt;&gt;"",ISNUMBER(SEARCH(Recherche!$C$3,C172&amp;" "&amp;B172&amp;" "&amp;A172&amp;" "&amp;D172))),MAX($K$1:K171)+1,"")</f>
        <v/>
      </c>
    </row>
    <row r="173" customFormat="false" ht="15" hidden="false" customHeight="false" outlineLevel="0" collapsed="false">
      <c r="A173" s="12"/>
      <c r="B173" s="12"/>
      <c r="C173" s="17" t="str">
        <f aca="false">IF(B173="","",IFERROR(INDEX(Produits!$F$2:$F$1001,MATCH(B173,Produits!$A$2:$A$1001,0)),"⚠ code article inconnu"))</f>
        <v/>
      </c>
      <c r="D173" s="12"/>
      <c r="E173" s="23"/>
      <c r="F173" s="24"/>
      <c r="G173" s="23"/>
      <c r="H173" s="21" t="str">
        <f aca="true">IF(E173="","",ROUND((E173-TODAY())/30.4,1))</f>
        <v/>
      </c>
      <c r="I173" s="17" t="str">
        <f aca="false">IF(E173="","",IF(H173&lt;0,IF(LEFT(A173,1)="Q","Périmé (en quarantaine)","PÉRIMÉ → déplacer en zone Q"),IF(H173&lt;3,"Péremption &lt; 3 mois",IF(H173&lt;6,"Péremption &lt; 6 mois",""))))</f>
        <v/>
      </c>
      <c r="J173" s="17" t="str">
        <f aca="false">IF(A173="","",IF(COUNTIF(Emplacements!$A$2:$A$1001,A173)=0,"⚠ emplacement inconnu","OK"))</f>
        <v/>
      </c>
      <c r="K173" s="22" t="str">
        <f aca="false">IF(AND(B173&lt;&gt;"",ISNUMBER(SEARCH(Recherche!$C$3,C173&amp;" "&amp;B173&amp;" "&amp;A173&amp;" "&amp;D173))),MAX($K$1:K172)+1,"")</f>
        <v/>
      </c>
    </row>
    <row r="174" customFormat="false" ht="15" hidden="false" customHeight="false" outlineLevel="0" collapsed="false">
      <c r="A174" s="12"/>
      <c r="B174" s="12"/>
      <c r="C174" s="17" t="str">
        <f aca="false">IF(B174="","",IFERROR(INDEX(Produits!$F$2:$F$1001,MATCH(B174,Produits!$A$2:$A$1001,0)),"⚠ code article inconnu"))</f>
        <v/>
      </c>
      <c r="D174" s="12"/>
      <c r="E174" s="23"/>
      <c r="F174" s="24"/>
      <c r="G174" s="23"/>
      <c r="H174" s="21" t="str">
        <f aca="true">IF(E174="","",ROUND((E174-TODAY())/30.4,1))</f>
        <v/>
      </c>
      <c r="I174" s="17" t="str">
        <f aca="false">IF(E174="","",IF(H174&lt;0,IF(LEFT(A174,1)="Q","Périmé (en quarantaine)","PÉRIMÉ → déplacer en zone Q"),IF(H174&lt;3,"Péremption &lt; 3 mois",IF(H174&lt;6,"Péremption &lt; 6 mois",""))))</f>
        <v/>
      </c>
      <c r="J174" s="17" t="str">
        <f aca="false">IF(A174="","",IF(COUNTIF(Emplacements!$A$2:$A$1001,A174)=0,"⚠ emplacement inconnu","OK"))</f>
        <v/>
      </c>
      <c r="K174" s="22" t="str">
        <f aca="false">IF(AND(B174&lt;&gt;"",ISNUMBER(SEARCH(Recherche!$C$3,C174&amp;" "&amp;B174&amp;" "&amp;A174&amp;" "&amp;D174))),MAX($K$1:K173)+1,"")</f>
        <v/>
      </c>
    </row>
    <row r="175" customFormat="false" ht="15" hidden="false" customHeight="false" outlineLevel="0" collapsed="false">
      <c r="A175" s="12"/>
      <c r="B175" s="12"/>
      <c r="C175" s="17" t="str">
        <f aca="false">IF(B175="","",IFERROR(INDEX(Produits!$F$2:$F$1001,MATCH(B175,Produits!$A$2:$A$1001,0)),"⚠ code article inconnu"))</f>
        <v/>
      </c>
      <c r="D175" s="12"/>
      <c r="E175" s="23"/>
      <c r="F175" s="24"/>
      <c r="G175" s="23"/>
      <c r="H175" s="21" t="str">
        <f aca="true">IF(E175="","",ROUND((E175-TODAY())/30.4,1))</f>
        <v/>
      </c>
      <c r="I175" s="17" t="str">
        <f aca="false">IF(E175="","",IF(H175&lt;0,IF(LEFT(A175,1)="Q","Périmé (en quarantaine)","PÉRIMÉ → déplacer en zone Q"),IF(H175&lt;3,"Péremption &lt; 3 mois",IF(H175&lt;6,"Péremption &lt; 6 mois",""))))</f>
        <v/>
      </c>
      <c r="J175" s="17" t="str">
        <f aca="false">IF(A175="","",IF(COUNTIF(Emplacements!$A$2:$A$1001,A175)=0,"⚠ emplacement inconnu","OK"))</f>
        <v/>
      </c>
      <c r="K175" s="22" t="str">
        <f aca="false">IF(AND(B175&lt;&gt;"",ISNUMBER(SEARCH(Recherche!$C$3,C175&amp;" "&amp;B175&amp;" "&amp;A175&amp;" "&amp;D175))),MAX($K$1:K174)+1,"")</f>
        <v/>
      </c>
    </row>
    <row r="176" customFormat="false" ht="15" hidden="false" customHeight="false" outlineLevel="0" collapsed="false">
      <c r="A176" s="12"/>
      <c r="B176" s="12"/>
      <c r="C176" s="17" t="str">
        <f aca="false">IF(B176="","",IFERROR(INDEX(Produits!$F$2:$F$1001,MATCH(B176,Produits!$A$2:$A$1001,0)),"⚠ code article inconnu"))</f>
        <v/>
      </c>
      <c r="D176" s="12"/>
      <c r="E176" s="23"/>
      <c r="F176" s="24"/>
      <c r="G176" s="23"/>
      <c r="H176" s="21" t="str">
        <f aca="true">IF(E176="","",ROUND((E176-TODAY())/30.4,1))</f>
        <v/>
      </c>
      <c r="I176" s="17" t="str">
        <f aca="false">IF(E176="","",IF(H176&lt;0,IF(LEFT(A176,1)="Q","Périmé (en quarantaine)","PÉRIMÉ → déplacer en zone Q"),IF(H176&lt;3,"Péremption &lt; 3 mois",IF(H176&lt;6,"Péremption &lt; 6 mois",""))))</f>
        <v/>
      </c>
      <c r="J176" s="17" t="str">
        <f aca="false">IF(A176="","",IF(COUNTIF(Emplacements!$A$2:$A$1001,A176)=0,"⚠ emplacement inconnu","OK"))</f>
        <v/>
      </c>
      <c r="K176" s="22" t="str">
        <f aca="false">IF(AND(B176&lt;&gt;"",ISNUMBER(SEARCH(Recherche!$C$3,C176&amp;" "&amp;B176&amp;" "&amp;A176&amp;" "&amp;D176))),MAX($K$1:K175)+1,"")</f>
        <v/>
      </c>
    </row>
    <row r="177" customFormat="false" ht="15" hidden="false" customHeight="false" outlineLevel="0" collapsed="false">
      <c r="A177" s="12"/>
      <c r="B177" s="12"/>
      <c r="C177" s="17" t="str">
        <f aca="false">IF(B177="","",IFERROR(INDEX(Produits!$F$2:$F$1001,MATCH(B177,Produits!$A$2:$A$1001,0)),"⚠ code article inconnu"))</f>
        <v/>
      </c>
      <c r="D177" s="12"/>
      <c r="E177" s="23"/>
      <c r="F177" s="24"/>
      <c r="G177" s="23"/>
      <c r="H177" s="21" t="str">
        <f aca="true">IF(E177="","",ROUND((E177-TODAY())/30.4,1))</f>
        <v/>
      </c>
      <c r="I177" s="17" t="str">
        <f aca="false">IF(E177="","",IF(H177&lt;0,IF(LEFT(A177,1)="Q","Périmé (en quarantaine)","PÉRIMÉ → déplacer en zone Q"),IF(H177&lt;3,"Péremption &lt; 3 mois",IF(H177&lt;6,"Péremption &lt; 6 mois",""))))</f>
        <v/>
      </c>
      <c r="J177" s="17" t="str">
        <f aca="false">IF(A177="","",IF(COUNTIF(Emplacements!$A$2:$A$1001,A177)=0,"⚠ emplacement inconnu","OK"))</f>
        <v/>
      </c>
      <c r="K177" s="22" t="str">
        <f aca="false">IF(AND(B177&lt;&gt;"",ISNUMBER(SEARCH(Recherche!$C$3,C177&amp;" "&amp;B177&amp;" "&amp;A177&amp;" "&amp;D177))),MAX($K$1:K176)+1,"")</f>
        <v/>
      </c>
    </row>
    <row r="178" customFormat="false" ht="15" hidden="false" customHeight="false" outlineLevel="0" collapsed="false">
      <c r="A178" s="12"/>
      <c r="B178" s="12"/>
      <c r="C178" s="17" t="str">
        <f aca="false">IF(B178="","",IFERROR(INDEX(Produits!$F$2:$F$1001,MATCH(B178,Produits!$A$2:$A$1001,0)),"⚠ code article inconnu"))</f>
        <v/>
      </c>
      <c r="D178" s="12"/>
      <c r="E178" s="23"/>
      <c r="F178" s="24"/>
      <c r="G178" s="23"/>
      <c r="H178" s="21" t="str">
        <f aca="true">IF(E178="","",ROUND((E178-TODAY())/30.4,1))</f>
        <v/>
      </c>
      <c r="I178" s="17" t="str">
        <f aca="false">IF(E178="","",IF(H178&lt;0,IF(LEFT(A178,1)="Q","Périmé (en quarantaine)","PÉRIMÉ → déplacer en zone Q"),IF(H178&lt;3,"Péremption &lt; 3 mois",IF(H178&lt;6,"Péremption &lt; 6 mois",""))))</f>
        <v/>
      </c>
      <c r="J178" s="17" t="str">
        <f aca="false">IF(A178="","",IF(COUNTIF(Emplacements!$A$2:$A$1001,A178)=0,"⚠ emplacement inconnu","OK"))</f>
        <v/>
      </c>
      <c r="K178" s="22" t="str">
        <f aca="false">IF(AND(B178&lt;&gt;"",ISNUMBER(SEARCH(Recherche!$C$3,C178&amp;" "&amp;B178&amp;" "&amp;A178&amp;" "&amp;D178))),MAX($K$1:K177)+1,"")</f>
        <v/>
      </c>
    </row>
    <row r="179" customFormat="false" ht="15" hidden="false" customHeight="false" outlineLevel="0" collapsed="false">
      <c r="A179" s="12"/>
      <c r="B179" s="12"/>
      <c r="C179" s="17" t="str">
        <f aca="false">IF(B179="","",IFERROR(INDEX(Produits!$F$2:$F$1001,MATCH(B179,Produits!$A$2:$A$1001,0)),"⚠ code article inconnu"))</f>
        <v/>
      </c>
      <c r="D179" s="12"/>
      <c r="E179" s="23"/>
      <c r="F179" s="24"/>
      <c r="G179" s="23"/>
      <c r="H179" s="21" t="str">
        <f aca="true">IF(E179="","",ROUND((E179-TODAY())/30.4,1))</f>
        <v/>
      </c>
      <c r="I179" s="17" t="str">
        <f aca="false">IF(E179="","",IF(H179&lt;0,IF(LEFT(A179,1)="Q","Périmé (en quarantaine)","PÉRIMÉ → déplacer en zone Q"),IF(H179&lt;3,"Péremption &lt; 3 mois",IF(H179&lt;6,"Péremption &lt; 6 mois",""))))</f>
        <v/>
      </c>
      <c r="J179" s="17" t="str">
        <f aca="false">IF(A179="","",IF(COUNTIF(Emplacements!$A$2:$A$1001,A179)=0,"⚠ emplacement inconnu","OK"))</f>
        <v/>
      </c>
      <c r="K179" s="22" t="str">
        <f aca="false">IF(AND(B179&lt;&gt;"",ISNUMBER(SEARCH(Recherche!$C$3,C179&amp;" "&amp;B179&amp;" "&amp;A179&amp;" "&amp;D179))),MAX($K$1:K178)+1,"")</f>
        <v/>
      </c>
    </row>
    <row r="180" customFormat="false" ht="15" hidden="false" customHeight="false" outlineLevel="0" collapsed="false">
      <c r="A180" s="12"/>
      <c r="B180" s="12"/>
      <c r="C180" s="17" t="str">
        <f aca="false">IF(B180="","",IFERROR(INDEX(Produits!$F$2:$F$1001,MATCH(B180,Produits!$A$2:$A$1001,0)),"⚠ code article inconnu"))</f>
        <v/>
      </c>
      <c r="D180" s="12"/>
      <c r="E180" s="23"/>
      <c r="F180" s="24"/>
      <c r="G180" s="23"/>
      <c r="H180" s="21" t="str">
        <f aca="true">IF(E180="","",ROUND((E180-TODAY())/30.4,1))</f>
        <v/>
      </c>
      <c r="I180" s="17" t="str">
        <f aca="false">IF(E180="","",IF(H180&lt;0,IF(LEFT(A180,1)="Q","Périmé (en quarantaine)","PÉRIMÉ → déplacer en zone Q"),IF(H180&lt;3,"Péremption &lt; 3 mois",IF(H180&lt;6,"Péremption &lt; 6 mois",""))))</f>
        <v/>
      </c>
      <c r="J180" s="17" t="str">
        <f aca="false">IF(A180="","",IF(COUNTIF(Emplacements!$A$2:$A$1001,A180)=0,"⚠ emplacement inconnu","OK"))</f>
        <v/>
      </c>
      <c r="K180" s="22" t="str">
        <f aca="false">IF(AND(B180&lt;&gt;"",ISNUMBER(SEARCH(Recherche!$C$3,C180&amp;" "&amp;B180&amp;" "&amp;A180&amp;" "&amp;D180))),MAX($K$1:K179)+1,"")</f>
        <v/>
      </c>
    </row>
    <row r="181" customFormat="false" ht="15" hidden="false" customHeight="false" outlineLevel="0" collapsed="false">
      <c r="A181" s="12"/>
      <c r="B181" s="12"/>
      <c r="C181" s="17" t="str">
        <f aca="false">IF(B181="","",IFERROR(INDEX(Produits!$F$2:$F$1001,MATCH(B181,Produits!$A$2:$A$1001,0)),"⚠ code article inconnu"))</f>
        <v/>
      </c>
      <c r="D181" s="12"/>
      <c r="E181" s="23"/>
      <c r="F181" s="24"/>
      <c r="G181" s="23"/>
      <c r="H181" s="21" t="str">
        <f aca="true">IF(E181="","",ROUND((E181-TODAY())/30.4,1))</f>
        <v/>
      </c>
      <c r="I181" s="17" t="str">
        <f aca="false">IF(E181="","",IF(H181&lt;0,IF(LEFT(A181,1)="Q","Périmé (en quarantaine)","PÉRIMÉ → déplacer en zone Q"),IF(H181&lt;3,"Péremption &lt; 3 mois",IF(H181&lt;6,"Péremption &lt; 6 mois",""))))</f>
        <v/>
      </c>
      <c r="J181" s="17" t="str">
        <f aca="false">IF(A181="","",IF(COUNTIF(Emplacements!$A$2:$A$1001,A181)=0,"⚠ emplacement inconnu","OK"))</f>
        <v/>
      </c>
      <c r="K181" s="22" t="str">
        <f aca="false">IF(AND(B181&lt;&gt;"",ISNUMBER(SEARCH(Recherche!$C$3,C181&amp;" "&amp;B181&amp;" "&amp;A181&amp;" "&amp;D181))),MAX($K$1:K180)+1,"")</f>
        <v/>
      </c>
    </row>
    <row r="182" customFormat="false" ht="15" hidden="false" customHeight="false" outlineLevel="0" collapsed="false">
      <c r="A182" s="12"/>
      <c r="B182" s="12"/>
      <c r="C182" s="17" t="str">
        <f aca="false">IF(B182="","",IFERROR(INDEX(Produits!$F$2:$F$1001,MATCH(B182,Produits!$A$2:$A$1001,0)),"⚠ code article inconnu"))</f>
        <v/>
      </c>
      <c r="D182" s="12"/>
      <c r="E182" s="23"/>
      <c r="F182" s="24"/>
      <c r="G182" s="23"/>
      <c r="H182" s="21" t="str">
        <f aca="true">IF(E182="","",ROUND((E182-TODAY())/30.4,1))</f>
        <v/>
      </c>
      <c r="I182" s="17" t="str">
        <f aca="false">IF(E182="","",IF(H182&lt;0,IF(LEFT(A182,1)="Q","Périmé (en quarantaine)","PÉRIMÉ → déplacer en zone Q"),IF(H182&lt;3,"Péremption &lt; 3 mois",IF(H182&lt;6,"Péremption &lt; 6 mois",""))))</f>
        <v/>
      </c>
      <c r="J182" s="17" t="str">
        <f aca="false">IF(A182="","",IF(COUNTIF(Emplacements!$A$2:$A$1001,A182)=0,"⚠ emplacement inconnu","OK"))</f>
        <v/>
      </c>
      <c r="K182" s="22" t="str">
        <f aca="false">IF(AND(B182&lt;&gt;"",ISNUMBER(SEARCH(Recherche!$C$3,C182&amp;" "&amp;B182&amp;" "&amp;A182&amp;" "&amp;D182))),MAX($K$1:K181)+1,"")</f>
        <v/>
      </c>
    </row>
    <row r="183" customFormat="false" ht="15" hidden="false" customHeight="false" outlineLevel="0" collapsed="false">
      <c r="A183" s="12"/>
      <c r="B183" s="12"/>
      <c r="C183" s="17" t="str">
        <f aca="false">IF(B183="","",IFERROR(INDEX(Produits!$F$2:$F$1001,MATCH(B183,Produits!$A$2:$A$1001,0)),"⚠ code article inconnu"))</f>
        <v/>
      </c>
      <c r="D183" s="12"/>
      <c r="E183" s="23"/>
      <c r="F183" s="24"/>
      <c r="G183" s="23"/>
      <c r="H183" s="21" t="str">
        <f aca="true">IF(E183="","",ROUND((E183-TODAY())/30.4,1))</f>
        <v/>
      </c>
      <c r="I183" s="17" t="str">
        <f aca="false">IF(E183="","",IF(H183&lt;0,IF(LEFT(A183,1)="Q","Périmé (en quarantaine)","PÉRIMÉ → déplacer en zone Q"),IF(H183&lt;3,"Péremption &lt; 3 mois",IF(H183&lt;6,"Péremption &lt; 6 mois",""))))</f>
        <v/>
      </c>
      <c r="J183" s="17" t="str">
        <f aca="false">IF(A183="","",IF(COUNTIF(Emplacements!$A$2:$A$1001,A183)=0,"⚠ emplacement inconnu","OK"))</f>
        <v/>
      </c>
      <c r="K183" s="22" t="str">
        <f aca="false">IF(AND(B183&lt;&gt;"",ISNUMBER(SEARCH(Recherche!$C$3,C183&amp;" "&amp;B183&amp;" "&amp;A183&amp;" "&amp;D183))),MAX($K$1:K182)+1,"")</f>
        <v/>
      </c>
    </row>
    <row r="184" customFormat="false" ht="15" hidden="false" customHeight="false" outlineLevel="0" collapsed="false">
      <c r="A184" s="12"/>
      <c r="B184" s="12"/>
      <c r="C184" s="17" t="str">
        <f aca="false">IF(B184="","",IFERROR(INDEX(Produits!$F$2:$F$1001,MATCH(B184,Produits!$A$2:$A$1001,0)),"⚠ code article inconnu"))</f>
        <v/>
      </c>
      <c r="D184" s="12"/>
      <c r="E184" s="23"/>
      <c r="F184" s="24"/>
      <c r="G184" s="23"/>
      <c r="H184" s="21" t="str">
        <f aca="true">IF(E184="","",ROUND((E184-TODAY())/30.4,1))</f>
        <v/>
      </c>
      <c r="I184" s="17" t="str">
        <f aca="false">IF(E184="","",IF(H184&lt;0,IF(LEFT(A184,1)="Q","Périmé (en quarantaine)","PÉRIMÉ → déplacer en zone Q"),IF(H184&lt;3,"Péremption &lt; 3 mois",IF(H184&lt;6,"Péremption &lt; 6 mois",""))))</f>
        <v/>
      </c>
      <c r="J184" s="17" t="str">
        <f aca="false">IF(A184="","",IF(COUNTIF(Emplacements!$A$2:$A$1001,A184)=0,"⚠ emplacement inconnu","OK"))</f>
        <v/>
      </c>
      <c r="K184" s="22" t="str">
        <f aca="false">IF(AND(B184&lt;&gt;"",ISNUMBER(SEARCH(Recherche!$C$3,C184&amp;" "&amp;B184&amp;" "&amp;A184&amp;" "&amp;D184))),MAX($K$1:K183)+1,"")</f>
        <v/>
      </c>
    </row>
    <row r="185" customFormat="false" ht="15" hidden="false" customHeight="false" outlineLevel="0" collapsed="false">
      <c r="A185" s="12"/>
      <c r="B185" s="12"/>
      <c r="C185" s="17" t="str">
        <f aca="false">IF(B185="","",IFERROR(INDEX(Produits!$F$2:$F$1001,MATCH(B185,Produits!$A$2:$A$1001,0)),"⚠ code article inconnu"))</f>
        <v/>
      </c>
      <c r="D185" s="12"/>
      <c r="E185" s="23"/>
      <c r="F185" s="24"/>
      <c r="G185" s="23"/>
      <c r="H185" s="21" t="str">
        <f aca="true">IF(E185="","",ROUND((E185-TODAY())/30.4,1))</f>
        <v/>
      </c>
      <c r="I185" s="17" t="str">
        <f aca="false">IF(E185="","",IF(H185&lt;0,IF(LEFT(A185,1)="Q","Périmé (en quarantaine)","PÉRIMÉ → déplacer en zone Q"),IF(H185&lt;3,"Péremption &lt; 3 mois",IF(H185&lt;6,"Péremption &lt; 6 mois",""))))</f>
        <v/>
      </c>
      <c r="J185" s="17" t="str">
        <f aca="false">IF(A185="","",IF(COUNTIF(Emplacements!$A$2:$A$1001,A185)=0,"⚠ emplacement inconnu","OK"))</f>
        <v/>
      </c>
      <c r="K185" s="22" t="str">
        <f aca="false">IF(AND(B185&lt;&gt;"",ISNUMBER(SEARCH(Recherche!$C$3,C185&amp;" "&amp;B185&amp;" "&amp;A185&amp;" "&amp;D185))),MAX($K$1:K184)+1,"")</f>
        <v/>
      </c>
    </row>
    <row r="186" customFormat="false" ht="15" hidden="false" customHeight="false" outlineLevel="0" collapsed="false">
      <c r="A186" s="12"/>
      <c r="B186" s="12"/>
      <c r="C186" s="17" t="str">
        <f aca="false">IF(B186="","",IFERROR(INDEX(Produits!$F$2:$F$1001,MATCH(B186,Produits!$A$2:$A$1001,0)),"⚠ code article inconnu"))</f>
        <v/>
      </c>
      <c r="D186" s="12"/>
      <c r="E186" s="23"/>
      <c r="F186" s="24"/>
      <c r="G186" s="23"/>
      <c r="H186" s="21" t="str">
        <f aca="true">IF(E186="","",ROUND((E186-TODAY())/30.4,1))</f>
        <v/>
      </c>
      <c r="I186" s="17" t="str">
        <f aca="false">IF(E186="","",IF(H186&lt;0,IF(LEFT(A186,1)="Q","Périmé (en quarantaine)","PÉRIMÉ → déplacer en zone Q"),IF(H186&lt;3,"Péremption &lt; 3 mois",IF(H186&lt;6,"Péremption &lt; 6 mois",""))))</f>
        <v/>
      </c>
      <c r="J186" s="17" t="str">
        <f aca="false">IF(A186="","",IF(COUNTIF(Emplacements!$A$2:$A$1001,A186)=0,"⚠ emplacement inconnu","OK"))</f>
        <v/>
      </c>
      <c r="K186" s="22" t="str">
        <f aca="false">IF(AND(B186&lt;&gt;"",ISNUMBER(SEARCH(Recherche!$C$3,C186&amp;" "&amp;B186&amp;" "&amp;A186&amp;" "&amp;D186))),MAX($K$1:K185)+1,"")</f>
        <v/>
      </c>
    </row>
    <row r="187" customFormat="false" ht="15" hidden="false" customHeight="false" outlineLevel="0" collapsed="false">
      <c r="A187" s="12"/>
      <c r="B187" s="12"/>
      <c r="C187" s="17" t="str">
        <f aca="false">IF(B187="","",IFERROR(INDEX(Produits!$F$2:$F$1001,MATCH(B187,Produits!$A$2:$A$1001,0)),"⚠ code article inconnu"))</f>
        <v/>
      </c>
      <c r="D187" s="12"/>
      <c r="E187" s="23"/>
      <c r="F187" s="24"/>
      <c r="G187" s="23"/>
      <c r="H187" s="21" t="str">
        <f aca="true">IF(E187="","",ROUND((E187-TODAY())/30.4,1))</f>
        <v/>
      </c>
      <c r="I187" s="17" t="str">
        <f aca="false">IF(E187="","",IF(H187&lt;0,IF(LEFT(A187,1)="Q","Périmé (en quarantaine)","PÉRIMÉ → déplacer en zone Q"),IF(H187&lt;3,"Péremption &lt; 3 mois",IF(H187&lt;6,"Péremption &lt; 6 mois",""))))</f>
        <v/>
      </c>
      <c r="J187" s="17" t="str">
        <f aca="false">IF(A187="","",IF(COUNTIF(Emplacements!$A$2:$A$1001,A187)=0,"⚠ emplacement inconnu","OK"))</f>
        <v/>
      </c>
      <c r="K187" s="22" t="str">
        <f aca="false">IF(AND(B187&lt;&gt;"",ISNUMBER(SEARCH(Recherche!$C$3,C187&amp;" "&amp;B187&amp;" "&amp;A187&amp;" "&amp;D187))),MAX($K$1:K186)+1,"")</f>
        <v/>
      </c>
    </row>
    <row r="188" customFormat="false" ht="15" hidden="false" customHeight="false" outlineLevel="0" collapsed="false">
      <c r="A188" s="12"/>
      <c r="B188" s="12"/>
      <c r="C188" s="17" t="str">
        <f aca="false">IF(B188="","",IFERROR(INDEX(Produits!$F$2:$F$1001,MATCH(B188,Produits!$A$2:$A$1001,0)),"⚠ code article inconnu"))</f>
        <v/>
      </c>
      <c r="D188" s="12"/>
      <c r="E188" s="23"/>
      <c r="F188" s="24"/>
      <c r="G188" s="23"/>
      <c r="H188" s="21" t="str">
        <f aca="true">IF(E188="","",ROUND((E188-TODAY())/30.4,1))</f>
        <v/>
      </c>
      <c r="I188" s="17" t="str">
        <f aca="false">IF(E188="","",IF(H188&lt;0,IF(LEFT(A188,1)="Q","Périmé (en quarantaine)","PÉRIMÉ → déplacer en zone Q"),IF(H188&lt;3,"Péremption &lt; 3 mois",IF(H188&lt;6,"Péremption &lt; 6 mois",""))))</f>
        <v/>
      </c>
      <c r="J188" s="17" t="str">
        <f aca="false">IF(A188="","",IF(COUNTIF(Emplacements!$A$2:$A$1001,A188)=0,"⚠ emplacement inconnu","OK"))</f>
        <v/>
      </c>
      <c r="K188" s="22" t="str">
        <f aca="false">IF(AND(B188&lt;&gt;"",ISNUMBER(SEARCH(Recherche!$C$3,C188&amp;" "&amp;B188&amp;" "&amp;A188&amp;" "&amp;D188))),MAX($K$1:K187)+1,"")</f>
        <v/>
      </c>
    </row>
    <row r="189" customFormat="false" ht="15" hidden="false" customHeight="false" outlineLevel="0" collapsed="false">
      <c r="A189" s="12"/>
      <c r="B189" s="12"/>
      <c r="C189" s="17" t="str">
        <f aca="false">IF(B189="","",IFERROR(INDEX(Produits!$F$2:$F$1001,MATCH(B189,Produits!$A$2:$A$1001,0)),"⚠ code article inconnu"))</f>
        <v/>
      </c>
      <c r="D189" s="12"/>
      <c r="E189" s="23"/>
      <c r="F189" s="24"/>
      <c r="G189" s="23"/>
      <c r="H189" s="21" t="str">
        <f aca="true">IF(E189="","",ROUND((E189-TODAY())/30.4,1))</f>
        <v/>
      </c>
      <c r="I189" s="17" t="str">
        <f aca="false">IF(E189="","",IF(H189&lt;0,IF(LEFT(A189,1)="Q","Périmé (en quarantaine)","PÉRIMÉ → déplacer en zone Q"),IF(H189&lt;3,"Péremption &lt; 3 mois",IF(H189&lt;6,"Péremption &lt; 6 mois",""))))</f>
        <v/>
      </c>
      <c r="J189" s="17" t="str">
        <f aca="false">IF(A189="","",IF(COUNTIF(Emplacements!$A$2:$A$1001,A189)=0,"⚠ emplacement inconnu","OK"))</f>
        <v/>
      </c>
      <c r="K189" s="22" t="str">
        <f aca="false">IF(AND(B189&lt;&gt;"",ISNUMBER(SEARCH(Recherche!$C$3,C189&amp;" "&amp;B189&amp;" "&amp;A189&amp;" "&amp;D189))),MAX($K$1:K188)+1,"")</f>
        <v/>
      </c>
    </row>
    <row r="190" customFormat="false" ht="15" hidden="false" customHeight="false" outlineLevel="0" collapsed="false">
      <c r="A190" s="12"/>
      <c r="B190" s="12"/>
      <c r="C190" s="17" t="str">
        <f aca="false">IF(B190="","",IFERROR(INDEX(Produits!$F$2:$F$1001,MATCH(B190,Produits!$A$2:$A$1001,0)),"⚠ code article inconnu"))</f>
        <v/>
      </c>
      <c r="D190" s="12"/>
      <c r="E190" s="23"/>
      <c r="F190" s="24"/>
      <c r="G190" s="23"/>
      <c r="H190" s="21" t="str">
        <f aca="true">IF(E190="","",ROUND((E190-TODAY())/30.4,1))</f>
        <v/>
      </c>
      <c r="I190" s="17" t="str">
        <f aca="false">IF(E190="","",IF(H190&lt;0,IF(LEFT(A190,1)="Q","Périmé (en quarantaine)","PÉRIMÉ → déplacer en zone Q"),IF(H190&lt;3,"Péremption &lt; 3 mois",IF(H190&lt;6,"Péremption &lt; 6 mois",""))))</f>
        <v/>
      </c>
      <c r="J190" s="17" t="str">
        <f aca="false">IF(A190="","",IF(COUNTIF(Emplacements!$A$2:$A$1001,A190)=0,"⚠ emplacement inconnu","OK"))</f>
        <v/>
      </c>
      <c r="K190" s="22" t="str">
        <f aca="false">IF(AND(B190&lt;&gt;"",ISNUMBER(SEARCH(Recherche!$C$3,C190&amp;" "&amp;B190&amp;" "&amp;A190&amp;" "&amp;D190))),MAX($K$1:K189)+1,"")</f>
        <v/>
      </c>
    </row>
    <row r="191" customFormat="false" ht="15" hidden="false" customHeight="false" outlineLevel="0" collapsed="false">
      <c r="A191" s="12"/>
      <c r="B191" s="12"/>
      <c r="C191" s="17" t="str">
        <f aca="false">IF(B191="","",IFERROR(INDEX(Produits!$F$2:$F$1001,MATCH(B191,Produits!$A$2:$A$1001,0)),"⚠ code article inconnu"))</f>
        <v/>
      </c>
      <c r="D191" s="12"/>
      <c r="E191" s="23"/>
      <c r="F191" s="24"/>
      <c r="G191" s="23"/>
      <c r="H191" s="21" t="str">
        <f aca="true">IF(E191="","",ROUND((E191-TODAY())/30.4,1))</f>
        <v/>
      </c>
      <c r="I191" s="17" t="str">
        <f aca="false">IF(E191="","",IF(H191&lt;0,IF(LEFT(A191,1)="Q","Périmé (en quarantaine)","PÉRIMÉ → déplacer en zone Q"),IF(H191&lt;3,"Péremption &lt; 3 mois",IF(H191&lt;6,"Péremption &lt; 6 mois",""))))</f>
        <v/>
      </c>
      <c r="J191" s="17" t="str">
        <f aca="false">IF(A191="","",IF(COUNTIF(Emplacements!$A$2:$A$1001,A191)=0,"⚠ emplacement inconnu","OK"))</f>
        <v/>
      </c>
      <c r="K191" s="22" t="str">
        <f aca="false">IF(AND(B191&lt;&gt;"",ISNUMBER(SEARCH(Recherche!$C$3,C191&amp;" "&amp;B191&amp;" "&amp;A191&amp;" "&amp;D191))),MAX($K$1:K190)+1,"")</f>
        <v/>
      </c>
    </row>
    <row r="192" customFormat="false" ht="15" hidden="false" customHeight="false" outlineLevel="0" collapsed="false">
      <c r="A192" s="12"/>
      <c r="B192" s="12"/>
      <c r="C192" s="17" t="str">
        <f aca="false">IF(B192="","",IFERROR(INDEX(Produits!$F$2:$F$1001,MATCH(B192,Produits!$A$2:$A$1001,0)),"⚠ code article inconnu"))</f>
        <v/>
      </c>
      <c r="D192" s="12"/>
      <c r="E192" s="23"/>
      <c r="F192" s="24"/>
      <c r="G192" s="23"/>
      <c r="H192" s="21" t="str">
        <f aca="true">IF(E192="","",ROUND((E192-TODAY())/30.4,1))</f>
        <v/>
      </c>
      <c r="I192" s="17" t="str">
        <f aca="false">IF(E192="","",IF(H192&lt;0,IF(LEFT(A192,1)="Q","Périmé (en quarantaine)","PÉRIMÉ → déplacer en zone Q"),IF(H192&lt;3,"Péremption &lt; 3 mois",IF(H192&lt;6,"Péremption &lt; 6 mois",""))))</f>
        <v/>
      </c>
      <c r="J192" s="17" t="str">
        <f aca="false">IF(A192="","",IF(COUNTIF(Emplacements!$A$2:$A$1001,A192)=0,"⚠ emplacement inconnu","OK"))</f>
        <v/>
      </c>
      <c r="K192" s="22" t="str">
        <f aca="false">IF(AND(B192&lt;&gt;"",ISNUMBER(SEARCH(Recherche!$C$3,C192&amp;" "&amp;B192&amp;" "&amp;A192&amp;" "&amp;D192))),MAX($K$1:K191)+1,"")</f>
        <v/>
      </c>
    </row>
    <row r="193" customFormat="false" ht="15" hidden="false" customHeight="false" outlineLevel="0" collapsed="false">
      <c r="A193" s="12"/>
      <c r="B193" s="12"/>
      <c r="C193" s="17" t="str">
        <f aca="false">IF(B193="","",IFERROR(INDEX(Produits!$F$2:$F$1001,MATCH(B193,Produits!$A$2:$A$1001,0)),"⚠ code article inconnu"))</f>
        <v/>
      </c>
      <c r="D193" s="12"/>
      <c r="E193" s="23"/>
      <c r="F193" s="24"/>
      <c r="G193" s="23"/>
      <c r="H193" s="21" t="str">
        <f aca="true">IF(E193="","",ROUND((E193-TODAY())/30.4,1))</f>
        <v/>
      </c>
      <c r="I193" s="17" t="str">
        <f aca="false">IF(E193="","",IF(H193&lt;0,IF(LEFT(A193,1)="Q","Périmé (en quarantaine)","PÉRIMÉ → déplacer en zone Q"),IF(H193&lt;3,"Péremption &lt; 3 mois",IF(H193&lt;6,"Péremption &lt; 6 mois",""))))</f>
        <v/>
      </c>
      <c r="J193" s="17" t="str">
        <f aca="false">IF(A193="","",IF(COUNTIF(Emplacements!$A$2:$A$1001,A193)=0,"⚠ emplacement inconnu","OK"))</f>
        <v/>
      </c>
      <c r="K193" s="22" t="str">
        <f aca="false">IF(AND(B193&lt;&gt;"",ISNUMBER(SEARCH(Recherche!$C$3,C193&amp;" "&amp;B193&amp;" "&amp;A193&amp;" "&amp;D193))),MAX($K$1:K192)+1,"")</f>
        <v/>
      </c>
    </row>
    <row r="194" customFormat="false" ht="15" hidden="false" customHeight="false" outlineLevel="0" collapsed="false">
      <c r="A194" s="12"/>
      <c r="B194" s="12"/>
      <c r="C194" s="17" t="str">
        <f aca="false">IF(B194="","",IFERROR(INDEX(Produits!$F$2:$F$1001,MATCH(B194,Produits!$A$2:$A$1001,0)),"⚠ code article inconnu"))</f>
        <v/>
      </c>
      <c r="D194" s="12"/>
      <c r="E194" s="23"/>
      <c r="F194" s="24"/>
      <c r="G194" s="23"/>
      <c r="H194" s="21" t="str">
        <f aca="true">IF(E194="","",ROUND((E194-TODAY())/30.4,1))</f>
        <v/>
      </c>
      <c r="I194" s="17" t="str">
        <f aca="false">IF(E194="","",IF(H194&lt;0,IF(LEFT(A194,1)="Q","Périmé (en quarantaine)","PÉRIMÉ → déplacer en zone Q"),IF(H194&lt;3,"Péremption &lt; 3 mois",IF(H194&lt;6,"Péremption &lt; 6 mois",""))))</f>
        <v/>
      </c>
      <c r="J194" s="17" t="str">
        <f aca="false">IF(A194="","",IF(COUNTIF(Emplacements!$A$2:$A$1001,A194)=0,"⚠ emplacement inconnu","OK"))</f>
        <v/>
      </c>
      <c r="K194" s="22" t="str">
        <f aca="false">IF(AND(B194&lt;&gt;"",ISNUMBER(SEARCH(Recherche!$C$3,C194&amp;" "&amp;B194&amp;" "&amp;A194&amp;" "&amp;D194))),MAX($K$1:K193)+1,"")</f>
        <v/>
      </c>
    </row>
    <row r="195" customFormat="false" ht="15" hidden="false" customHeight="false" outlineLevel="0" collapsed="false">
      <c r="A195" s="12"/>
      <c r="B195" s="12"/>
      <c r="C195" s="17" t="str">
        <f aca="false">IF(B195="","",IFERROR(INDEX(Produits!$F$2:$F$1001,MATCH(B195,Produits!$A$2:$A$1001,0)),"⚠ code article inconnu"))</f>
        <v/>
      </c>
      <c r="D195" s="12"/>
      <c r="E195" s="23"/>
      <c r="F195" s="24"/>
      <c r="G195" s="23"/>
      <c r="H195" s="21" t="str">
        <f aca="true">IF(E195="","",ROUND((E195-TODAY())/30.4,1))</f>
        <v/>
      </c>
      <c r="I195" s="17" t="str">
        <f aca="false">IF(E195="","",IF(H195&lt;0,IF(LEFT(A195,1)="Q","Périmé (en quarantaine)","PÉRIMÉ → déplacer en zone Q"),IF(H195&lt;3,"Péremption &lt; 3 mois",IF(H195&lt;6,"Péremption &lt; 6 mois",""))))</f>
        <v/>
      </c>
      <c r="J195" s="17" t="str">
        <f aca="false">IF(A195="","",IF(COUNTIF(Emplacements!$A$2:$A$1001,A195)=0,"⚠ emplacement inconnu","OK"))</f>
        <v/>
      </c>
      <c r="K195" s="22" t="str">
        <f aca="false">IF(AND(B195&lt;&gt;"",ISNUMBER(SEARCH(Recherche!$C$3,C195&amp;" "&amp;B195&amp;" "&amp;A195&amp;" "&amp;D195))),MAX($K$1:K194)+1,"")</f>
        <v/>
      </c>
    </row>
    <row r="196" customFormat="false" ht="15" hidden="false" customHeight="false" outlineLevel="0" collapsed="false">
      <c r="A196" s="12"/>
      <c r="B196" s="12"/>
      <c r="C196" s="17" t="str">
        <f aca="false">IF(B196="","",IFERROR(INDEX(Produits!$F$2:$F$1001,MATCH(B196,Produits!$A$2:$A$1001,0)),"⚠ code article inconnu"))</f>
        <v/>
      </c>
      <c r="D196" s="12"/>
      <c r="E196" s="23"/>
      <c r="F196" s="24"/>
      <c r="G196" s="23"/>
      <c r="H196" s="21" t="str">
        <f aca="true">IF(E196="","",ROUND((E196-TODAY())/30.4,1))</f>
        <v/>
      </c>
      <c r="I196" s="17" t="str">
        <f aca="false">IF(E196="","",IF(H196&lt;0,IF(LEFT(A196,1)="Q","Périmé (en quarantaine)","PÉRIMÉ → déplacer en zone Q"),IF(H196&lt;3,"Péremption &lt; 3 mois",IF(H196&lt;6,"Péremption &lt; 6 mois",""))))</f>
        <v/>
      </c>
      <c r="J196" s="17" t="str">
        <f aca="false">IF(A196="","",IF(COUNTIF(Emplacements!$A$2:$A$1001,A196)=0,"⚠ emplacement inconnu","OK"))</f>
        <v/>
      </c>
      <c r="K196" s="22" t="str">
        <f aca="false">IF(AND(B196&lt;&gt;"",ISNUMBER(SEARCH(Recherche!$C$3,C196&amp;" "&amp;B196&amp;" "&amp;A196&amp;" "&amp;D196))),MAX($K$1:K195)+1,"")</f>
        <v/>
      </c>
    </row>
    <row r="197" customFormat="false" ht="15" hidden="false" customHeight="false" outlineLevel="0" collapsed="false">
      <c r="A197" s="12"/>
      <c r="B197" s="12"/>
      <c r="C197" s="17" t="str">
        <f aca="false">IF(B197="","",IFERROR(INDEX(Produits!$F$2:$F$1001,MATCH(B197,Produits!$A$2:$A$1001,0)),"⚠ code article inconnu"))</f>
        <v/>
      </c>
      <c r="D197" s="12"/>
      <c r="E197" s="23"/>
      <c r="F197" s="24"/>
      <c r="G197" s="23"/>
      <c r="H197" s="21" t="str">
        <f aca="true">IF(E197="","",ROUND((E197-TODAY())/30.4,1))</f>
        <v/>
      </c>
      <c r="I197" s="17" t="str">
        <f aca="false">IF(E197="","",IF(H197&lt;0,IF(LEFT(A197,1)="Q","Périmé (en quarantaine)","PÉRIMÉ → déplacer en zone Q"),IF(H197&lt;3,"Péremption &lt; 3 mois",IF(H197&lt;6,"Péremption &lt; 6 mois",""))))</f>
        <v/>
      </c>
      <c r="J197" s="17" t="str">
        <f aca="false">IF(A197="","",IF(COUNTIF(Emplacements!$A$2:$A$1001,A197)=0,"⚠ emplacement inconnu","OK"))</f>
        <v/>
      </c>
      <c r="K197" s="22" t="str">
        <f aca="false">IF(AND(B197&lt;&gt;"",ISNUMBER(SEARCH(Recherche!$C$3,C197&amp;" "&amp;B197&amp;" "&amp;A197&amp;" "&amp;D197))),MAX($K$1:K196)+1,"")</f>
        <v/>
      </c>
    </row>
    <row r="198" customFormat="false" ht="15" hidden="false" customHeight="false" outlineLevel="0" collapsed="false">
      <c r="A198" s="12"/>
      <c r="B198" s="12"/>
      <c r="C198" s="17" t="str">
        <f aca="false">IF(B198="","",IFERROR(INDEX(Produits!$F$2:$F$1001,MATCH(B198,Produits!$A$2:$A$1001,0)),"⚠ code article inconnu"))</f>
        <v/>
      </c>
      <c r="D198" s="12"/>
      <c r="E198" s="23"/>
      <c r="F198" s="24"/>
      <c r="G198" s="23"/>
      <c r="H198" s="21" t="str">
        <f aca="true">IF(E198="","",ROUND((E198-TODAY())/30.4,1))</f>
        <v/>
      </c>
      <c r="I198" s="17" t="str">
        <f aca="false">IF(E198="","",IF(H198&lt;0,IF(LEFT(A198,1)="Q","Périmé (en quarantaine)","PÉRIMÉ → déplacer en zone Q"),IF(H198&lt;3,"Péremption &lt; 3 mois",IF(H198&lt;6,"Péremption &lt; 6 mois",""))))</f>
        <v/>
      </c>
      <c r="J198" s="17" t="str">
        <f aca="false">IF(A198="","",IF(COUNTIF(Emplacements!$A$2:$A$1001,A198)=0,"⚠ emplacement inconnu","OK"))</f>
        <v/>
      </c>
      <c r="K198" s="22" t="str">
        <f aca="false">IF(AND(B198&lt;&gt;"",ISNUMBER(SEARCH(Recherche!$C$3,C198&amp;" "&amp;B198&amp;" "&amp;A198&amp;" "&amp;D198))),MAX($K$1:K197)+1,"")</f>
        <v/>
      </c>
    </row>
    <row r="199" customFormat="false" ht="15" hidden="false" customHeight="false" outlineLevel="0" collapsed="false">
      <c r="A199" s="12"/>
      <c r="B199" s="12"/>
      <c r="C199" s="17" t="str">
        <f aca="false">IF(B199="","",IFERROR(INDEX(Produits!$F$2:$F$1001,MATCH(B199,Produits!$A$2:$A$1001,0)),"⚠ code article inconnu"))</f>
        <v/>
      </c>
      <c r="D199" s="12"/>
      <c r="E199" s="23"/>
      <c r="F199" s="24"/>
      <c r="G199" s="23"/>
      <c r="H199" s="21" t="str">
        <f aca="true">IF(E199="","",ROUND((E199-TODAY())/30.4,1))</f>
        <v/>
      </c>
      <c r="I199" s="17" t="str">
        <f aca="false">IF(E199="","",IF(H199&lt;0,IF(LEFT(A199,1)="Q","Périmé (en quarantaine)","PÉRIMÉ → déplacer en zone Q"),IF(H199&lt;3,"Péremption &lt; 3 mois",IF(H199&lt;6,"Péremption &lt; 6 mois",""))))</f>
        <v/>
      </c>
      <c r="J199" s="17" t="str">
        <f aca="false">IF(A199="","",IF(COUNTIF(Emplacements!$A$2:$A$1001,A199)=0,"⚠ emplacement inconnu","OK"))</f>
        <v/>
      </c>
      <c r="K199" s="22" t="str">
        <f aca="false">IF(AND(B199&lt;&gt;"",ISNUMBER(SEARCH(Recherche!$C$3,C199&amp;" "&amp;B199&amp;" "&amp;A199&amp;" "&amp;D199))),MAX($K$1:K198)+1,"")</f>
        <v/>
      </c>
    </row>
    <row r="200" customFormat="false" ht="15" hidden="false" customHeight="false" outlineLevel="0" collapsed="false">
      <c r="A200" s="12"/>
      <c r="B200" s="12"/>
      <c r="C200" s="17" t="str">
        <f aca="false">IF(B200="","",IFERROR(INDEX(Produits!$F$2:$F$1001,MATCH(B200,Produits!$A$2:$A$1001,0)),"⚠ code article inconnu"))</f>
        <v/>
      </c>
      <c r="D200" s="12"/>
      <c r="E200" s="23"/>
      <c r="F200" s="24"/>
      <c r="G200" s="23"/>
      <c r="H200" s="21" t="str">
        <f aca="true">IF(E200="","",ROUND((E200-TODAY())/30.4,1))</f>
        <v/>
      </c>
      <c r="I200" s="17" t="str">
        <f aca="false">IF(E200="","",IF(H200&lt;0,IF(LEFT(A200,1)="Q","Périmé (en quarantaine)","PÉRIMÉ → déplacer en zone Q"),IF(H200&lt;3,"Péremption &lt; 3 mois",IF(H200&lt;6,"Péremption &lt; 6 mois",""))))</f>
        <v/>
      </c>
      <c r="J200" s="17" t="str">
        <f aca="false">IF(A200="","",IF(COUNTIF(Emplacements!$A$2:$A$1001,A200)=0,"⚠ emplacement inconnu","OK"))</f>
        <v/>
      </c>
      <c r="K200" s="22" t="str">
        <f aca="false">IF(AND(B200&lt;&gt;"",ISNUMBER(SEARCH(Recherche!$C$3,C200&amp;" "&amp;B200&amp;" "&amp;A200&amp;" "&amp;D200))),MAX($K$1:K199)+1,"")</f>
        <v/>
      </c>
    </row>
    <row r="201" customFormat="false" ht="15" hidden="false" customHeight="false" outlineLevel="0" collapsed="false">
      <c r="A201" s="12"/>
      <c r="B201" s="12"/>
      <c r="C201" s="17" t="str">
        <f aca="false">IF(B201="","",IFERROR(INDEX(Produits!$F$2:$F$1001,MATCH(B201,Produits!$A$2:$A$1001,0)),"⚠ code article inconnu"))</f>
        <v/>
      </c>
      <c r="D201" s="12"/>
      <c r="E201" s="23"/>
      <c r="F201" s="24"/>
      <c r="G201" s="23"/>
      <c r="H201" s="21" t="str">
        <f aca="true">IF(E201="","",ROUND((E201-TODAY())/30.4,1))</f>
        <v/>
      </c>
      <c r="I201" s="17" t="str">
        <f aca="false">IF(E201="","",IF(H201&lt;0,IF(LEFT(A201,1)="Q","Périmé (en quarantaine)","PÉRIMÉ → déplacer en zone Q"),IF(H201&lt;3,"Péremption &lt; 3 mois",IF(H201&lt;6,"Péremption &lt; 6 mois",""))))</f>
        <v/>
      </c>
      <c r="J201" s="17" t="str">
        <f aca="false">IF(A201="","",IF(COUNTIF(Emplacements!$A$2:$A$1001,A201)=0,"⚠ emplacement inconnu","OK"))</f>
        <v/>
      </c>
      <c r="K201" s="22" t="str">
        <f aca="false">IF(AND(B201&lt;&gt;"",ISNUMBER(SEARCH(Recherche!$C$3,C201&amp;" "&amp;B201&amp;" "&amp;A201&amp;" "&amp;D201))),MAX($K$1:K200)+1,"")</f>
        <v/>
      </c>
    </row>
    <row r="202" customFormat="false" ht="15" hidden="false" customHeight="false" outlineLevel="0" collapsed="false">
      <c r="A202" s="12"/>
      <c r="B202" s="12"/>
      <c r="C202" s="17" t="str">
        <f aca="false">IF(B202="","",IFERROR(INDEX(Produits!$F$2:$F$1001,MATCH(B202,Produits!$A$2:$A$1001,0)),"⚠ code article inconnu"))</f>
        <v/>
      </c>
      <c r="D202" s="12"/>
      <c r="E202" s="23"/>
      <c r="F202" s="24"/>
      <c r="G202" s="23"/>
      <c r="H202" s="21" t="str">
        <f aca="true">IF(E202="","",ROUND((E202-TODAY())/30.4,1))</f>
        <v/>
      </c>
      <c r="I202" s="17" t="str">
        <f aca="false">IF(E202="","",IF(H202&lt;0,IF(LEFT(A202,1)="Q","Périmé (en quarantaine)","PÉRIMÉ → déplacer en zone Q"),IF(H202&lt;3,"Péremption &lt; 3 mois",IF(H202&lt;6,"Péremption &lt; 6 mois",""))))</f>
        <v/>
      </c>
      <c r="J202" s="17" t="str">
        <f aca="false">IF(A202="","",IF(COUNTIF(Emplacements!$A$2:$A$1001,A202)=0,"⚠ emplacement inconnu","OK"))</f>
        <v/>
      </c>
      <c r="K202" s="22" t="str">
        <f aca="false">IF(AND(B202&lt;&gt;"",ISNUMBER(SEARCH(Recherche!$C$3,C202&amp;" "&amp;B202&amp;" "&amp;A202&amp;" "&amp;D202))),MAX($K$1:K201)+1,"")</f>
        <v/>
      </c>
    </row>
    <row r="203" customFormat="false" ht="15" hidden="false" customHeight="false" outlineLevel="0" collapsed="false">
      <c r="A203" s="12"/>
      <c r="B203" s="12"/>
      <c r="C203" s="17" t="str">
        <f aca="false">IF(B203="","",IFERROR(INDEX(Produits!$F$2:$F$1001,MATCH(B203,Produits!$A$2:$A$1001,0)),"⚠ code article inconnu"))</f>
        <v/>
      </c>
      <c r="D203" s="12"/>
      <c r="E203" s="23"/>
      <c r="F203" s="24"/>
      <c r="G203" s="23"/>
      <c r="H203" s="21" t="str">
        <f aca="true">IF(E203="","",ROUND((E203-TODAY())/30.4,1))</f>
        <v/>
      </c>
      <c r="I203" s="17" t="str">
        <f aca="false">IF(E203="","",IF(H203&lt;0,IF(LEFT(A203,1)="Q","Périmé (en quarantaine)","PÉRIMÉ → déplacer en zone Q"),IF(H203&lt;3,"Péremption &lt; 3 mois",IF(H203&lt;6,"Péremption &lt; 6 mois",""))))</f>
        <v/>
      </c>
      <c r="J203" s="17" t="str">
        <f aca="false">IF(A203="","",IF(COUNTIF(Emplacements!$A$2:$A$1001,A203)=0,"⚠ emplacement inconnu","OK"))</f>
        <v/>
      </c>
      <c r="K203" s="22" t="str">
        <f aca="false">IF(AND(B203&lt;&gt;"",ISNUMBER(SEARCH(Recherche!$C$3,C203&amp;" "&amp;B203&amp;" "&amp;A203&amp;" "&amp;D203))),MAX($K$1:K202)+1,"")</f>
        <v/>
      </c>
    </row>
    <row r="204" customFormat="false" ht="15" hidden="false" customHeight="false" outlineLevel="0" collapsed="false">
      <c r="A204" s="12"/>
      <c r="B204" s="12"/>
      <c r="C204" s="17" t="str">
        <f aca="false">IF(B204="","",IFERROR(INDEX(Produits!$F$2:$F$1001,MATCH(B204,Produits!$A$2:$A$1001,0)),"⚠ code article inconnu"))</f>
        <v/>
      </c>
      <c r="D204" s="12"/>
      <c r="E204" s="23"/>
      <c r="F204" s="24"/>
      <c r="G204" s="23"/>
      <c r="H204" s="21" t="str">
        <f aca="true">IF(E204="","",ROUND((E204-TODAY())/30.4,1))</f>
        <v/>
      </c>
      <c r="I204" s="17" t="str">
        <f aca="false">IF(E204="","",IF(H204&lt;0,IF(LEFT(A204,1)="Q","Périmé (en quarantaine)","PÉRIMÉ → déplacer en zone Q"),IF(H204&lt;3,"Péremption &lt; 3 mois",IF(H204&lt;6,"Péremption &lt; 6 mois",""))))</f>
        <v/>
      </c>
      <c r="J204" s="17" t="str">
        <f aca="false">IF(A204="","",IF(COUNTIF(Emplacements!$A$2:$A$1001,A204)=0,"⚠ emplacement inconnu","OK"))</f>
        <v/>
      </c>
      <c r="K204" s="22" t="str">
        <f aca="false">IF(AND(B204&lt;&gt;"",ISNUMBER(SEARCH(Recherche!$C$3,C204&amp;" "&amp;B204&amp;" "&amp;A204&amp;" "&amp;D204))),MAX($K$1:K203)+1,"")</f>
        <v/>
      </c>
    </row>
    <row r="205" customFormat="false" ht="15" hidden="false" customHeight="false" outlineLevel="0" collapsed="false">
      <c r="A205" s="12"/>
      <c r="B205" s="12"/>
      <c r="C205" s="17" t="str">
        <f aca="false">IF(B205="","",IFERROR(INDEX(Produits!$F$2:$F$1001,MATCH(B205,Produits!$A$2:$A$1001,0)),"⚠ code article inconnu"))</f>
        <v/>
      </c>
      <c r="D205" s="12"/>
      <c r="E205" s="23"/>
      <c r="F205" s="24"/>
      <c r="G205" s="23"/>
      <c r="H205" s="21" t="str">
        <f aca="true">IF(E205="","",ROUND((E205-TODAY())/30.4,1))</f>
        <v/>
      </c>
      <c r="I205" s="17" t="str">
        <f aca="false">IF(E205="","",IF(H205&lt;0,IF(LEFT(A205,1)="Q","Périmé (en quarantaine)","PÉRIMÉ → déplacer en zone Q"),IF(H205&lt;3,"Péremption &lt; 3 mois",IF(H205&lt;6,"Péremption &lt; 6 mois",""))))</f>
        <v/>
      </c>
      <c r="J205" s="17" t="str">
        <f aca="false">IF(A205="","",IF(COUNTIF(Emplacements!$A$2:$A$1001,A205)=0,"⚠ emplacement inconnu","OK"))</f>
        <v/>
      </c>
      <c r="K205" s="22" t="str">
        <f aca="false">IF(AND(B205&lt;&gt;"",ISNUMBER(SEARCH(Recherche!$C$3,C205&amp;" "&amp;B205&amp;" "&amp;A205&amp;" "&amp;D205))),MAX($K$1:K204)+1,"")</f>
        <v/>
      </c>
    </row>
    <row r="206" customFormat="false" ht="15" hidden="false" customHeight="false" outlineLevel="0" collapsed="false">
      <c r="A206" s="12"/>
      <c r="B206" s="12"/>
      <c r="C206" s="17" t="str">
        <f aca="false">IF(B206="","",IFERROR(INDEX(Produits!$F$2:$F$1001,MATCH(B206,Produits!$A$2:$A$1001,0)),"⚠ code article inconnu"))</f>
        <v/>
      </c>
      <c r="D206" s="12"/>
      <c r="E206" s="23"/>
      <c r="F206" s="24"/>
      <c r="G206" s="23"/>
      <c r="H206" s="21" t="str">
        <f aca="true">IF(E206="","",ROUND((E206-TODAY())/30.4,1))</f>
        <v/>
      </c>
      <c r="I206" s="17" t="str">
        <f aca="false">IF(E206="","",IF(H206&lt;0,IF(LEFT(A206,1)="Q","Périmé (en quarantaine)","PÉRIMÉ → déplacer en zone Q"),IF(H206&lt;3,"Péremption &lt; 3 mois",IF(H206&lt;6,"Péremption &lt; 6 mois",""))))</f>
        <v/>
      </c>
      <c r="J206" s="17" t="str">
        <f aca="false">IF(A206="","",IF(COUNTIF(Emplacements!$A$2:$A$1001,A206)=0,"⚠ emplacement inconnu","OK"))</f>
        <v/>
      </c>
      <c r="K206" s="22" t="str">
        <f aca="false">IF(AND(B206&lt;&gt;"",ISNUMBER(SEARCH(Recherche!$C$3,C206&amp;" "&amp;B206&amp;" "&amp;A206&amp;" "&amp;D206))),MAX($K$1:K205)+1,"")</f>
        <v/>
      </c>
    </row>
    <row r="207" customFormat="false" ht="15" hidden="false" customHeight="false" outlineLevel="0" collapsed="false">
      <c r="A207" s="12"/>
      <c r="B207" s="12"/>
      <c r="C207" s="17" t="str">
        <f aca="false">IF(B207="","",IFERROR(INDEX(Produits!$F$2:$F$1001,MATCH(B207,Produits!$A$2:$A$1001,0)),"⚠ code article inconnu"))</f>
        <v/>
      </c>
      <c r="D207" s="12"/>
      <c r="E207" s="23"/>
      <c r="F207" s="24"/>
      <c r="G207" s="23"/>
      <c r="H207" s="21" t="str">
        <f aca="true">IF(E207="","",ROUND((E207-TODAY())/30.4,1))</f>
        <v/>
      </c>
      <c r="I207" s="17" t="str">
        <f aca="false">IF(E207="","",IF(H207&lt;0,IF(LEFT(A207,1)="Q","Périmé (en quarantaine)","PÉRIMÉ → déplacer en zone Q"),IF(H207&lt;3,"Péremption &lt; 3 mois",IF(H207&lt;6,"Péremption &lt; 6 mois",""))))</f>
        <v/>
      </c>
      <c r="J207" s="17" t="str">
        <f aca="false">IF(A207="","",IF(COUNTIF(Emplacements!$A$2:$A$1001,A207)=0,"⚠ emplacement inconnu","OK"))</f>
        <v/>
      </c>
      <c r="K207" s="22" t="str">
        <f aca="false">IF(AND(B207&lt;&gt;"",ISNUMBER(SEARCH(Recherche!$C$3,C207&amp;" "&amp;B207&amp;" "&amp;A207&amp;" "&amp;D207))),MAX($K$1:K206)+1,"")</f>
        <v/>
      </c>
    </row>
    <row r="208" customFormat="false" ht="15" hidden="false" customHeight="false" outlineLevel="0" collapsed="false">
      <c r="A208" s="12"/>
      <c r="B208" s="12"/>
      <c r="C208" s="17" t="str">
        <f aca="false">IF(B208="","",IFERROR(INDEX(Produits!$F$2:$F$1001,MATCH(B208,Produits!$A$2:$A$1001,0)),"⚠ code article inconnu"))</f>
        <v/>
      </c>
      <c r="D208" s="12"/>
      <c r="E208" s="23"/>
      <c r="F208" s="24"/>
      <c r="G208" s="23"/>
      <c r="H208" s="21" t="str">
        <f aca="true">IF(E208="","",ROUND((E208-TODAY())/30.4,1))</f>
        <v/>
      </c>
      <c r="I208" s="17" t="str">
        <f aca="false">IF(E208="","",IF(H208&lt;0,IF(LEFT(A208,1)="Q","Périmé (en quarantaine)","PÉRIMÉ → déplacer en zone Q"),IF(H208&lt;3,"Péremption &lt; 3 mois",IF(H208&lt;6,"Péremption &lt; 6 mois",""))))</f>
        <v/>
      </c>
      <c r="J208" s="17" t="str">
        <f aca="false">IF(A208="","",IF(COUNTIF(Emplacements!$A$2:$A$1001,A208)=0,"⚠ emplacement inconnu","OK"))</f>
        <v/>
      </c>
      <c r="K208" s="22" t="str">
        <f aca="false">IF(AND(B208&lt;&gt;"",ISNUMBER(SEARCH(Recherche!$C$3,C208&amp;" "&amp;B208&amp;" "&amp;A208&amp;" "&amp;D208))),MAX($K$1:K207)+1,"")</f>
        <v/>
      </c>
    </row>
    <row r="209" customFormat="false" ht="15" hidden="false" customHeight="false" outlineLevel="0" collapsed="false">
      <c r="A209" s="12"/>
      <c r="B209" s="12"/>
      <c r="C209" s="17" t="str">
        <f aca="false">IF(B209="","",IFERROR(INDEX(Produits!$F$2:$F$1001,MATCH(B209,Produits!$A$2:$A$1001,0)),"⚠ code article inconnu"))</f>
        <v/>
      </c>
      <c r="D209" s="12"/>
      <c r="E209" s="23"/>
      <c r="F209" s="24"/>
      <c r="G209" s="23"/>
      <c r="H209" s="21" t="str">
        <f aca="true">IF(E209="","",ROUND((E209-TODAY())/30.4,1))</f>
        <v/>
      </c>
      <c r="I209" s="17" t="str">
        <f aca="false">IF(E209="","",IF(H209&lt;0,IF(LEFT(A209,1)="Q","Périmé (en quarantaine)","PÉRIMÉ → déplacer en zone Q"),IF(H209&lt;3,"Péremption &lt; 3 mois",IF(H209&lt;6,"Péremption &lt; 6 mois",""))))</f>
        <v/>
      </c>
      <c r="J209" s="17" t="str">
        <f aca="false">IF(A209="","",IF(COUNTIF(Emplacements!$A$2:$A$1001,A209)=0,"⚠ emplacement inconnu","OK"))</f>
        <v/>
      </c>
      <c r="K209" s="22" t="str">
        <f aca="false">IF(AND(B209&lt;&gt;"",ISNUMBER(SEARCH(Recherche!$C$3,C209&amp;" "&amp;B209&amp;" "&amp;A209&amp;" "&amp;D209))),MAX($K$1:K208)+1,"")</f>
        <v/>
      </c>
    </row>
    <row r="210" customFormat="false" ht="15" hidden="false" customHeight="false" outlineLevel="0" collapsed="false">
      <c r="A210" s="12"/>
      <c r="B210" s="12"/>
      <c r="C210" s="17" t="str">
        <f aca="false">IF(B210="","",IFERROR(INDEX(Produits!$F$2:$F$1001,MATCH(B210,Produits!$A$2:$A$1001,0)),"⚠ code article inconnu"))</f>
        <v/>
      </c>
      <c r="D210" s="12"/>
      <c r="E210" s="23"/>
      <c r="F210" s="24"/>
      <c r="G210" s="23"/>
      <c r="H210" s="21" t="str">
        <f aca="true">IF(E210="","",ROUND((E210-TODAY())/30.4,1))</f>
        <v/>
      </c>
      <c r="I210" s="17" t="str">
        <f aca="false">IF(E210="","",IF(H210&lt;0,IF(LEFT(A210,1)="Q","Périmé (en quarantaine)","PÉRIMÉ → déplacer en zone Q"),IF(H210&lt;3,"Péremption &lt; 3 mois",IF(H210&lt;6,"Péremption &lt; 6 mois",""))))</f>
        <v/>
      </c>
      <c r="J210" s="17" t="str">
        <f aca="false">IF(A210="","",IF(COUNTIF(Emplacements!$A$2:$A$1001,A210)=0,"⚠ emplacement inconnu","OK"))</f>
        <v/>
      </c>
      <c r="K210" s="22" t="str">
        <f aca="false">IF(AND(B210&lt;&gt;"",ISNUMBER(SEARCH(Recherche!$C$3,C210&amp;" "&amp;B210&amp;" "&amp;A210&amp;" "&amp;D210))),MAX($K$1:K209)+1,"")</f>
        <v/>
      </c>
    </row>
    <row r="211" customFormat="false" ht="15" hidden="false" customHeight="false" outlineLevel="0" collapsed="false">
      <c r="A211" s="12"/>
      <c r="B211" s="12"/>
      <c r="C211" s="17" t="str">
        <f aca="false">IF(B211="","",IFERROR(INDEX(Produits!$F$2:$F$1001,MATCH(B211,Produits!$A$2:$A$1001,0)),"⚠ code article inconnu"))</f>
        <v/>
      </c>
      <c r="D211" s="12"/>
      <c r="E211" s="23"/>
      <c r="F211" s="24"/>
      <c r="G211" s="23"/>
      <c r="H211" s="21" t="str">
        <f aca="true">IF(E211="","",ROUND((E211-TODAY())/30.4,1))</f>
        <v/>
      </c>
      <c r="I211" s="17" t="str">
        <f aca="false">IF(E211="","",IF(H211&lt;0,IF(LEFT(A211,1)="Q","Périmé (en quarantaine)","PÉRIMÉ → déplacer en zone Q"),IF(H211&lt;3,"Péremption &lt; 3 mois",IF(H211&lt;6,"Péremption &lt; 6 mois",""))))</f>
        <v/>
      </c>
      <c r="J211" s="17" t="str">
        <f aca="false">IF(A211="","",IF(COUNTIF(Emplacements!$A$2:$A$1001,A211)=0,"⚠ emplacement inconnu","OK"))</f>
        <v/>
      </c>
      <c r="K211" s="22" t="str">
        <f aca="false">IF(AND(B211&lt;&gt;"",ISNUMBER(SEARCH(Recherche!$C$3,C211&amp;" "&amp;B211&amp;" "&amp;A211&amp;" "&amp;D211))),MAX($K$1:K210)+1,"")</f>
        <v/>
      </c>
    </row>
    <row r="212" customFormat="false" ht="15" hidden="false" customHeight="false" outlineLevel="0" collapsed="false">
      <c r="A212" s="12"/>
      <c r="B212" s="12"/>
      <c r="C212" s="17" t="str">
        <f aca="false">IF(B212="","",IFERROR(INDEX(Produits!$F$2:$F$1001,MATCH(B212,Produits!$A$2:$A$1001,0)),"⚠ code article inconnu"))</f>
        <v/>
      </c>
      <c r="D212" s="12"/>
      <c r="E212" s="23"/>
      <c r="F212" s="24"/>
      <c r="G212" s="23"/>
      <c r="H212" s="21" t="str">
        <f aca="true">IF(E212="","",ROUND((E212-TODAY())/30.4,1))</f>
        <v/>
      </c>
      <c r="I212" s="17" t="str">
        <f aca="false">IF(E212="","",IF(H212&lt;0,IF(LEFT(A212,1)="Q","Périmé (en quarantaine)","PÉRIMÉ → déplacer en zone Q"),IF(H212&lt;3,"Péremption &lt; 3 mois",IF(H212&lt;6,"Péremption &lt; 6 mois",""))))</f>
        <v/>
      </c>
      <c r="J212" s="17" t="str">
        <f aca="false">IF(A212="","",IF(COUNTIF(Emplacements!$A$2:$A$1001,A212)=0,"⚠ emplacement inconnu","OK"))</f>
        <v/>
      </c>
      <c r="K212" s="22" t="str">
        <f aca="false">IF(AND(B212&lt;&gt;"",ISNUMBER(SEARCH(Recherche!$C$3,C212&amp;" "&amp;B212&amp;" "&amp;A212&amp;" "&amp;D212))),MAX($K$1:K211)+1,"")</f>
        <v/>
      </c>
    </row>
    <row r="213" customFormat="false" ht="15" hidden="false" customHeight="false" outlineLevel="0" collapsed="false">
      <c r="A213" s="12"/>
      <c r="B213" s="12"/>
      <c r="C213" s="17" t="str">
        <f aca="false">IF(B213="","",IFERROR(INDEX(Produits!$F$2:$F$1001,MATCH(B213,Produits!$A$2:$A$1001,0)),"⚠ code article inconnu"))</f>
        <v/>
      </c>
      <c r="D213" s="12"/>
      <c r="E213" s="23"/>
      <c r="F213" s="24"/>
      <c r="G213" s="23"/>
      <c r="H213" s="21" t="str">
        <f aca="true">IF(E213="","",ROUND((E213-TODAY())/30.4,1))</f>
        <v/>
      </c>
      <c r="I213" s="17" t="str">
        <f aca="false">IF(E213="","",IF(H213&lt;0,IF(LEFT(A213,1)="Q","Périmé (en quarantaine)","PÉRIMÉ → déplacer en zone Q"),IF(H213&lt;3,"Péremption &lt; 3 mois",IF(H213&lt;6,"Péremption &lt; 6 mois",""))))</f>
        <v/>
      </c>
      <c r="J213" s="17" t="str">
        <f aca="false">IF(A213="","",IF(COUNTIF(Emplacements!$A$2:$A$1001,A213)=0,"⚠ emplacement inconnu","OK"))</f>
        <v/>
      </c>
      <c r="K213" s="22" t="str">
        <f aca="false">IF(AND(B213&lt;&gt;"",ISNUMBER(SEARCH(Recherche!$C$3,C213&amp;" "&amp;B213&amp;" "&amp;A213&amp;" "&amp;D213))),MAX($K$1:K212)+1,"")</f>
        <v/>
      </c>
    </row>
    <row r="214" customFormat="false" ht="15" hidden="false" customHeight="false" outlineLevel="0" collapsed="false">
      <c r="A214" s="12"/>
      <c r="B214" s="12"/>
      <c r="C214" s="17" t="str">
        <f aca="false">IF(B214="","",IFERROR(INDEX(Produits!$F$2:$F$1001,MATCH(B214,Produits!$A$2:$A$1001,0)),"⚠ code article inconnu"))</f>
        <v/>
      </c>
      <c r="D214" s="12"/>
      <c r="E214" s="23"/>
      <c r="F214" s="24"/>
      <c r="G214" s="23"/>
      <c r="H214" s="21" t="str">
        <f aca="true">IF(E214="","",ROUND((E214-TODAY())/30.4,1))</f>
        <v/>
      </c>
      <c r="I214" s="17" t="str">
        <f aca="false">IF(E214="","",IF(H214&lt;0,IF(LEFT(A214,1)="Q","Périmé (en quarantaine)","PÉRIMÉ → déplacer en zone Q"),IF(H214&lt;3,"Péremption &lt; 3 mois",IF(H214&lt;6,"Péremption &lt; 6 mois",""))))</f>
        <v/>
      </c>
      <c r="J214" s="17" t="str">
        <f aca="false">IF(A214="","",IF(COUNTIF(Emplacements!$A$2:$A$1001,A214)=0,"⚠ emplacement inconnu","OK"))</f>
        <v/>
      </c>
      <c r="K214" s="22" t="str">
        <f aca="false">IF(AND(B214&lt;&gt;"",ISNUMBER(SEARCH(Recherche!$C$3,C214&amp;" "&amp;B214&amp;" "&amp;A214&amp;" "&amp;D214))),MAX($K$1:K213)+1,"")</f>
        <v/>
      </c>
    </row>
    <row r="215" customFormat="false" ht="15" hidden="false" customHeight="false" outlineLevel="0" collapsed="false">
      <c r="A215" s="12"/>
      <c r="B215" s="12"/>
      <c r="C215" s="17" t="str">
        <f aca="false">IF(B215="","",IFERROR(INDEX(Produits!$F$2:$F$1001,MATCH(B215,Produits!$A$2:$A$1001,0)),"⚠ code article inconnu"))</f>
        <v/>
      </c>
      <c r="D215" s="12"/>
      <c r="E215" s="23"/>
      <c r="F215" s="24"/>
      <c r="G215" s="23"/>
      <c r="H215" s="21" t="str">
        <f aca="true">IF(E215="","",ROUND((E215-TODAY())/30.4,1))</f>
        <v/>
      </c>
      <c r="I215" s="17" t="str">
        <f aca="false">IF(E215="","",IF(H215&lt;0,IF(LEFT(A215,1)="Q","Périmé (en quarantaine)","PÉRIMÉ → déplacer en zone Q"),IF(H215&lt;3,"Péremption &lt; 3 mois",IF(H215&lt;6,"Péremption &lt; 6 mois",""))))</f>
        <v/>
      </c>
      <c r="J215" s="17" t="str">
        <f aca="false">IF(A215="","",IF(COUNTIF(Emplacements!$A$2:$A$1001,A215)=0,"⚠ emplacement inconnu","OK"))</f>
        <v/>
      </c>
      <c r="K215" s="22" t="str">
        <f aca="false">IF(AND(B215&lt;&gt;"",ISNUMBER(SEARCH(Recherche!$C$3,C215&amp;" "&amp;B215&amp;" "&amp;A215&amp;" "&amp;D215))),MAX($K$1:K214)+1,"")</f>
        <v/>
      </c>
    </row>
    <row r="216" customFormat="false" ht="15" hidden="false" customHeight="false" outlineLevel="0" collapsed="false">
      <c r="A216" s="12"/>
      <c r="B216" s="12"/>
      <c r="C216" s="17" t="str">
        <f aca="false">IF(B216="","",IFERROR(INDEX(Produits!$F$2:$F$1001,MATCH(B216,Produits!$A$2:$A$1001,0)),"⚠ code article inconnu"))</f>
        <v/>
      </c>
      <c r="D216" s="12"/>
      <c r="E216" s="23"/>
      <c r="F216" s="24"/>
      <c r="G216" s="23"/>
      <c r="H216" s="21" t="str">
        <f aca="true">IF(E216="","",ROUND((E216-TODAY())/30.4,1))</f>
        <v/>
      </c>
      <c r="I216" s="17" t="str">
        <f aca="false">IF(E216="","",IF(H216&lt;0,IF(LEFT(A216,1)="Q","Périmé (en quarantaine)","PÉRIMÉ → déplacer en zone Q"),IF(H216&lt;3,"Péremption &lt; 3 mois",IF(H216&lt;6,"Péremption &lt; 6 mois",""))))</f>
        <v/>
      </c>
      <c r="J216" s="17" t="str">
        <f aca="false">IF(A216="","",IF(COUNTIF(Emplacements!$A$2:$A$1001,A216)=0,"⚠ emplacement inconnu","OK"))</f>
        <v/>
      </c>
      <c r="K216" s="22" t="str">
        <f aca="false">IF(AND(B216&lt;&gt;"",ISNUMBER(SEARCH(Recherche!$C$3,C216&amp;" "&amp;B216&amp;" "&amp;A216&amp;" "&amp;D216))),MAX($K$1:K215)+1,"")</f>
        <v/>
      </c>
    </row>
    <row r="217" customFormat="false" ht="15" hidden="false" customHeight="false" outlineLevel="0" collapsed="false">
      <c r="A217" s="12"/>
      <c r="B217" s="12"/>
      <c r="C217" s="17" t="str">
        <f aca="false">IF(B217="","",IFERROR(INDEX(Produits!$F$2:$F$1001,MATCH(B217,Produits!$A$2:$A$1001,0)),"⚠ code article inconnu"))</f>
        <v/>
      </c>
      <c r="D217" s="12"/>
      <c r="E217" s="23"/>
      <c r="F217" s="24"/>
      <c r="G217" s="23"/>
      <c r="H217" s="21" t="str">
        <f aca="true">IF(E217="","",ROUND((E217-TODAY())/30.4,1))</f>
        <v/>
      </c>
      <c r="I217" s="17" t="str">
        <f aca="false">IF(E217="","",IF(H217&lt;0,IF(LEFT(A217,1)="Q","Périmé (en quarantaine)","PÉRIMÉ → déplacer en zone Q"),IF(H217&lt;3,"Péremption &lt; 3 mois",IF(H217&lt;6,"Péremption &lt; 6 mois",""))))</f>
        <v/>
      </c>
      <c r="J217" s="17" t="str">
        <f aca="false">IF(A217="","",IF(COUNTIF(Emplacements!$A$2:$A$1001,A217)=0,"⚠ emplacement inconnu","OK"))</f>
        <v/>
      </c>
      <c r="K217" s="22" t="str">
        <f aca="false">IF(AND(B217&lt;&gt;"",ISNUMBER(SEARCH(Recherche!$C$3,C217&amp;" "&amp;B217&amp;" "&amp;A217&amp;" "&amp;D217))),MAX($K$1:K216)+1,"")</f>
        <v/>
      </c>
    </row>
    <row r="218" customFormat="false" ht="15" hidden="false" customHeight="false" outlineLevel="0" collapsed="false">
      <c r="A218" s="12"/>
      <c r="B218" s="12"/>
      <c r="C218" s="17" t="str">
        <f aca="false">IF(B218="","",IFERROR(INDEX(Produits!$F$2:$F$1001,MATCH(B218,Produits!$A$2:$A$1001,0)),"⚠ code article inconnu"))</f>
        <v/>
      </c>
      <c r="D218" s="12"/>
      <c r="E218" s="23"/>
      <c r="F218" s="24"/>
      <c r="G218" s="23"/>
      <c r="H218" s="21" t="str">
        <f aca="true">IF(E218="","",ROUND((E218-TODAY())/30.4,1))</f>
        <v/>
      </c>
      <c r="I218" s="17" t="str">
        <f aca="false">IF(E218="","",IF(H218&lt;0,IF(LEFT(A218,1)="Q","Périmé (en quarantaine)","PÉRIMÉ → déplacer en zone Q"),IF(H218&lt;3,"Péremption &lt; 3 mois",IF(H218&lt;6,"Péremption &lt; 6 mois",""))))</f>
        <v/>
      </c>
      <c r="J218" s="17" t="str">
        <f aca="false">IF(A218="","",IF(COUNTIF(Emplacements!$A$2:$A$1001,A218)=0,"⚠ emplacement inconnu","OK"))</f>
        <v/>
      </c>
      <c r="K218" s="22" t="str">
        <f aca="false">IF(AND(B218&lt;&gt;"",ISNUMBER(SEARCH(Recherche!$C$3,C218&amp;" "&amp;B218&amp;" "&amp;A218&amp;" "&amp;D218))),MAX($K$1:K217)+1,"")</f>
        <v/>
      </c>
    </row>
    <row r="219" customFormat="false" ht="15" hidden="false" customHeight="false" outlineLevel="0" collapsed="false">
      <c r="A219" s="12"/>
      <c r="B219" s="12"/>
      <c r="C219" s="17" t="str">
        <f aca="false">IF(B219="","",IFERROR(INDEX(Produits!$F$2:$F$1001,MATCH(B219,Produits!$A$2:$A$1001,0)),"⚠ code article inconnu"))</f>
        <v/>
      </c>
      <c r="D219" s="12"/>
      <c r="E219" s="23"/>
      <c r="F219" s="24"/>
      <c r="G219" s="23"/>
      <c r="H219" s="21" t="str">
        <f aca="true">IF(E219="","",ROUND((E219-TODAY())/30.4,1))</f>
        <v/>
      </c>
      <c r="I219" s="17" t="str">
        <f aca="false">IF(E219="","",IF(H219&lt;0,IF(LEFT(A219,1)="Q","Périmé (en quarantaine)","PÉRIMÉ → déplacer en zone Q"),IF(H219&lt;3,"Péremption &lt; 3 mois",IF(H219&lt;6,"Péremption &lt; 6 mois",""))))</f>
        <v/>
      </c>
      <c r="J219" s="17" t="str">
        <f aca="false">IF(A219="","",IF(COUNTIF(Emplacements!$A$2:$A$1001,A219)=0,"⚠ emplacement inconnu","OK"))</f>
        <v/>
      </c>
      <c r="K219" s="22" t="str">
        <f aca="false">IF(AND(B219&lt;&gt;"",ISNUMBER(SEARCH(Recherche!$C$3,C219&amp;" "&amp;B219&amp;" "&amp;A219&amp;" "&amp;D219))),MAX($K$1:K218)+1,"")</f>
        <v/>
      </c>
    </row>
    <row r="220" customFormat="false" ht="15" hidden="false" customHeight="false" outlineLevel="0" collapsed="false">
      <c r="A220" s="12"/>
      <c r="B220" s="12"/>
      <c r="C220" s="17" t="str">
        <f aca="false">IF(B220="","",IFERROR(INDEX(Produits!$F$2:$F$1001,MATCH(B220,Produits!$A$2:$A$1001,0)),"⚠ code article inconnu"))</f>
        <v/>
      </c>
      <c r="D220" s="12"/>
      <c r="E220" s="23"/>
      <c r="F220" s="24"/>
      <c r="G220" s="23"/>
      <c r="H220" s="21" t="str">
        <f aca="true">IF(E220="","",ROUND((E220-TODAY())/30.4,1))</f>
        <v/>
      </c>
      <c r="I220" s="17" t="str">
        <f aca="false">IF(E220="","",IF(H220&lt;0,IF(LEFT(A220,1)="Q","Périmé (en quarantaine)","PÉRIMÉ → déplacer en zone Q"),IF(H220&lt;3,"Péremption &lt; 3 mois",IF(H220&lt;6,"Péremption &lt; 6 mois",""))))</f>
        <v/>
      </c>
      <c r="J220" s="17" t="str">
        <f aca="false">IF(A220="","",IF(COUNTIF(Emplacements!$A$2:$A$1001,A220)=0,"⚠ emplacement inconnu","OK"))</f>
        <v/>
      </c>
      <c r="K220" s="22" t="str">
        <f aca="false">IF(AND(B220&lt;&gt;"",ISNUMBER(SEARCH(Recherche!$C$3,C220&amp;" "&amp;B220&amp;" "&amp;A220&amp;" "&amp;D220))),MAX($K$1:K219)+1,"")</f>
        <v/>
      </c>
    </row>
    <row r="221" customFormat="false" ht="15" hidden="false" customHeight="false" outlineLevel="0" collapsed="false">
      <c r="A221" s="12"/>
      <c r="B221" s="12"/>
      <c r="C221" s="17" t="str">
        <f aca="false">IF(B221="","",IFERROR(INDEX(Produits!$F$2:$F$1001,MATCH(B221,Produits!$A$2:$A$1001,0)),"⚠ code article inconnu"))</f>
        <v/>
      </c>
      <c r="D221" s="12"/>
      <c r="E221" s="23"/>
      <c r="F221" s="24"/>
      <c r="G221" s="23"/>
      <c r="H221" s="21" t="str">
        <f aca="true">IF(E221="","",ROUND((E221-TODAY())/30.4,1))</f>
        <v/>
      </c>
      <c r="I221" s="17" t="str">
        <f aca="false">IF(E221="","",IF(H221&lt;0,IF(LEFT(A221,1)="Q","Périmé (en quarantaine)","PÉRIMÉ → déplacer en zone Q"),IF(H221&lt;3,"Péremption &lt; 3 mois",IF(H221&lt;6,"Péremption &lt; 6 mois",""))))</f>
        <v/>
      </c>
      <c r="J221" s="17" t="str">
        <f aca="false">IF(A221="","",IF(COUNTIF(Emplacements!$A$2:$A$1001,A221)=0,"⚠ emplacement inconnu","OK"))</f>
        <v/>
      </c>
      <c r="K221" s="22" t="str">
        <f aca="false">IF(AND(B221&lt;&gt;"",ISNUMBER(SEARCH(Recherche!$C$3,C221&amp;" "&amp;B221&amp;" "&amp;A221&amp;" "&amp;D221))),MAX($K$1:K220)+1,"")</f>
        <v/>
      </c>
    </row>
    <row r="222" customFormat="false" ht="15" hidden="false" customHeight="false" outlineLevel="0" collapsed="false">
      <c r="A222" s="12"/>
      <c r="B222" s="12"/>
      <c r="C222" s="17" t="str">
        <f aca="false">IF(B222="","",IFERROR(INDEX(Produits!$F$2:$F$1001,MATCH(B222,Produits!$A$2:$A$1001,0)),"⚠ code article inconnu"))</f>
        <v/>
      </c>
      <c r="D222" s="12"/>
      <c r="E222" s="23"/>
      <c r="F222" s="24"/>
      <c r="G222" s="23"/>
      <c r="H222" s="21" t="str">
        <f aca="true">IF(E222="","",ROUND((E222-TODAY())/30.4,1))</f>
        <v/>
      </c>
      <c r="I222" s="17" t="str">
        <f aca="false">IF(E222="","",IF(H222&lt;0,IF(LEFT(A222,1)="Q","Périmé (en quarantaine)","PÉRIMÉ → déplacer en zone Q"),IF(H222&lt;3,"Péremption &lt; 3 mois",IF(H222&lt;6,"Péremption &lt; 6 mois",""))))</f>
        <v/>
      </c>
      <c r="J222" s="17" t="str">
        <f aca="false">IF(A222="","",IF(COUNTIF(Emplacements!$A$2:$A$1001,A222)=0,"⚠ emplacement inconnu","OK"))</f>
        <v/>
      </c>
      <c r="K222" s="22" t="str">
        <f aca="false">IF(AND(B222&lt;&gt;"",ISNUMBER(SEARCH(Recherche!$C$3,C222&amp;" "&amp;B222&amp;" "&amp;A222&amp;" "&amp;D222))),MAX($K$1:K221)+1,"")</f>
        <v/>
      </c>
    </row>
    <row r="223" customFormat="false" ht="15" hidden="false" customHeight="false" outlineLevel="0" collapsed="false">
      <c r="A223" s="12"/>
      <c r="B223" s="12"/>
      <c r="C223" s="17" t="str">
        <f aca="false">IF(B223="","",IFERROR(INDEX(Produits!$F$2:$F$1001,MATCH(B223,Produits!$A$2:$A$1001,0)),"⚠ code article inconnu"))</f>
        <v/>
      </c>
      <c r="D223" s="12"/>
      <c r="E223" s="23"/>
      <c r="F223" s="24"/>
      <c r="G223" s="23"/>
      <c r="H223" s="21" t="str">
        <f aca="true">IF(E223="","",ROUND((E223-TODAY())/30.4,1))</f>
        <v/>
      </c>
      <c r="I223" s="17" t="str">
        <f aca="false">IF(E223="","",IF(H223&lt;0,IF(LEFT(A223,1)="Q","Périmé (en quarantaine)","PÉRIMÉ → déplacer en zone Q"),IF(H223&lt;3,"Péremption &lt; 3 mois",IF(H223&lt;6,"Péremption &lt; 6 mois",""))))</f>
        <v/>
      </c>
      <c r="J223" s="17" t="str">
        <f aca="false">IF(A223="","",IF(COUNTIF(Emplacements!$A$2:$A$1001,A223)=0,"⚠ emplacement inconnu","OK"))</f>
        <v/>
      </c>
      <c r="K223" s="22" t="str">
        <f aca="false">IF(AND(B223&lt;&gt;"",ISNUMBER(SEARCH(Recherche!$C$3,C223&amp;" "&amp;B223&amp;" "&amp;A223&amp;" "&amp;D223))),MAX($K$1:K222)+1,"")</f>
        <v/>
      </c>
    </row>
    <row r="224" customFormat="false" ht="15" hidden="false" customHeight="false" outlineLevel="0" collapsed="false">
      <c r="A224" s="12"/>
      <c r="B224" s="12"/>
      <c r="C224" s="17" t="str">
        <f aca="false">IF(B224="","",IFERROR(INDEX(Produits!$F$2:$F$1001,MATCH(B224,Produits!$A$2:$A$1001,0)),"⚠ code article inconnu"))</f>
        <v/>
      </c>
      <c r="D224" s="12"/>
      <c r="E224" s="23"/>
      <c r="F224" s="24"/>
      <c r="G224" s="23"/>
      <c r="H224" s="21" t="str">
        <f aca="true">IF(E224="","",ROUND((E224-TODAY())/30.4,1))</f>
        <v/>
      </c>
      <c r="I224" s="17" t="str">
        <f aca="false">IF(E224="","",IF(H224&lt;0,IF(LEFT(A224,1)="Q","Périmé (en quarantaine)","PÉRIMÉ → déplacer en zone Q"),IF(H224&lt;3,"Péremption &lt; 3 mois",IF(H224&lt;6,"Péremption &lt; 6 mois",""))))</f>
        <v/>
      </c>
      <c r="J224" s="17" t="str">
        <f aca="false">IF(A224="","",IF(COUNTIF(Emplacements!$A$2:$A$1001,A224)=0,"⚠ emplacement inconnu","OK"))</f>
        <v/>
      </c>
      <c r="K224" s="22" t="str">
        <f aca="false">IF(AND(B224&lt;&gt;"",ISNUMBER(SEARCH(Recherche!$C$3,C224&amp;" "&amp;B224&amp;" "&amp;A224&amp;" "&amp;D224))),MAX($K$1:K223)+1,"")</f>
        <v/>
      </c>
    </row>
    <row r="225" customFormat="false" ht="15" hidden="false" customHeight="false" outlineLevel="0" collapsed="false">
      <c r="A225" s="12"/>
      <c r="B225" s="12"/>
      <c r="C225" s="17" t="str">
        <f aca="false">IF(B225="","",IFERROR(INDEX(Produits!$F$2:$F$1001,MATCH(B225,Produits!$A$2:$A$1001,0)),"⚠ code article inconnu"))</f>
        <v/>
      </c>
      <c r="D225" s="12"/>
      <c r="E225" s="23"/>
      <c r="F225" s="24"/>
      <c r="G225" s="23"/>
      <c r="H225" s="21" t="str">
        <f aca="true">IF(E225="","",ROUND((E225-TODAY())/30.4,1))</f>
        <v/>
      </c>
      <c r="I225" s="17" t="str">
        <f aca="false">IF(E225="","",IF(H225&lt;0,IF(LEFT(A225,1)="Q","Périmé (en quarantaine)","PÉRIMÉ → déplacer en zone Q"),IF(H225&lt;3,"Péremption &lt; 3 mois",IF(H225&lt;6,"Péremption &lt; 6 mois",""))))</f>
        <v/>
      </c>
      <c r="J225" s="17" t="str">
        <f aca="false">IF(A225="","",IF(COUNTIF(Emplacements!$A$2:$A$1001,A225)=0,"⚠ emplacement inconnu","OK"))</f>
        <v/>
      </c>
      <c r="K225" s="22" t="str">
        <f aca="false">IF(AND(B225&lt;&gt;"",ISNUMBER(SEARCH(Recherche!$C$3,C225&amp;" "&amp;B225&amp;" "&amp;A225&amp;" "&amp;D225))),MAX($K$1:K224)+1,"")</f>
        <v/>
      </c>
    </row>
    <row r="226" customFormat="false" ht="15" hidden="false" customHeight="false" outlineLevel="0" collapsed="false">
      <c r="A226" s="12"/>
      <c r="B226" s="12"/>
      <c r="C226" s="17" t="str">
        <f aca="false">IF(B226="","",IFERROR(INDEX(Produits!$F$2:$F$1001,MATCH(B226,Produits!$A$2:$A$1001,0)),"⚠ code article inconnu"))</f>
        <v/>
      </c>
      <c r="D226" s="12"/>
      <c r="E226" s="23"/>
      <c r="F226" s="24"/>
      <c r="G226" s="23"/>
      <c r="H226" s="21" t="str">
        <f aca="true">IF(E226="","",ROUND((E226-TODAY())/30.4,1))</f>
        <v/>
      </c>
      <c r="I226" s="17" t="str">
        <f aca="false">IF(E226="","",IF(H226&lt;0,IF(LEFT(A226,1)="Q","Périmé (en quarantaine)","PÉRIMÉ → déplacer en zone Q"),IF(H226&lt;3,"Péremption &lt; 3 mois",IF(H226&lt;6,"Péremption &lt; 6 mois",""))))</f>
        <v/>
      </c>
      <c r="J226" s="17" t="str">
        <f aca="false">IF(A226="","",IF(COUNTIF(Emplacements!$A$2:$A$1001,A226)=0,"⚠ emplacement inconnu","OK"))</f>
        <v/>
      </c>
      <c r="K226" s="22" t="str">
        <f aca="false">IF(AND(B226&lt;&gt;"",ISNUMBER(SEARCH(Recherche!$C$3,C226&amp;" "&amp;B226&amp;" "&amp;A226&amp;" "&amp;D226))),MAX($K$1:K225)+1,"")</f>
        <v/>
      </c>
    </row>
    <row r="227" customFormat="false" ht="15" hidden="false" customHeight="false" outlineLevel="0" collapsed="false">
      <c r="A227" s="12"/>
      <c r="B227" s="12"/>
      <c r="C227" s="17" t="str">
        <f aca="false">IF(B227="","",IFERROR(INDEX(Produits!$F$2:$F$1001,MATCH(B227,Produits!$A$2:$A$1001,0)),"⚠ code article inconnu"))</f>
        <v/>
      </c>
      <c r="D227" s="12"/>
      <c r="E227" s="23"/>
      <c r="F227" s="24"/>
      <c r="G227" s="23"/>
      <c r="H227" s="21" t="str">
        <f aca="true">IF(E227="","",ROUND((E227-TODAY())/30.4,1))</f>
        <v/>
      </c>
      <c r="I227" s="17" t="str">
        <f aca="false">IF(E227="","",IF(H227&lt;0,IF(LEFT(A227,1)="Q","Périmé (en quarantaine)","PÉRIMÉ → déplacer en zone Q"),IF(H227&lt;3,"Péremption &lt; 3 mois",IF(H227&lt;6,"Péremption &lt; 6 mois",""))))</f>
        <v/>
      </c>
      <c r="J227" s="17" t="str">
        <f aca="false">IF(A227="","",IF(COUNTIF(Emplacements!$A$2:$A$1001,A227)=0,"⚠ emplacement inconnu","OK"))</f>
        <v/>
      </c>
      <c r="K227" s="22" t="str">
        <f aca="false">IF(AND(B227&lt;&gt;"",ISNUMBER(SEARCH(Recherche!$C$3,C227&amp;" "&amp;B227&amp;" "&amp;A227&amp;" "&amp;D227))),MAX($K$1:K226)+1,"")</f>
        <v/>
      </c>
    </row>
    <row r="228" customFormat="false" ht="15" hidden="false" customHeight="false" outlineLevel="0" collapsed="false">
      <c r="A228" s="12"/>
      <c r="B228" s="12"/>
      <c r="C228" s="17" t="str">
        <f aca="false">IF(B228="","",IFERROR(INDEX(Produits!$F$2:$F$1001,MATCH(B228,Produits!$A$2:$A$1001,0)),"⚠ code article inconnu"))</f>
        <v/>
      </c>
      <c r="D228" s="12"/>
      <c r="E228" s="23"/>
      <c r="F228" s="24"/>
      <c r="G228" s="23"/>
      <c r="H228" s="21" t="str">
        <f aca="true">IF(E228="","",ROUND((E228-TODAY())/30.4,1))</f>
        <v/>
      </c>
      <c r="I228" s="17" t="str">
        <f aca="false">IF(E228="","",IF(H228&lt;0,IF(LEFT(A228,1)="Q","Périmé (en quarantaine)","PÉRIMÉ → déplacer en zone Q"),IF(H228&lt;3,"Péremption &lt; 3 mois",IF(H228&lt;6,"Péremption &lt; 6 mois",""))))</f>
        <v/>
      </c>
      <c r="J228" s="17" t="str">
        <f aca="false">IF(A228="","",IF(COUNTIF(Emplacements!$A$2:$A$1001,A228)=0,"⚠ emplacement inconnu","OK"))</f>
        <v/>
      </c>
      <c r="K228" s="22" t="str">
        <f aca="false">IF(AND(B228&lt;&gt;"",ISNUMBER(SEARCH(Recherche!$C$3,C228&amp;" "&amp;B228&amp;" "&amp;A228&amp;" "&amp;D228))),MAX($K$1:K227)+1,"")</f>
        <v/>
      </c>
    </row>
    <row r="229" customFormat="false" ht="15" hidden="false" customHeight="false" outlineLevel="0" collapsed="false">
      <c r="A229" s="12"/>
      <c r="B229" s="12"/>
      <c r="C229" s="17" t="str">
        <f aca="false">IF(B229="","",IFERROR(INDEX(Produits!$F$2:$F$1001,MATCH(B229,Produits!$A$2:$A$1001,0)),"⚠ code article inconnu"))</f>
        <v/>
      </c>
      <c r="D229" s="12"/>
      <c r="E229" s="23"/>
      <c r="F229" s="24"/>
      <c r="G229" s="23"/>
      <c r="H229" s="21" t="str">
        <f aca="true">IF(E229="","",ROUND((E229-TODAY())/30.4,1))</f>
        <v/>
      </c>
      <c r="I229" s="17" t="str">
        <f aca="false">IF(E229="","",IF(H229&lt;0,IF(LEFT(A229,1)="Q","Périmé (en quarantaine)","PÉRIMÉ → déplacer en zone Q"),IF(H229&lt;3,"Péremption &lt; 3 mois",IF(H229&lt;6,"Péremption &lt; 6 mois",""))))</f>
        <v/>
      </c>
      <c r="J229" s="17" t="str">
        <f aca="false">IF(A229="","",IF(COUNTIF(Emplacements!$A$2:$A$1001,A229)=0,"⚠ emplacement inconnu","OK"))</f>
        <v/>
      </c>
      <c r="K229" s="22" t="str">
        <f aca="false">IF(AND(B229&lt;&gt;"",ISNUMBER(SEARCH(Recherche!$C$3,C229&amp;" "&amp;B229&amp;" "&amp;A229&amp;" "&amp;D229))),MAX($K$1:K228)+1,"")</f>
        <v/>
      </c>
    </row>
    <row r="230" customFormat="false" ht="15" hidden="false" customHeight="false" outlineLevel="0" collapsed="false">
      <c r="A230" s="12"/>
      <c r="B230" s="12"/>
      <c r="C230" s="17" t="str">
        <f aca="false">IF(B230="","",IFERROR(INDEX(Produits!$F$2:$F$1001,MATCH(B230,Produits!$A$2:$A$1001,0)),"⚠ code article inconnu"))</f>
        <v/>
      </c>
      <c r="D230" s="12"/>
      <c r="E230" s="23"/>
      <c r="F230" s="24"/>
      <c r="G230" s="23"/>
      <c r="H230" s="21" t="str">
        <f aca="true">IF(E230="","",ROUND((E230-TODAY())/30.4,1))</f>
        <v/>
      </c>
      <c r="I230" s="17" t="str">
        <f aca="false">IF(E230="","",IF(H230&lt;0,IF(LEFT(A230,1)="Q","Périmé (en quarantaine)","PÉRIMÉ → déplacer en zone Q"),IF(H230&lt;3,"Péremption &lt; 3 mois",IF(H230&lt;6,"Péremption &lt; 6 mois",""))))</f>
        <v/>
      </c>
      <c r="J230" s="17" t="str">
        <f aca="false">IF(A230="","",IF(COUNTIF(Emplacements!$A$2:$A$1001,A230)=0,"⚠ emplacement inconnu","OK"))</f>
        <v/>
      </c>
      <c r="K230" s="22" t="str">
        <f aca="false">IF(AND(B230&lt;&gt;"",ISNUMBER(SEARCH(Recherche!$C$3,C230&amp;" "&amp;B230&amp;" "&amp;A230&amp;" "&amp;D230))),MAX($K$1:K229)+1,"")</f>
        <v/>
      </c>
    </row>
    <row r="231" customFormat="false" ht="15" hidden="false" customHeight="false" outlineLevel="0" collapsed="false">
      <c r="A231" s="12"/>
      <c r="B231" s="12"/>
      <c r="C231" s="17" t="str">
        <f aca="false">IF(B231="","",IFERROR(INDEX(Produits!$F$2:$F$1001,MATCH(B231,Produits!$A$2:$A$1001,0)),"⚠ code article inconnu"))</f>
        <v/>
      </c>
      <c r="D231" s="12"/>
      <c r="E231" s="23"/>
      <c r="F231" s="24"/>
      <c r="G231" s="23"/>
      <c r="H231" s="21" t="str">
        <f aca="true">IF(E231="","",ROUND((E231-TODAY())/30.4,1))</f>
        <v/>
      </c>
      <c r="I231" s="17" t="str">
        <f aca="false">IF(E231="","",IF(H231&lt;0,IF(LEFT(A231,1)="Q","Périmé (en quarantaine)","PÉRIMÉ → déplacer en zone Q"),IF(H231&lt;3,"Péremption &lt; 3 mois",IF(H231&lt;6,"Péremption &lt; 6 mois",""))))</f>
        <v/>
      </c>
      <c r="J231" s="17" t="str">
        <f aca="false">IF(A231="","",IF(COUNTIF(Emplacements!$A$2:$A$1001,A231)=0,"⚠ emplacement inconnu","OK"))</f>
        <v/>
      </c>
      <c r="K231" s="22" t="str">
        <f aca="false">IF(AND(B231&lt;&gt;"",ISNUMBER(SEARCH(Recherche!$C$3,C231&amp;" "&amp;B231&amp;" "&amp;A231&amp;" "&amp;D231))),MAX($K$1:K230)+1,"")</f>
        <v/>
      </c>
    </row>
    <row r="232" customFormat="false" ht="15" hidden="false" customHeight="false" outlineLevel="0" collapsed="false">
      <c r="A232" s="12"/>
      <c r="B232" s="12"/>
      <c r="C232" s="17" t="str">
        <f aca="false">IF(B232="","",IFERROR(INDEX(Produits!$F$2:$F$1001,MATCH(B232,Produits!$A$2:$A$1001,0)),"⚠ code article inconnu"))</f>
        <v/>
      </c>
      <c r="D232" s="12"/>
      <c r="E232" s="23"/>
      <c r="F232" s="24"/>
      <c r="G232" s="23"/>
      <c r="H232" s="21" t="str">
        <f aca="true">IF(E232="","",ROUND((E232-TODAY())/30.4,1))</f>
        <v/>
      </c>
      <c r="I232" s="17" t="str">
        <f aca="false">IF(E232="","",IF(H232&lt;0,IF(LEFT(A232,1)="Q","Périmé (en quarantaine)","PÉRIMÉ → déplacer en zone Q"),IF(H232&lt;3,"Péremption &lt; 3 mois",IF(H232&lt;6,"Péremption &lt; 6 mois",""))))</f>
        <v/>
      </c>
      <c r="J232" s="17" t="str">
        <f aca="false">IF(A232="","",IF(COUNTIF(Emplacements!$A$2:$A$1001,A232)=0,"⚠ emplacement inconnu","OK"))</f>
        <v/>
      </c>
      <c r="K232" s="22" t="str">
        <f aca="false">IF(AND(B232&lt;&gt;"",ISNUMBER(SEARCH(Recherche!$C$3,C232&amp;" "&amp;B232&amp;" "&amp;A232&amp;" "&amp;D232))),MAX($K$1:K231)+1,"")</f>
        <v/>
      </c>
    </row>
    <row r="233" customFormat="false" ht="15" hidden="false" customHeight="false" outlineLevel="0" collapsed="false">
      <c r="A233" s="12"/>
      <c r="B233" s="12"/>
      <c r="C233" s="17" t="str">
        <f aca="false">IF(B233="","",IFERROR(INDEX(Produits!$F$2:$F$1001,MATCH(B233,Produits!$A$2:$A$1001,0)),"⚠ code article inconnu"))</f>
        <v/>
      </c>
      <c r="D233" s="12"/>
      <c r="E233" s="23"/>
      <c r="F233" s="24"/>
      <c r="G233" s="23"/>
      <c r="H233" s="21" t="str">
        <f aca="true">IF(E233="","",ROUND((E233-TODAY())/30.4,1))</f>
        <v/>
      </c>
      <c r="I233" s="17" t="str">
        <f aca="false">IF(E233="","",IF(H233&lt;0,IF(LEFT(A233,1)="Q","Périmé (en quarantaine)","PÉRIMÉ → déplacer en zone Q"),IF(H233&lt;3,"Péremption &lt; 3 mois",IF(H233&lt;6,"Péremption &lt; 6 mois",""))))</f>
        <v/>
      </c>
      <c r="J233" s="17" t="str">
        <f aca="false">IF(A233="","",IF(COUNTIF(Emplacements!$A$2:$A$1001,A233)=0,"⚠ emplacement inconnu","OK"))</f>
        <v/>
      </c>
      <c r="K233" s="22" t="str">
        <f aca="false">IF(AND(B233&lt;&gt;"",ISNUMBER(SEARCH(Recherche!$C$3,C233&amp;" "&amp;B233&amp;" "&amp;A233&amp;" "&amp;D233))),MAX($K$1:K232)+1,"")</f>
        <v/>
      </c>
    </row>
    <row r="234" customFormat="false" ht="15" hidden="false" customHeight="false" outlineLevel="0" collapsed="false">
      <c r="A234" s="12"/>
      <c r="B234" s="12"/>
      <c r="C234" s="17" t="str">
        <f aca="false">IF(B234="","",IFERROR(INDEX(Produits!$F$2:$F$1001,MATCH(B234,Produits!$A$2:$A$1001,0)),"⚠ code article inconnu"))</f>
        <v/>
      </c>
      <c r="D234" s="12"/>
      <c r="E234" s="23"/>
      <c r="F234" s="24"/>
      <c r="G234" s="23"/>
      <c r="H234" s="21" t="str">
        <f aca="true">IF(E234="","",ROUND((E234-TODAY())/30.4,1))</f>
        <v/>
      </c>
      <c r="I234" s="17" t="str">
        <f aca="false">IF(E234="","",IF(H234&lt;0,IF(LEFT(A234,1)="Q","Périmé (en quarantaine)","PÉRIMÉ → déplacer en zone Q"),IF(H234&lt;3,"Péremption &lt; 3 mois",IF(H234&lt;6,"Péremption &lt; 6 mois",""))))</f>
        <v/>
      </c>
      <c r="J234" s="17" t="str">
        <f aca="false">IF(A234="","",IF(COUNTIF(Emplacements!$A$2:$A$1001,A234)=0,"⚠ emplacement inconnu","OK"))</f>
        <v/>
      </c>
      <c r="K234" s="22" t="str">
        <f aca="false">IF(AND(B234&lt;&gt;"",ISNUMBER(SEARCH(Recherche!$C$3,C234&amp;" "&amp;B234&amp;" "&amp;A234&amp;" "&amp;D234))),MAX($K$1:K233)+1,"")</f>
        <v/>
      </c>
    </row>
    <row r="235" customFormat="false" ht="15" hidden="false" customHeight="false" outlineLevel="0" collapsed="false">
      <c r="A235" s="12"/>
      <c r="B235" s="12"/>
      <c r="C235" s="17" t="str">
        <f aca="false">IF(B235="","",IFERROR(INDEX(Produits!$F$2:$F$1001,MATCH(B235,Produits!$A$2:$A$1001,0)),"⚠ code article inconnu"))</f>
        <v/>
      </c>
      <c r="D235" s="12"/>
      <c r="E235" s="23"/>
      <c r="F235" s="24"/>
      <c r="G235" s="23"/>
      <c r="H235" s="21" t="str">
        <f aca="true">IF(E235="","",ROUND((E235-TODAY())/30.4,1))</f>
        <v/>
      </c>
      <c r="I235" s="17" t="str">
        <f aca="false">IF(E235="","",IF(H235&lt;0,IF(LEFT(A235,1)="Q","Périmé (en quarantaine)","PÉRIMÉ → déplacer en zone Q"),IF(H235&lt;3,"Péremption &lt; 3 mois",IF(H235&lt;6,"Péremption &lt; 6 mois",""))))</f>
        <v/>
      </c>
      <c r="J235" s="17" t="str">
        <f aca="false">IF(A235="","",IF(COUNTIF(Emplacements!$A$2:$A$1001,A235)=0,"⚠ emplacement inconnu","OK"))</f>
        <v/>
      </c>
      <c r="K235" s="22" t="str">
        <f aca="false">IF(AND(B235&lt;&gt;"",ISNUMBER(SEARCH(Recherche!$C$3,C235&amp;" "&amp;B235&amp;" "&amp;A235&amp;" "&amp;D235))),MAX($K$1:K234)+1,"")</f>
        <v/>
      </c>
    </row>
    <row r="236" customFormat="false" ht="15" hidden="false" customHeight="false" outlineLevel="0" collapsed="false">
      <c r="A236" s="12"/>
      <c r="B236" s="12"/>
      <c r="C236" s="17" t="str">
        <f aca="false">IF(B236="","",IFERROR(INDEX(Produits!$F$2:$F$1001,MATCH(B236,Produits!$A$2:$A$1001,0)),"⚠ code article inconnu"))</f>
        <v/>
      </c>
      <c r="D236" s="12"/>
      <c r="E236" s="23"/>
      <c r="F236" s="24"/>
      <c r="G236" s="23"/>
      <c r="H236" s="21" t="str">
        <f aca="true">IF(E236="","",ROUND((E236-TODAY())/30.4,1))</f>
        <v/>
      </c>
      <c r="I236" s="17" t="str">
        <f aca="false">IF(E236="","",IF(H236&lt;0,IF(LEFT(A236,1)="Q","Périmé (en quarantaine)","PÉRIMÉ → déplacer en zone Q"),IF(H236&lt;3,"Péremption &lt; 3 mois",IF(H236&lt;6,"Péremption &lt; 6 mois",""))))</f>
        <v/>
      </c>
      <c r="J236" s="17" t="str">
        <f aca="false">IF(A236="","",IF(COUNTIF(Emplacements!$A$2:$A$1001,A236)=0,"⚠ emplacement inconnu","OK"))</f>
        <v/>
      </c>
      <c r="K236" s="22" t="str">
        <f aca="false">IF(AND(B236&lt;&gt;"",ISNUMBER(SEARCH(Recherche!$C$3,C236&amp;" "&amp;B236&amp;" "&amp;A236&amp;" "&amp;D236))),MAX($K$1:K235)+1,"")</f>
        <v/>
      </c>
    </row>
    <row r="237" customFormat="false" ht="15" hidden="false" customHeight="false" outlineLevel="0" collapsed="false">
      <c r="A237" s="12"/>
      <c r="B237" s="12"/>
      <c r="C237" s="17" t="str">
        <f aca="false">IF(B237="","",IFERROR(INDEX(Produits!$F$2:$F$1001,MATCH(B237,Produits!$A$2:$A$1001,0)),"⚠ code article inconnu"))</f>
        <v/>
      </c>
      <c r="D237" s="12"/>
      <c r="E237" s="23"/>
      <c r="F237" s="24"/>
      <c r="G237" s="23"/>
      <c r="H237" s="21" t="str">
        <f aca="true">IF(E237="","",ROUND((E237-TODAY())/30.4,1))</f>
        <v/>
      </c>
      <c r="I237" s="17" t="str">
        <f aca="false">IF(E237="","",IF(H237&lt;0,IF(LEFT(A237,1)="Q","Périmé (en quarantaine)","PÉRIMÉ → déplacer en zone Q"),IF(H237&lt;3,"Péremption &lt; 3 mois",IF(H237&lt;6,"Péremption &lt; 6 mois",""))))</f>
        <v/>
      </c>
      <c r="J237" s="17" t="str">
        <f aca="false">IF(A237="","",IF(COUNTIF(Emplacements!$A$2:$A$1001,A237)=0,"⚠ emplacement inconnu","OK"))</f>
        <v/>
      </c>
      <c r="K237" s="22" t="str">
        <f aca="false">IF(AND(B237&lt;&gt;"",ISNUMBER(SEARCH(Recherche!$C$3,C237&amp;" "&amp;B237&amp;" "&amp;A237&amp;" "&amp;D237))),MAX($K$1:K236)+1,"")</f>
        <v/>
      </c>
    </row>
    <row r="238" customFormat="false" ht="15" hidden="false" customHeight="false" outlineLevel="0" collapsed="false">
      <c r="A238" s="12"/>
      <c r="B238" s="12"/>
      <c r="C238" s="17" t="str">
        <f aca="false">IF(B238="","",IFERROR(INDEX(Produits!$F$2:$F$1001,MATCH(B238,Produits!$A$2:$A$1001,0)),"⚠ code article inconnu"))</f>
        <v/>
      </c>
      <c r="D238" s="12"/>
      <c r="E238" s="23"/>
      <c r="F238" s="24"/>
      <c r="G238" s="23"/>
      <c r="H238" s="21" t="str">
        <f aca="true">IF(E238="","",ROUND((E238-TODAY())/30.4,1))</f>
        <v/>
      </c>
      <c r="I238" s="17" t="str">
        <f aca="false">IF(E238="","",IF(H238&lt;0,IF(LEFT(A238,1)="Q","Périmé (en quarantaine)","PÉRIMÉ → déplacer en zone Q"),IF(H238&lt;3,"Péremption &lt; 3 mois",IF(H238&lt;6,"Péremption &lt; 6 mois",""))))</f>
        <v/>
      </c>
      <c r="J238" s="17" t="str">
        <f aca="false">IF(A238="","",IF(COUNTIF(Emplacements!$A$2:$A$1001,A238)=0,"⚠ emplacement inconnu","OK"))</f>
        <v/>
      </c>
      <c r="K238" s="22" t="str">
        <f aca="false">IF(AND(B238&lt;&gt;"",ISNUMBER(SEARCH(Recherche!$C$3,C238&amp;" "&amp;B238&amp;" "&amp;A238&amp;" "&amp;D238))),MAX($K$1:K237)+1,"")</f>
        <v/>
      </c>
    </row>
    <row r="239" customFormat="false" ht="15" hidden="false" customHeight="false" outlineLevel="0" collapsed="false">
      <c r="A239" s="12"/>
      <c r="B239" s="12"/>
      <c r="C239" s="17" t="str">
        <f aca="false">IF(B239="","",IFERROR(INDEX(Produits!$F$2:$F$1001,MATCH(B239,Produits!$A$2:$A$1001,0)),"⚠ code article inconnu"))</f>
        <v/>
      </c>
      <c r="D239" s="12"/>
      <c r="E239" s="23"/>
      <c r="F239" s="24"/>
      <c r="G239" s="23"/>
      <c r="H239" s="21" t="str">
        <f aca="true">IF(E239="","",ROUND((E239-TODAY())/30.4,1))</f>
        <v/>
      </c>
      <c r="I239" s="17" t="str">
        <f aca="false">IF(E239="","",IF(H239&lt;0,IF(LEFT(A239,1)="Q","Périmé (en quarantaine)","PÉRIMÉ → déplacer en zone Q"),IF(H239&lt;3,"Péremption &lt; 3 mois",IF(H239&lt;6,"Péremption &lt; 6 mois",""))))</f>
        <v/>
      </c>
      <c r="J239" s="17" t="str">
        <f aca="false">IF(A239="","",IF(COUNTIF(Emplacements!$A$2:$A$1001,A239)=0,"⚠ emplacement inconnu","OK"))</f>
        <v/>
      </c>
      <c r="K239" s="22" t="str">
        <f aca="false">IF(AND(B239&lt;&gt;"",ISNUMBER(SEARCH(Recherche!$C$3,C239&amp;" "&amp;B239&amp;" "&amp;A239&amp;" "&amp;D239))),MAX($K$1:K238)+1,"")</f>
        <v/>
      </c>
    </row>
    <row r="240" customFormat="false" ht="15" hidden="false" customHeight="false" outlineLevel="0" collapsed="false">
      <c r="A240" s="12"/>
      <c r="B240" s="12"/>
      <c r="C240" s="17" t="str">
        <f aca="false">IF(B240="","",IFERROR(INDEX(Produits!$F$2:$F$1001,MATCH(B240,Produits!$A$2:$A$1001,0)),"⚠ code article inconnu"))</f>
        <v/>
      </c>
      <c r="D240" s="12"/>
      <c r="E240" s="23"/>
      <c r="F240" s="24"/>
      <c r="G240" s="23"/>
      <c r="H240" s="21" t="str">
        <f aca="true">IF(E240="","",ROUND((E240-TODAY())/30.4,1))</f>
        <v/>
      </c>
      <c r="I240" s="17" t="str">
        <f aca="false">IF(E240="","",IF(H240&lt;0,IF(LEFT(A240,1)="Q","Périmé (en quarantaine)","PÉRIMÉ → déplacer en zone Q"),IF(H240&lt;3,"Péremption &lt; 3 mois",IF(H240&lt;6,"Péremption &lt; 6 mois",""))))</f>
        <v/>
      </c>
      <c r="J240" s="17" t="str">
        <f aca="false">IF(A240="","",IF(COUNTIF(Emplacements!$A$2:$A$1001,A240)=0,"⚠ emplacement inconnu","OK"))</f>
        <v/>
      </c>
      <c r="K240" s="22" t="str">
        <f aca="false">IF(AND(B240&lt;&gt;"",ISNUMBER(SEARCH(Recherche!$C$3,C240&amp;" "&amp;B240&amp;" "&amp;A240&amp;" "&amp;D240))),MAX($K$1:K239)+1,"")</f>
        <v/>
      </c>
    </row>
    <row r="241" customFormat="false" ht="15" hidden="false" customHeight="false" outlineLevel="0" collapsed="false">
      <c r="A241" s="12"/>
      <c r="B241" s="12"/>
      <c r="C241" s="17" t="str">
        <f aca="false">IF(B241="","",IFERROR(INDEX(Produits!$F$2:$F$1001,MATCH(B241,Produits!$A$2:$A$1001,0)),"⚠ code article inconnu"))</f>
        <v/>
      </c>
      <c r="D241" s="12"/>
      <c r="E241" s="23"/>
      <c r="F241" s="24"/>
      <c r="G241" s="23"/>
      <c r="H241" s="21" t="str">
        <f aca="true">IF(E241="","",ROUND((E241-TODAY())/30.4,1))</f>
        <v/>
      </c>
      <c r="I241" s="17" t="str">
        <f aca="false">IF(E241="","",IF(H241&lt;0,IF(LEFT(A241,1)="Q","Périmé (en quarantaine)","PÉRIMÉ → déplacer en zone Q"),IF(H241&lt;3,"Péremption &lt; 3 mois",IF(H241&lt;6,"Péremption &lt; 6 mois",""))))</f>
        <v/>
      </c>
      <c r="J241" s="17" t="str">
        <f aca="false">IF(A241="","",IF(COUNTIF(Emplacements!$A$2:$A$1001,A241)=0,"⚠ emplacement inconnu","OK"))</f>
        <v/>
      </c>
      <c r="K241" s="22" t="str">
        <f aca="false">IF(AND(B241&lt;&gt;"",ISNUMBER(SEARCH(Recherche!$C$3,C241&amp;" "&amp;B241&amp;" "&amp;A241&amp;" "&amp;D241))),MAX($K$1:K240)+1,"")</f>
        <v/>
      </c>
    </row>
    <row r="242" customFormat="false" ht="15" hidden="false" customHeight="false" outlineLevel="0" collapsed="false">
      <c r="A242" s="12"/>
      <c r="B242" s="12"/>
      <c r="C242" s="17" t="str">
        <f aca="false">IF(B242="","",IFERROR(INDEX(Produits!$F$2:$F$1001,MATCH(B242,Produits!$A$2:$A$1001,0)),"⚠ code article inconnu"))</f>
        <v/>
      </c>
      <c r="D242" s="12"/>
      <c r="E242" s="23"/>
      <c r="F242" s="24"/>
      <c r="G242" s="23"/>
      <c r="H242" s="21" t="str">
        <f aca="true">IF(E242="","",ROUND((E242-TODAY())/30.4,1))</f>
        <v/>
      </c>
      <c r="I242" s="17" t="str">
        <f aca="false">IF(E242="","",IF(H242&lt;0,IF(LEFT(A242,1)="Q","Périmé (en quarantaine)","PÉRIMÉ → déplacer en zone Q"),IF(H242&lt;3,"Péremption &lt; 3 mois",IF(H242&lt;6,"Péremption &lt; 6 mois",""))))</f>
        <v/>
      </c>
      <c r="J242" s="17" t="str">
        <f aca="false">IF(A242="","",IF(COUNTIF(Emplacements!$A$2:$A$1001,A242)=0,"⚠ emplacement inconnu","OK"))</f>
        <v/>
      </c>
      <c r="K242" s="22" t="str">
        <f aca="false">IF(AND(B242&lt;&gt;"",ISNUMBER(SEARCH(Recherche!$C$3,C242&amp;" "&amp;B242&amp;" "&amp;A242&amp;" "&amp;D242))),MAX($K$1:K241)+1,"")</f>
        <v/>
      </c>
    </row>
    <row r="243" customFormat="false" ht="15" hidden="false" customHeight="false" outlineLevel="0" collapsed="false">
      <c r="A243" s="12"/>
      <c r="B243" s="12"/>
      <c r="C243" s="17" t="str">
        <f aca="false">IF(B243="","",IFERROR(INDEX(Produits!$F$2:$F$1001,MATCH(B243,Produits!$A$2:$A$1001,0)),"⚠ code article inconnu"))</f>
        <v/>
      </c>
      <c r="D243" s="12"/>
      <c r="E243" s="23"/>
      <c r="F243" s="24"/>
      <c r="G243" s="23"/>
      <c r="H243" s="21" t="str">
        <f aca="true">IF(E243="","",ROUND((E243-TODAY())/30.4,1))</f>
        <v/>
      </c>
      <c r="I243" s="17" t="str">
        <f aca="false">IF(E243="","",IF(H243&lt;0,IF(LEFT(A243,1)="Q","Périmé (en quarantaine)","PÉRIMÉ → déplacer en zone Q"),IF(H243&lt;3,"Péremption &lt; 3 mois",IF(H243&lt;6,"Péremption &lt; 6 mois",""))))</f>
        <v/>
      </c>
      <c r="J243" s="17" t="str">
        <f aca="false">IF(A243="","",IF(COUNTIF(Emplacements!$A$2:$A$1001,A243)=0,"⚠ emplacement inconnu","OK"))</f>
        <v/>
      </c>
      <c r="K243" s="22" t="str">
        <f aca="false">IF(AND(B243&lt;&gt;"",ISNUMBER(SEARCH(Recherche!$C$3,C243&amp;" "&amp;B243&amp;" "&amp;A243&amp;" "&amp;D243))),MAX($K$1:K242)+1,"")</f>
        <v/>
      </c>
    </row>
    <row r="244" customFormat="false" ht="15" hidden="false" customHeight="false" outlineLevel="0" collapsed="false">
      <c r="A244" s="12"/>
      <c r="B244" s="12"/>
      <c r="C244" s="17" t="str">
        <f aca="false">IF(B244="","",IFERROR(INDEX(Produits!$F$2:$F$1001,MATCH(B244,Produits!$A$2:$A$1001,0)),"⚠ code article inconnu"))</f>
        <v/>
      </c>
      <c r="D244" s="12"/>
      <c r="E244" s="23"/>
      <c r="F244" s="24"/>
      <c r="G244" s="23"/>
      <c r="H244" s="21" t="str">
        <f aca="true">IF(E244="","",ROUND((E244-TODAY())/30.4,1))</f>
        <v/>
      </c>
      <c r="I244" s="17" t="str">
        <f aca="false">IF(E244="","",IF(H244&lt;0,IF(LEFT(A244,1)="Q","Périmé (en quarantaine)","PÉRIMÉ → déplacer en zone Q"),IF(H244&lt;3,"Péremption &lt; 3 mois",IF(H244&lt;6,"Péremption &lt; 6 mois",""))))</f>
        <v/>
      </c>
      <c r="J244" s="17" t="str">
        <f aca="false">IF(A244="","",IF(COUNTIF(Emplacements!$A$2:$A$1001,A244)=0,"⚠ emplacement inconnu","OK"))</f>
        <v/>
      </c>
      <c r="K244" s="22" t="str">
        <f aca="false">IF(AND(B244&lt;&gt;"",ISNUMBER(SEARCH(Recherche!$C$3,C244&amp;" "&amp;B244&amp;" "&amp;A244&amp;" "&amp;D244))),MAX($K$1:K243)+1,"")</f>
        <v/>
      </c>
    </row>
    <row r="245" customFormat="false" ht="15" hidden="false" customHeight="false" outlineLevel="0" collapsed="false">
      <c r="A245" s="12"/>
      <c r="B245" s="12"/>
      <c r="C245" s="17" t="str">
        <f aca="false">IF(B245="","",IFERROR(INDEX(Produits!$F$2:$F$1001,MATCH(B245,Produits!$A$2:$A$1001,0)),"⚠ code article inconnu"))</f>
        <v/>
      </c>
      <c r="D245" s="12"/>
      <c r="E245" s="23"/>
      <c r="F245" s="24"/>
      <c r="G245" s="23"/>
      <c r="H245" s="21" t="str">
        <f aca="true">IF(E245="","",ROUND((E245-TODAY())/30.4,1))</f>
        <v/>
      </c>
      <c r="I245" s="17" t="str">
        <f aca="false">IF(E245="","",IF(H245&lt;0,IF(LEFT(A245,1)="Q","Périmé (en quarantaine)","PÉRIMÉ → déplacer en zone Q"),IF(H245&lt;3,"Péremption &lt; 3 mois",IF(H245&lt;6,"Péremption &lt; 6 mois",""))))</f>
        <v/>
      </c>
      <c r="J245" s="17" t="str">
        <f aca="false">IF(A245="","",IF(COUNTIF(Emplacements!$A$2:$A$1001,A245)=0,"⚠ emplacement inconnu","OK"))</f>
        <v/>
      </c>
      <c r="K245" s="22" t="str">
        <f aca="false">IF(AND(B245&lt;&gt;"",ISNUMBER(SEARCH(Recherche!$C$3,C245&amp;" "&amp;B245&amp;" "&amp;A245&amp;" "&amp;D245))),MAX($K$1:K244)+1,"")</f>
        <v/>
      </c>
    </row>
    <row r="246" customFormat="false" ht="15" hidden="false" customHeight="false" outlineLevel="0" collapsed="false">
      <c r="A246" s="12"/>
      <c r="B246" s="12"/>
      <c r="C246" s="17" t="str">
        <f aca="false">IF(B246="","",IFERROR(INDEX(Produits!$F$2:$F$1001,MATCH(B246,Produits!$A$2:$A$1001,0)),"⚠ code article inconnu"))</f>
        <v/>
      </c>
      <c r="D246" s="12"/>
      <c r="E246" s="23"/>
      <c r="F246" s="24"/>
      <c r="G246" s="23"/>
      <c r="H246" s="21" t="str">
        <f aca="true">IF(E246="","",ROUND((E246-TODAY())/30.4,1))</f>
        <v/>
      </c>
      <c r="I246" s="17" t="str">
        <f aca="false">IF(E246="","",IF(H246&lt;0,IF(LEFT(A246,1)="Q","Périmé (en quarantaine)","PÉRIMÉ → déplacer en zone Q"),IF(H246&lt;3,"Péremption &lt; 3 mois",IF(H246&lt;6,"Péremption &lt; 6 mois",""))))</f>
        <v/>
      </c>
      <c r="J246" s="17" t="str">
        <f aca="false">IF(A246="","",IF(COUNTIF(Emplacements!$A$2:$A$1001,A246)=0,"⚠ emplacement inconnu","OK"))</f>
        <v/>
      </c>
      <c r="K246" s="22" t="str">
        <f aca="false">IF(AND(B246&lt;&gt;"",ISNUMBER(SEARCH(Recherche!$C$3,C246&amp;" "&amp;B246&amp;" "&amp;A246&amp;" "&amp;D246))),MAX($K$1:K245)+1,"")</f>
        <v/>
      </c>
    </row>
    <row r="247" customFormat="false" ht="15" hidden="false" customHeight="false" outlineLevel="0" collapsed="false">
      <c r="A247" s="12"/>
      <c r="B247" s="12"/>
      <c r="C247" s="17" t="str">
        <f aca="false">IF(B247="","",IFERROR(INDEX(Produits!$F$2:$F$1001,MATCH(B247,Produits!$A$2:$A$1001,0)),"⚠ code article inconnu"))</f>
        <v/>
      </c>
      <c r="D247" s="12"/>
      <c r="E247" s="23"/>
      <c r="F247" s="24"/>
      <c r="G247" s="23"/>
      <c r="H247" s="21" t="str">
        <f aca="true">IF(E247="","",ROUND((E247-TODAY())/30.4,1))</f>
        <v/>
      </c>
      <c r="I247" s="17" t="str">
        <f aca="false">IF(E247="","",IF(H247&lt;0,IF(LEFT(A247,1)="Q","Périmé (en quarantaine)","PÉRIMÉ → déplacer en zone Q"),IF(H247&lt;3,"Péremption &lt; 3 mois",IF(H247&lt;6,"Péremption &lt; 6 mois",""))))</f>
        <v/>
      </c>
      <c r="J247" s="17" t="str">
        <f aca="false">IF(A247="","",IF(COUNTIF(Emplacements!$A$2:$A$1001,A247)=0,"⚠ emplacement inconnu","OK"))</f>
        <v/>
      </c>
      <c r="K247" s="22" t="str">
        <f aca="false">IF(AND(B247&lt;&gt;"",ISNUMBER(SEARCH(Recherche!$C$3,C247&amp;" "&amp;B247&amp;" "&amp;A247&amp;" "&amp;D247))),MAX($K$1:K246)+1,"")</f>
        <v/>
      </c>
    </row>
    <row r="248" customFormat="false" ht="15" hidden="false" customHeight="false" outlineLevel="0" collapsed="false">
      <c r="A248" s="12"/>
      <c r="B248" s="12"/>
      <c r="C248" s="17" t="str">
        <f aca="false">IF(B248="","",IFERROR(INDEX(Produits!$F$2:$F$1001,MATCH(B248,Produits!$A$2:$A$1001,0)),"⚠ code article inconnu"))</f>
        <v/>
      </c>
      <c r="D248" s="12"/>
      <c r="E248" s="23"/>
      <c r="F248" s="24"/>
      <c r="G248" s="23"/>
      <c r="H248" s="21" t="str">
        <f aca="true">IF(E248="","",ROUND((E248-TODAY())/30.4,1))</f>
        <v/>
      </c>
      <c r="I248" s="17" t="str">
        <f aca="false">IF(E248="","",IF(H248&lt;0,IF(LEFT(A248,1)="Q","Périmé (en quarantaine)","PÉRIMÉ → déplacer en zone Q"),IF(H248&lt;3,"Péremption &lt; 3 mois",IF(H248&lt;6,"Péremption &lt; 6 mois",""))))</f>
        <v/>
      </c>
      <c r="J248" s="17" t="str">
        <f aca="false">IF(A248="","",IF(COUNTIF(Emplacements!$A$2:$A$1001,A248)=0,"⚠ emplacement inconnu","OK"))</f>
        <v/>
      </c>
      <c r="K248" s="22" t="str">
        <f aca="false">IF(AND(B248&lt;&gt;"",ISNUMBER(SEARCH(Recherche!$C$3,C248&amp;" "&amp;B248&amp;" "&amp;A248&amp;" "&amp;D248))),MAX($K$1:K247)+1,"")</f>
        <v/>
      </c>
    </row>
    <row r="249" customFormat="false" ht="15" hidden="false" customHeight="false" outlineLevel="0" collapsed="false">
      <c r="A249" s="12"/>
      <c r="B249" s="12"/>
      <c r="C249" s="17" t="str">
        <f aca="false">IF(B249="","",IFERROR(INDEX(Produits!$F$2:$F$1001,MATCH(B249,Produits!$A$2:$A$1001,0)),"⚠ code article inconnu"))</f>
        <v/>
      </c>
      <c r="D249" s="12"/>
      <c r="E249" s="23"/>
      <c r="F249" s="24"/>
      <c r="G249" s="23"/>
      <c r="H249" s="21" t="str">
        <f aca="true">IF(E249="","",ROUND((E249-TODAY())/30.4,1))</f>
        <v/>
      </c>
      <c r="I249" s="17" t="str">
        <f aca="false">IF(E249="","",IF(H249&lt;0,IF(LEFT(A249,1)="Q","Périmé (en quarantaine)","PÉRIMÉ → déplacer en zone Q"),IF(H249&lt;3,"Péremption &lt; 3 mois",IF(H249&lt;6,"Péremption &lt; 6 mois",""))))</f>
        <v/>
      </c>
      <c r="J249" s="17" t="str">
        <f aca="false">IF(A249="","",IF(COUNTIF(Emplacements!$A$2:$A$1001,A249)=0,"⚠ emplacement inconnu","OK"))</f>
        <v/>
      </c>
      <c r="K249" s="22" t="str">
        <f aca="false">IF(AND(B249&lt;&gt;"",ISNUMBER(SEARCH(Recherche!$C$3,C249&amp;" "&amp;B249&amp;" "&amp;A249&amp;" "&amp;D249))),MAX($K$1:K248)+1,"")</f>
        <v/>
      </c>
    </row>
    <row r="250" customFormat="false" ht="15" hidden="false" customHeight="false" outlineLevel="0" collapsed="false">
      <c r="A250" s="12"/>
      <c r="B250" s="12"/>
      <c r="C250" s="17" t="str">
        <f aca="false">IF(B250="","",IFERROR(INDEX(Produits!$F$2:$F$1001,MATCH(B250,Produits!$A$2:$A$1001,0)),"⚠ code article inconnu"))</f>
        <v/>
      </c>
      <c r="D250" s="12"/>
      <c r="E250" s="23"/>
      <c r="F250" s="24"/>
      <c r="G250" s="23"/>
      <c r="H250" s="21" t="str">
        <f aca="true">IF(E250="","",ROUND((E250-TODAY())/30.4,1))</f>
        <v/>
      </c>
      <c r="I250" s="17" t="str">
        <f aca="false">IF(E250="","",IF(H250&lt;0,IF(LEFT(A250,1)="Q","Périmé (en quarantaine)","PÉRIMÉ → déplacer en zone Q"),IF(H250&lt;3,"Péremption &lt; 3 mois",IF(H250&lt;6,"Péremption &lt; 6 mois",""))))</f>
        <v/>
      </c>
      <c r="J250" s="17" t="str">
        <f aca="false">IF(A250="","",IF(COUNTIF(Emplacements!$A$2:$A$1001,A250)=0,"⚠ emplacement inconnu","OK"))</f>
        <v/>
      </c>
      <c r="K250" s="22" t="str">
        <f aca="false">IF(AND(B250&lt;&gt;"",ISNUMBER(SEARCH(Recherche!$C$3,C250&amp;" "&amp;B250&amp;" "&amp;A250&amp;" "&amp;D250))),MAX($K$1:K249)+1,"")</f>
        <v/>
      </c>
    </row>
    <row r="251" customFormat="false" ht="15" hidden="false" customHeight="false" outlineLevel="0" collapsed="false">
      <c r="A251" s="12"/>
      <c r="B251" s="12"/>
      <c r="C251" s="17" t="str">
        <f aca="false">IF(B251="","",IFERROR(INDEX(Produits!$F$2:$F$1001,MATCH(B251,Produits!$A$2:$A$1001,0)),"⚠ code article inconnu"))</f>
        <v/>
      </c>
      <c r="D251" s="12"/>
      <c r="E251" s="23"/>
      <c r="F251" s="24"/>
      <c r="G251" s="23"/>
      <c r="H251" s="21" t="str">
        <f aca="true">IF(E251="","",ROUND((E251-TODAY())/30.4,1))</f>
        <v/>
      </c>
      <c r="I251" s="17" t="str">
        <f aca="false">IF(E251="","",IF(H251&lt;0,IF(LEFT(A251,1)="Q","Périmé (en quarantaine)","PÉRIMÉ → déplacer en zone Q"),IF(H251&lt;3,"Péremption &lt; 3 mois",IF(H251&lt;6,"Péremption &lt; 6 mois",""))))</f>
        <v/>
      </c>
      <c r="J251" s="17" t="str">
        <f aca="false">IF(A251="","",IF(COUNTIF(Emplacements!$A$2:$A$1001,A251)=0,"⚠ emplacement inconnu","OK"))</f>
        <v/>
      </c>
      <c r="K251" s="22" t="str">
        <f aca="false">IF(AND(B251&lt;&gt;"",ISNUMBER(SEARCH(Recherche!$C$3,C251&amp;" "&amp;B251&amp;" "&amp;A251&amp;" "&amp;D251))),MAX($K$1:K250)+1,"")</f>
        <v/>
      </c>
    </row>
    <row r="252" customFormat="false" ht="15" hidden="false" customHeight="false" outlineLevel="0" collapsed="false">
      <c r="A252" s="12"/>
      <c r="B252" s="12"/>
      <c r="C252" s="17" t="str">
        <f aca="false">IF(B252="","",IFERROR(INDEX(Produits!$F$2:$F$1001,MATCH(B252,Produits!$A$2:$A$1001,0)),"⚠ code article inconnu"))</f>
        <v/>
      </c>
      <c r="D252" s="12"/>
      <c r="E252" s="23"/>
      <c r="F252" s="24"/>
      <c r="G252" s="23"/>
      <c r="H252" s="21" t="str">
        <f aca="true">IF(E252="","",ROUND((E252-TODAY())/30.4,1))</f>
        <v/>
      </c>
      <c r="I252" s="17" t="str">
        <f aca="false">IF(E252="","",IF(H252&lt;0,IF(LEFT(A252,1)="Q","Périmé (en quarantaine)","PÉRIMÉ → déplacer en zone Q"),IF(H252&lt;3,"Péremption &lt; 3 mois",IF(H252&lt;6,"Péremption &lt; 6 mois",""))))</f>
        <v/>
      </c>
      <c r="J252" s="17" t="str">
        <f aca="false">IF(A252="","",IF(COUNTIF(Emplacements!$A$2:$A$1001,A252)=0,"⚠ emplacement inconnu","OK"))</f>
        <v/>
      </c>
      <c r="K252" s="22" t="str">
        <f aca="false">IF(AND(B252&lt;&gt;"",ISNUMBER(SEARCH(Recherche!$C$3,C252&amp;" "&amp;B252&amp;" "&amp;A252&amp;" "&amp;D252))),MAX($K$1:K251)+1,"")</f>
        <v/>
      </c>
    </row>
    <row r="253" customFormat="false" ht="15" hidden="false" customHeight="false" outlineLevel="0" collapsed="false">
      <c r="A253" s="12"/>
      <c r="B253" s="12"/>
      <c r="C253" s="17" t="str">
        <f aca="false">IF(B253="","",IFERROR(INDEX(Produits!$F$2:$F$1001,MATCH(B253,Produits!$A$2:$A$1001,0)),"⚠ code article inconnu"))</f>
        <v/>
      </c>
      <c r="D253" s="12"/>
      <c r="E253" s="23"/>
      <c r="F253" s="24"/>
      <c r="G253" s="23"/>
      <c r="H253" s="21" t="str">
        <f aca="true">IF(E253="","",ROUND((E253-TODAY())/30.4,1))</f>
        <v/>
      </c>
      <c r="I253" s="17" t="str">
        <f aca="false">IF(E253="","",IF(H253&lt;0,IF(LEFT(A253,1)="Q","Périmé (en quarantaine)","PÉRIMÉ → déplacer en zone Q"),IF(H253&lt;3,"Péremption &lt; 3 mois",IF(H253&lt;6,"Péremption &lt; 6 mois",""))))</f>
        <v/>
      </c>
      <c r="J253" s="17" t="str">
        <f aca="false">IF(A253="","",IF(COUNTIF(Emplacements!$A$2:$A$1001,A253)=0,"⚠ emplacement inconnu","OK"))</f>
        <v/>
      </c>
      <c r="K253" s="22" t="str">
        <f aca="false">IF(AND(B253&lt;&gt;"",ISNUMBER(SEARCH(Recherche!$C$3,C253&amp;" "&amp;B253&amp;" "&amp;A253&amp;" "&amp;D253))),MAX($K$1:K252)+1,"")</f>
        <v/>
      </c>
    </row>
    <row r="254" customFormat="false" ht="15" hidden="false" customHeight="false" outlineLevel="0" collapsed="false">
      <c r="A254" s="12"/>
      <c r="B254" s="12"/>
      <c r="C254" s="17" t="str">
        <f aca="false">IF(B254="","",IFERROR(INDEX(Produits!$F$2:$F$1001,MATCH(B254,Produits!$A$2:$A$1001,0)),"⚠ code article inconnu"))</f>
        <v/>
      </c>
      <c r="D254" s="12"/>
      <c r="E254" s="23"/>
      <c r="F254" s="24"/>
      <c r="G254" s="23"/>
      <c r="H254" s="21" t="str">
        <f aca="true">IF(E254="","",ROUND((E254-TODAY())/30.4,1))</f>
        <v/>
      </c>
      <c r="I254" s="17" t="str">
        <f aca="false">IF(E254="","",IF(H254&lt;0,IF(LEFT(A254,1)="Q","Périmé (en quarantaine)","PÉRIMÉ → déplacer en zone Q"),IF(H254&lt;3,"Péremption &lt; 3 mois",IF(H254&lt;6,"Péremption &lt; 6 mois",""))))</f>
        <v/>
      </c>
      <c r="J254" s="17" t="str">
        <f aca="false">IF(A254="","",IF(COUNTIF(Emplacements!$A$2:$A$1001,A254)=0,"⚠ emplacement inconnu","OK"))</f>
        <v/>
      </c>
      <c r="K254" s="22" t="str">
        <f aca="false">IF(AND(B254&lt;&gt;"",ISNUMBER(SEARCH(Recherche!$C$3,C254&amp;" "&amp;B254&amp;" "&amp;A254&amp;" "&amp;D254))),MAX($K$1:K253)+1,"")</f>
        <v/>
      </c>
    </row>
    <row r="255" customFormat="false" ht="15" hidden="false" customHeight="false" outlineLevel="0" collapsed="false">
      <c r="A255" s="12"/>
      <c r="B255" s="12"/>
      <c r="C255" s="17" t="str">
        <f aca="false">IF(B255="","",IFERROR(INDEX(Produits!$F$2:$F$1001,MATCH(B255,Produits!$A$2:$A$1001,0)),"⚠ code article inconnu"))</f>
        <v/>
      </c>
      <c r="D255" s="12"/>
      <c r="E255" s="23"/>
      <c r="F255" s="24"/>
      <c r="G255" s="23"/>
      <c r="H255" s="21" t="str">
        <f aca="true">IF(E255="","",ROUND((E255-TODAY())/30.4,1))</f>
        <v/>
      </c>
      <c r="I255" s="17" t="str">
        <f aca="false">IF(E255="","",IF(H255&lt;0,IF(LEFT(A255,1)="Q","Périmé (en quarantaine)","PÉRIMÉ → déplacer en zone Q"),IF(H255&lt;3,"Péremption &lt; 3 mois",IF(H255&lt;6,"Péremption &lt; 6 mois",""))))</f>
        <v/>
      </c>
      <c r="J255" s="17" t="str">
        <f aca="false">IF(A255="","",IF(COUNTIF(Emplacements!$A$2:$A$1001,A255)=0,"⚠ emplacement inconnu","OK"))</f>
        <v/>
      </c>
      <c r="K255" s="22" t="str">
        <f aca="false">IF(AND(B255&lt;&gt;"",ISNUMBER(SEARCH(Recherche!$C$3,C255&amp;" "&amp;B255&amp;" "&amp;A255&amp;" "&amp;D255))),MAX($K$1:K254)+1,"")</f>
        <v/>
      </c>
    </row>
    <row r="256" customFormat="false" ht="15" hidden="false" customHeight="false" outlineLevel="0" collapsed="false">
      <c r="A256" s="12"/>
      <c r="B256" s="12"/>
      <c r="C256" s="17" t="str">
        <f aca="false">IF(B256="","",IFERROR(INDEX(Produits!$F$2:$F$1001,MATCH(B256,Produits!$A$2:$A$1001,0)),"⚠ code article inconnu"))</f>
        <v/>
      </c>
      <c r="D256" s="12"/>
      <c r="E256" s="23"/>
      <c r="F256" s="24"/>
      <c r="G256" s="23"/>
      <c r="H256" s="21" t="str">
        <f aca="true">IF(E256="","",ROUND((E256-TODAY())/30.4,1))</f>
        <v/>
      </c>
      <c r="I256" s="17" t="str">
        <f aca="false">IF(E256="","",IF(H256&lt;0,IF(LEFT(A256,1)="Q","Périmé (en quarantaine)","PÉRIMÉ → déplacer en zone Q"),IF(H256&lt;3,"Péremption &lt; 3 mois",IF(H256&lt;6,"Péremption &lt; 6 mois",""))))</f>
        <v/>
      </c>
      <c r="J256" s="17" t="str">
        <f aca="false">IF(A256="","",IF(COUNTIF(Emplacements!$A$2:$A$1001,A256)=0,"⚠ emplacement inconnu","OK"))</f>
        <v/>
      </c>
      <c r="K256" s="22" t="str">
        <f aca="false">IF(AND(B256&lt;&gt;"",ISNUMBER(SEARCH(Recherche!$C$3,C256&amp;" "&amp;B256&amp;" "&amp;A256&amp;" "&amp;D256))),MAX($K$1:K255)+1,"")</f>
        <v/>
      </c>
    </row>
    <row r="257" customFormat="false" ht="15" hidden="false" customHeight="false" outlineLevel="0" collapsed="false">
      <c r="A257" s="12"/>
      <c r="B257" s="12"/>
      <c r="C257" s="17" t="str">
        <f aca="false">IF(B257="","",IFERROR(INDEX(Produits!$F$2:$F$1001,MATCH(B257,Produits!$A$2:$A$1001,0)),"⚠ code article inconnu"))</f>
        <v/>
      </c>
      <c r="D257" s="12"/>
      <c r="E257" s="23"/>
      <c r="F257" s="24"/>
      <c r="G257" s="23"/>
      <c r="H257" s="21" t="str">
        <f aca="true">IF(E257="","",ROUND((E257-TODAY())/30.4,1))</f>
        <v/>
      </c>
      <c r="I257" s="17" t="str">
        <f aca="false">IF(E257="","",IF(H257&lt;0,IF(LEFT(A257,1)="Q","Périmé (en quarantaine)","PÉRIMÉ → déplacer en zone Q"),IF(H257&lt;3,"Péremption &lt; 3 mois",IF(H257&lt;6,"Péremption &lt; 6 mois",""))))</f>
        <v/>
      </c>
      <c r="J257" s="17" t="str">
        <f aca="false">IF(A257="","",IF(COUNTIF(Emplacements!$A$2:$A$1001,A257)=0,"⚠ emplacement inconnu","OK"))</f>
        <v/>
      </c>
      <c r="K257" s="22" t="str">
        <f aca="false">IF(AND(B257&lt;&gt;"",ISNUMBER(SEARCH(Recherche!$C$3,C257&amp;" "&amp;B257&amp;" "&amp;A257&amp;" "&amp;D257))),MAX($K$1:K256)+1,"")</f>
        <v/>
      </c>
    </row>
    <row r="258" customFormat="false" ht="15" hidden="false" customHeight="false" outlineLevel="0" collapsed="false">
      <c r="A258" s="12"/>
      <c r="B258" s="12"/>
      <c r="C258" s="17" t="str">
        <f aca="false">IF(B258="","",IFERROR(INDEX(Produits!$F$2:$F$1001,MATCH(B258,Produits!$A$2:$A$1001,0)),"⚠ code article inconnu"))</f>
        <v/>
      </c>
      <c r="D258" s="12"/>
      <c r="E258" s="23"/>
      <c r="F258" s="24"/>
      <c r="G258" s="23"/>
      <c r="H258" s="21" t="str">
        <f aca="true">IF(E258="","",ROUND((E258-TODAY())/30.4,1))</f>
        <v/>
      </c>
      <c r="I258" s="17" t="str">
        <f aca="false">IF(E258="","",IF(H258&lt;0,IF(LEFT(A258,1)="Q","Périmé (en quarantaine)","PÉRIMÉ → déplacer en zone Q"),IF(H258&lt;3,"Péremption &lt; 3 mois",IF(H258&lt;6,"Péremption &lt; 6 mois",""))))</f>
        <v/>
      </c>
      <c r="J258" s="17" t="str">
        <f aca="false">IF(A258="","",IF(COUNTIF(Emplacements!$A$2:$A$1001,A258)=0,"⚠ emplacement inconnu","OK"))</f>
        <v/>
      </c>
      <c r="K258" s="22" t="str">
        <f aca="false">IF(AND(B258&lt;&gt;"",ISNUMBER(SEARCH(Recherche!$C$3,C258&amp;" "&amp;B258&amp;" "&amp;A258&amp;" "&amp;D258))),MAX($K$1:K257)+1,"")</f>
        <v/>
      </c>
    </row>
    <row r="259" customFormat="false" ht="15" hidden="false" customHeight="false" outlineLevel="0" collapsed="false">
      <c r="A259" s="12"/>
      <c r="B259" s="12"/>
      <c r="C259" s="17" t="str">
        <f aca="false">IF(B259="","",IFERROR(INDEX(Produits!$F$2:$F$1001,MATCH(B259,Produits!$A$2:$A$1001,0)),"⚠ code article inconnu"))</f>
        <v/>
      </c>
      <c r="D259" s="12"/>
      <c r="E259" s="23"/>
      <c r="F259" s="24"/>
      <c r="G259" s="23"/>
      <c r="H259" s="21" t="str">
        <f aca="true">IF(E259="","",ROUND((E259-TODAY())/30.4,1))</f>
        <v/>
      </c>
      <c r="I259" s="17" t="str">
        <f aca="false">IF(E259="","",IF(H259&lt;0,IF(LEFT(A259,1)="Q","Périmé (en quarantaine)","PÉRIMÉ → déplacer en zone Q"),IF(H259&lt;3,"Péremption &lt; 3 mois",IF(H259&lt;6,"Péremption &lt; 6 mois",""))))</f>
        <v/>
      </c>
      <c r="J259" s="17" t="str">
        <f aca="false">IF(A259="","",IF(COUNTIF(Emplacements!$A$2:$A$1001,A259)=0,"⚠ emplacement inconnu","OK"))</f>
        <v/>
      </c>
      <c r="K259" s="22" t="str">
        <f aca="false">IF(AND(B259&lt;&gt;"",ISNUMBER(SEARCH(Recherche!$C$3,C259&amp;" "&amp;B259&amp;" "&amp;A259&amp;" "&amp;D259))),MAX($K$1:K258)+1,"")</f>
        <v/>
      </c>
    </row>
    <row r="260" customFormat="false" ht="15" hidden="false" customHeight="false" outlineLevel="0" collapsed="false">
      <c r="A260" s="12"/>
      <c r="B260" s="12"/>
      <c r="C260" s="17" t="str">
        <f aca="false">IF(B260="","",IFERROR(INDEX(Produits!$F$2:$F$1001,MATCH(B260,Produits!$A$2:$A$1001,0)),"⚠ code article inconnu"))</f>
        <v/>
      </c>
      <c r="D260" s="12"/>
      <c r="E260" s="23"/>
      <c r="F260" s="24"/>
      <c r="G260" s="23"/>
      <c r="H260" s="21" t="str">
        <f aca="true">IF(E260="","",ROUND((E260-TODAY())/30.4,1))</f>
        <v/>
      </c>
      <c r="I260" s="17" t="str">
        <f aca="false">IF(E260="","",IF(H260&lt;0,IF(LEFT(A260,1)="Q","Périmé (en quarantaine)","PÉRIMÉ → déplacer en zone Q"),IF(H260&lt;3,"Péremption &lt; 3 mois",IF(H260&lt;6,"Péremption &lt; 6 mois",""))))</f>
        <v/>
      </c>
      <c r="J260" s="17" t="str">
        <f aca="false">IF(A260="","",IF(COUNTIF(Emplacements!$A$2:$A$1001,A260)=0,"⚠ emplacement inconnu","OK"))</f>
        <v/>
      </c>
      <c r="K260" s="22" t="str">
        <f aca="false">IF(AND(B260&lt;&gt;"",ISNUMBER(SEARCH(Recherche!$C$3,C260&amp;" "&amp;B260&amp;" "&amp;A260&amp;" "&amp;D260))),MAX($K$1:K259)+1,"")</f>
        <v/>
      </c>
    </row>
    <row r="261" customFormat="false" ht="15" hidden="false" customHeight="false" outlineLevel="0" collapsed="false">
      <c r="A261" s="12"/>
      <c r="B261" s="12"/>
      <c r="C261" s="17" t="str">
        <f aca="false">IF(B261="","",IFERROR(INDEX(Produits!$F$2:$F$1001,MATCH(B261,Produits!$A$2:$A$1001,0)),"⚠ code article inconnu"))</f>
        <v/>
      </c>
      <c r="D261" s="12"/>
      <c r="E261" s="23"/>
      <c r="F261" s="24"/>
      <c r="G261" s="23"/>
      <c r="H261" s="21" t="str">
        <f aca="true">IF(E261="","",ROUND((E261-TODAY())/30.4,1))</f>
        <v/>
      </c>
      <c r="I261" s="17" t="str">
        <f aca="false">IF(E261="","",IF(H261&lt;0,IF(LEFT(A261,1)="Q","Périmé (en quarantaine)","PÉRIMÉ → déplacer en zone Q"),IF(H261&lt;3,"Péremption &lt; 3 mois",IF(H261&lt;6,"Péremption &lt; 6 mois",""))))</f>
        <v/>
      </c>
      <c r="J261" s="17" t="str">
        <f aca="false">IF(A261="","",IF(COUNTIF(Emplacements!$A$2:$A$1001,A261)=0,"⚠ emplacement inconnu","OK"))</f>
        <v/>
      </c>
      <c r="K261" s="22" t="str">
        <f aca="false">IF(AND(B261&lt;&gt;"",ISNUMBER(SEARCH(Recherche!$C$3,C261&amp;" "&amp;B261&amp;" "&amp;A261&amp;" "&amp;D261))),MAX($K$1:K260)+1,"")</f>
        <v/>
      </c>
    </row>
    <row r="262" customFormat="false" ht="15" hidden="false" customHeight="false" outlineLevel="0" collapsed="false">
      <c r="A262" s="12"/>
      <c r="B262" s="12"/>
      <c r="C262" s="17" t="str">
        <f aca="false">IF(B262="","",IFERROR(INDEX(Produits!$F$2:$F$1001,MATCH(B262,Produits!$A$2:$A$1001,0)),"⚠ code article inconnu"))</f>
        <v/>
      </c>
      <c r="D262" s="12"/>
      <c r="E262" s="23"/>
      <c r="F262" s="24"/>
      <c r="G262" s="23"/>
      <c r="H262" s="21" t="str">
        <f aca="true">IF(E262="","",ROUND((E262-TODAY())/30.4,1))</f>
        <v/>
      </c>
      <c r="I262" s="17" t="str">
        <f aca="false">IF(E262="","",IF(H262&lt;0,IF(LEFT(A262,1)="Q","Périmé (en quarantaine)","PÉRIMÉ → déplacer en zone Q"),IF(H262&lt;3,"Péremption &lt; 3 mois",IF(H262&lt;6,"Péremption &lt; 6 mois",""))))</f>
        <v/>
      </c>
      <c r="J262" s="17" t="str">
        <f aca="false">IF(A262="","",IF(COUNTIF(Emplacements!$A$2:$A$1001,A262)=0,"⚠ emplacement inconnu","OK"))</f>
        <v/>
      </c>
      <c r="K262" s="22" t="str">
        <f aca="false">IF(AND(B262&lt;&gt;"",ISNUMBER(SEARCH(Recherche!$C$3,C262&amp;" "&amp;B262&amp;" "&amp;A262&amp;" "&amp;D262))),MAX($K$1:K261)+1,"")</f>
        <v/>
      </c>
    </row>
    <row r="263" customFormat="false" ht="15" hidden="false" customHeight="false" outlineLevel="0" collapsed="false">
      <c r="A263" s="12"/>
      <c r="B263" s="12"/>
      <c r="C263" s="17" t="str">
        <f aca="false">IF(B263="","",IFERROR(INDEX(Produits!$F$2:$F$1001,MATCH(B263,Produits!$A$2:$A$1001,0)),"⚠ code article inconnu"))</f>
        <v/>
      </c>
      <c r="D263" s="12"/>
      <c r="E263" s="23"/>
      <c r="F263" s="24"/>
      <c r="G263" s="23"/>
      <c r="H263" s="21" t="str">
        <f aca="true">IF(E263="","",ROUND((E263-TODAY())/30.4,1))</f>
        <v/>
      </c>
      <c r="I263" s="17" t="str">
        <f aca="false">IF(E263="","",IF(H263&lt;0,IF(LEFT(A263,1)="Q","Périmé (en quarantaine)","PÉRIMÉ → déplacer en zone Q"),IF(H263&lt;3,"Péremption &lt; 3 mois",IF(H263&lt;6,"Péremption &lt; 6 mois",""))))</f>
        <v/>
      </c>
      <c r="J263" s="17" t="str">
        <f aca="false">IF(A263="","",IF(COUNTIF(Emplacements!$A$2:$A$1001,A263)=0,"⚠ emplacement inconnu","OK"))</f>
        <v/>
      </c>
      <c r="K263" s="22" t="str">
        <f aca="false">IF(AND(B263&lt;&gt;"",ISNUMBER(SEARCH(Recherche!$C$3,C263&amp;" "&amp;B263&amp;" "&amp;A263&amp;" "&amp;D263))),MAX($K$1:K262)+1,"")</f>
        <v/>
      </c>
    </row>
    <row r="264" customFormat="false" ht="15" hidden="false" customHeight="false" outlineLevel="0" collapsed="false">
      <c r="A264" s="12"/>
      <c r="B264" s="12"/>
      <c r="C264" s="17" t="str">
        <f aca="false">IF(B264="","",IFERROR(INDEX(Produits!$F$2:$F$1001,MATCH(B264,Produits!$A$2:$A$1001,0)),"⚠ code article inconnu"))</f>
        <v/>
      </c>
      <c r="D264" s="12"/>
      <c r="E264" s="23"/>
      <c r="F264" s="24"/>
      <c r="G264" s="23"/>
      <c r="H264" s="21" t="str">
        <f aca="true">IF(E264="","",ROUND((E264-TODAY())/30.4,1))</f>
        <v/>
      </c>
      <c r="I264" s="17" t="str">
        <f aca="false">IF(E264="","",IF(H264&lt;0,IF(LEFT(A264,1)="Q","Périmé (en quarantaine)","PÉRIMÉ → déplacer en zone Q"),IF(H264&lt;3,"Péremption &lt; 3 mois",IF(H264&lt;6,"Péremption &lt; 6 mois",""))))</f>
        <v/>
      </c>
      <c r="J264" s="17" t="str">
        <f aca="false">IF(A264="","",IF(COUNTIF(Emplacements!$A$2:$A$1001,A264)=0,"⚠ emplacement inconnu","OK"))</f>
        <v/>
      </c>
      <c r="K264" s="22" t="str">
        <f aca="false">IF(AND(B264&lt;&gt;"",ISNUMBER(SEARCH(Recherche!$C$3,C264&amp;" "&amp;B264&amp;" "&amp;A264&amp;" "&amp;D264))),MAX($K$1:K263)+1,"")</f>
        <v/>
      </c>
    </row>
    <row r="265" customFormat="false" ht="15" hidden="false" customHeight="false" outlineLevel="0" collapsed="false">
      <c r="A265" s="12"/>
      <c r="B265" s="12"/>
      <c r="C265" s="17" t="str">
        <f aca="false">IF(B265="","",IFERROR(INDEX(Produits!$F$2:$F$1001,MATCH(B265,Produits!$A$2:$A$1001,0)),"⚠ code article inconnu"))</f>
        <v/>
      </c>
      <c r="D265" s="12"/>
      <c r="E265" s="23"/>
      <c r="F265" s="24"/>
      <c r="G265" s="23"/>
      <c r="H265" s="21" t="str">
        <f aca="true">IF(E265="","",ROUND((E265-TODAY())/30.4,1))</f>
        <v/>
      </c>
      <c r="I265" s="17" t="str">
        <f aca="false">IF(E265="","",IF(H265&lt;0,IF(LEFT(A265,1)="Q","Périmé (en quarantaine)","PÉRIMÉ → déplacer en zone Q"),IF(H265&lt;3,"Péremption &lt; 3 mois",IF(H265&lt;6,"Péremption &lt; 6 mois",""))))</f>
        <v/>
      </c>
      <c r="J265" s="17" t="str">
        <f aca="false">IF(A265="","",IF(COUNTIF(Emplacements!$A$2:$A$1001,A265)=0,"⚠ emplacement inconnu","OK"))</f>
        <v/>
      </c>
      <c r="K265" s="22" t="str">
        <f aca="false">IF(AND(B265&lt;&gt;"",ISNUMBER(SEARCH(Recherche!$C$3,C265&amp;" "&amp;B265&amp;" "&amp;A265&amp;" "&amp;D265))),MAX($K$1:K264)+1,"")</f>
        <v/>
      </c>
    </row>
    <row r="266" customFormat="false" ht="15" hidden="false" customHeight="false" outlineLevel="0" collapsed="false">
      <c r="A266" s="12"/>
      <c r="B266" s="12"/>
      <c r="C266" s="17" t="str">
        <f aca="false">IF(B266="","",IFERROR(INDEX(Produits!$F$2:$F$1001,MATCH(B266,Produits!$A$2:$A$1001,0)),"⚠ code article inconnu"))</f>
        <v/>
      </c>
      <c r="D266" s="12"/>
      <c r="E266" s="23"/>
      <c r="F266" s="24"/>
      <c r="G266" s="23"/>
      <c r="H266" s="21" t="str">
        <f aca="true">IF(E266="","",ROUND((E266-TODAY())/30.4,1))</f>
        <v/>
      </c>
      <c r="I266" s="17" t="str">
        <f aca="false">IF(E266="","",IF(H266&lt;0,IF(LEFT(A266,1)="Q","Périmé (en quarantaine)","PÉRIMÉ → déplacer en zone Q"),IF(H266&lt;3,"Péremption &lt; 3 mois",IF(H266&lt;6,"Péremption &lt; 6 mois",""))))</f>
        <v/>
      </c>
      <c r="J266" s="17" t="str">
        <f aca="false">IF(A266="","",IF(COUNTIF(Emplacements!$A$2:$A$1001,A266)=0,"⚠ emplacement inconnu","OK"))</f>
        <v/>
      </c>
      <c r="K266" s="22" t="str">
        <f aca="false">IF(AND(B266&lt;&gt;"",ISNUMBER(SEARCH(Recherche!$C$3,C266&amp;" "&amp;B266&amp;" "&amp;A266&amp;" "&amp;D266))),MAX($K$1:K265)+1,"")</f>
        <v/>
      </c>
    </row>
    <row r="267" customFormat="false" ht="15" hidden="false" customHeight="false" outlineLevel="0" collapsed="false">
      <c r="A267" s="12"/>
      <c r="B267" s="12"/>
      <c r="C267" s="17" t="str">
        <f aca="false">IF(B267="","",IFERROR(INDEX(Produits!$F$2:$F$1001,MATCH(B267,Produits!$A$2:$A$1001,0)),"⚠ code article inconnu"))</f>
        <v/>
      </c>
      <c r="D267" s="12"/>
      <c r="E267" s="23"/>
      <c r="F267" s="24"/>
      <c r="G267" s="23"/>
      <c r="H267" s="21" t="str">
        <f aca="true">IF(E267="","",ROUND((E267-TODAY())/30.4,1))</f>
        <v/>
      </c>
      <c r="I267" s="17" t="str">
        <f aca="false">IF(E267="","",IF(H267&lt;0,IF(LEFT(A267,1)="Q","Périmé (en quarantaine)","PÉRIMÉ → déplacer en zone Q"),IF(H267&lt;3,"Péremption &lt; 3 mois",IF(H267&lt;6,"Péremption &lt; 6 mois",""))))</f>
        <v/>
      </c>
      <c r="J267" s="17" t="str">
        <f aca="false">IF(A267="","",IF(COUNTIF(Emplacements!$A$2:$A$1001,A267)=0,"⚠ emplacement inconnu","OK"))</f>
        <v/>
      </c>
      <c r="K267" s="22" t="str">
        <f aca="false">IF(AND(B267&lt;&gt;"",ISNUMBER(SEARCH(Recherche!$C$3,C267&amp;" "&amp;B267&amp;" "&amp;A267&amp;" "&amp;D267))),MAX($K$1:K266)+1,"")</f>
        <v/>
      </c>
    </row>
    <row r="268" customFormat="false" ht="15" hidden="false" customHeight="false" outlineLevel="0" collapsed="false">
      <c r="A268" s="12"/>
      <c r="B268" s="12"/>
      <c r="C268" s="17" t="str">
        <f aca="false">IF(B268="","",IFERROR(INDEX(Produits!$F$2:$F$1001,MATCH(B268,Produits!$A$2:$A$1001,0)),"⚠ code article inconnu"))</f>
        <v/>
      </c>
      <c r="D268" s="12"/>
      <c r="E268" s="23"/>
      <c r="F268" s="24"/>
      <c r="G268" s="23"/>
      <c r="H268" s="21" t="str">
        <f aca="true">IF(E268="","",ROUND((E268-TODAY())/30.4,1))</f>
        <v/>
      </c>
      <c r="I268" s="17" t="str">
        <f aca="false">IF(E268="","",IF(H268&lt;0,IF(LEFT(A268,1)="Q","Périmé (en quarantaine)","PÉRIMÉ → déplacer en zone Q"),IF(H268&lt;3,"Péremption &lt; 3 mois",IF(H268&lt;6,"Péremption &lt; 6 mois",""))))</f>
        <v/>
      </c>
      <c r="J268" s="17" t="str">
        <f aca="false">IF(A268="","",IF(COUNTIF(Emplacements!$A$2:$A$1001,A268)=0,"⚠ emplacement inconnu","OK"))</f>
        <v/>
      </c>
      <c r="K268" s="22" t="str">
        <f aca="false">IF(AND(B268&lt;&gt;"",ISNUMBER(SEARCH(Recherche!$C$3,C268&amp;" "&amp;B268&amp;" "&amp;A268&amp;" "&amp;D268))),MAX($K$1:K267)+1,"")</f>
        <v/>
      </c>
    </row>
    <row r="269" customFormat="false" ht="15" hidden="false" customHeight="false" outlineLevel="0" collapsed="false">
      <c r="A269" s="12"/>
      <c r="B269" s="12"/>
      <c r="C269" s="17" t="str">
        <f aca="false">IF(B269="","",IFERROR(INDEX(Produits!$F$2:$F$1001,MATCH(B269,Produits!$A$2:$A$1001,0)),"⚠ code article inconnu"))</f>
        <v/>
      </c>
      <c r="D269" s="12"/>
      <c r="E269" s="23"/>
      <c r="F269" s="24"/>
      <c r="G269" s="23"/>
      <c r="H269" s="21" t="str">
        <f aca="true">IF(E269="","",ROUND((E269-TODAY())/30.4,1))</f>
        <v/>
      </c>
      <c r="I269" s="17" t="str">
        <f aca="false">IF(E269="","",IF(H269&lt;0,IF(LEFT(A269,1)="Q","Périmé (en quarantaine)","PÉRIMÉ → déplacer en zone Q"),IF(H269&lt;3,"Péremption &lt; 3 mois",IF(H269&lt;6,"Péremption &lt; 6 mois",""))))</f>
        <v/>
      </c>
      <c r="J269" s="17" t="str">
        <f aca="false">IF(A269="","",IF(COUNTIF(Emplacements!$A$2:$A$1001,A269)=0,"⚠ emplacement inconnu","OK"))</f>
        <v/>
      </c>
      <c r="K269" s="22" t="str">
        <f aca="false">IF(AND(B269&lt;&gt;"",ISNUMBER(SEARCH(Recherche!$C$3,C269&amp;" "&amp;B269&amp;" "&amp;A269&amp;" "&amp;D269))),MAX($K$1:K268)+1,"")</f>
        <v/>
      </c>
    </row>
    <row r="270" customFormat="false" ht="15" hidden="false" customHeight="false" outlineLevel="0" collapsed="false">
      <c r="A270" s="12"/>
      <c r="B270" s="12"/>
      <c r="C270" s="17" t="str">
        <f aca="false">IF(B270="","",IFERROR(INDEX(Produits!$F$2:$F$1001,MATCH(B270,Produits!$A$2:$A$1001,0)),"⚠ code article inconnu"))</f>
        <v/>
      </c>
      <c r="D270" s="12"/>
      <c r="E270" s="23"/>
      <c r="F270" s="24"/>
      <c r="G270" s="23"/>
      <c r="H270" s="21" t="str">
        <f aca="true">IF(E270="","",ROUND((E270-TODAY())/30.4,1))</f>
        <v/>
      </c>
      <c r="I270" s="17" t="str">
        <f aca="false">IF(E270="","",IF(H270&lt;0,IF(LEFT(A270,1)="Q","Périmé (en quarantaine)","PÉRIMÉ → déplacer en zone Q"),IF(H270&lt;3,"Péremption &lt; 3 mois",IF(H270&lt;6,"Péremption &lt; 6 mois",""))))</f>
        <v/>
      </c>
      <c r="J270" s="17" t="str">
        <f aca="false">IF(A270="","",IF(COUNTIF(Emplacements!$A$2:$A$1001,A270)=0,"⚠ emplacement inconnu","OK"))</f>
        <v/>
      </c>
      <c r="K270" s="22" t="str">
        <f aca="false">IF(AND(B270&lt;&gt;"",ISNUMBER(SEARCH(Recherche!$C$3,C270&amp;" "&amp;B270&amp;" "&amp;A270&amp;" "&amp;D270))),MAX($K$1:K269)+1,"")</f>
        <v/>
      </c>
    </row>
    <row r="271" customFormat="false" ht="15" hidden="false" customHeight="false" outlineLevel="0" collapsed="false">
      <c r="A271" s="12"/>
      <c r="B271" s="12"/>
      <c r="C271" s="17" t="str">
        <f aca="false">IF(B271="","",IFERROR(INDEX(Produits!$F$2:$F$1001,MATCH(B271,Produits!$A$2:$A$1001,0)),"⚠ code article inconnu"))</f>
        <v/>
      </c>
      <c r="D271" s="12"/>
      <c r="E271" s="23"/>
      <c r="F271" s="24"/>
      <c r="G271" s="23"/>
      <c r="H271" s="21" t="str">
        <f aca="true">IF(E271="","",ROUND((E271-TODAY())/30.4,1))</f>
        <v/>
      </c>
      <c r="I271" s="17" t="str">
        <f aca="false">IF(E271="","",IF(H271&lt;0,IF(LEFT(A271,1)="Q","Périmé (en quarantaine)","PÉRIMÉ → déplacer en zone Q"),IF(H271&lt;3,"Péremption &lt; 3 mois",IF(H271&lt;6,"Péremption &lt; 6 mois",""))))</f>
        <v/>
      </c>
      <c r="J271" s="17" t="str">
        <f aca="false">IF(A271="","",IF(COUNTIF(Emplacements!$A$2:$A$1001,A271)=0,"⚠ emplacement inconnu","OK"))</f>
        <v/>
      </c>
      <c r="K271" s="22" t="str">
        <f aca="false">IF(AND(B271&lt;&gt;"",ISNUMBER(SEARCH(Recherche!$C$3,C271&amp;" "&amp;B271&amp;" "&amp;A271&amp;" "&amp;D271))),MAX($K$1:K270)+1,"")</f>
        <v/>
      </c>
    </row>
    <row r="272" customFormat="false" ht="15" hidden="false" customHeight="false" outlineLevel="0" collapsed="false">
      <c r="A272" s="12"/>
      <c r="B272" s="12"/>
      <c r="C272" s="17" t="str">
        <f aca="false">IF(B272="","",IFERROR(INDEX(Produits!$F$2:$F$1001,MATCH(B272,Produits!$A$2:$A$1001,0)),"⚠ code article inconnu"))</f>
        <v/>
      </c>
      <c r="D272" s="12"/>
      <c r="E272" s="23"/>
      <c r="F272" s="24"/>
      <c r="G272" s="23"/>
      <c r="H272" s="21" t="str">
        <f aca="true">IF(E272="","",ROUND((E272-TODAY())/30.4,1))</f>
        <v/>
      </c>
      <c r="I272" s="17" t="str">
        <f aca="false">IF(E272="","",IF(H272&lt;0,IF(LEFT(A272,1)="Q","Périmé (en quarantaine)","PÉRIMÉ → déplacer en zone Q"),IF(H272&lt;3,"Péremption &lt; 3 mois",IF(H272&lt;6,"Péremption &lt; 6 mois",""))))</f>
        <v/>
      </c>
      <c r="J272" s="17" t="str">
        <f aca="false">IF(A272="","",IF(COUNTIF(Emplacements!$A$2:$A$1001,A272)=0,"⚠ emplacement inconnu","OK"))</f>
        <v/>
      </c>
      <c r="K272" s="22" t="str">
        <f aca="false">IF(AND(B272&lt;&gt;"",ISNUMBER(SEARCH(Recherche!$C$3,C272&amp;" "&amp;B272&amp;" "&amp;A272&amp;" "&amp;D272))),MAX($K$1:K271)+1,"")</f>
        <v/>
      </c>
    </row>
    <row r="273" customFormat="false" ht="15" hidden="false" customHeight="false" outlineLevel="0" collapsed="false">
      <c r="A273" s="12"/>
      <c r="B273" s="12"/>
      <c r="C273" s="17" t="str">
        <f aca="false">IF(B273="","",IFERROR(INDEX(Produits!$F$2:$F$1001,MATCH(B273,Produits!$A$2:$A$1001,0)),"⚠ code article inconnu"))</f>
        <v/>
      </c>
      <c r="D273" s="12"/>
      <c r="E273" s="23"/>
      <c r="F273" s="24"/>
      <c r="G273" s="23"/>
      <c r="H273" s="21" t="str">
        <f aca="true">IF(E273="","",ROUND((E273-TODAY())/30.4,1))</f>
        <v/>
      </c>
      <c r="I273" s="17" t="str">
        <f aca="false">IF(E273="","",IF(H273&lt;0,IF(LEFT(A273,1)="Q","Périmé (en quarantaine)","PÉRIMÉ → déplacer en zone Q"),IF(H273&lt;3,"Péremption &lt; 3 mois",IF(H273&lt;6,"Péremption &lt; 6 mois",""))))</f>
        <v/>
      </c>
      <c r="J273" s="17" t="str">
        <f aca="false">IF(A273="","",IF(COUNTIF(Emplacements!$A$2:$A$1001,A273)=0,"⚠ emplacement inconnu","OK"))</f>
        <v/>
      </c>
      <c r="K273" s="22" t="str">
        <f aca="false">IF(AND(B273&lt;&gt;"",ISNUMBER(SEARCH(Recherche!$C$3,C273&amp;" "&amp;B273&amp;" "&amp;A273&amp;" "&amp;D273))),MAX($K$1:K272)+1,"")</f>
        <v/>
      </c>
    </row>
    <row r="274" customFormat="false" ht="15" hidden="false" customHeight="false" outlineLevel="0" collapsed="false">
      <c r="A274" s="12"/>
      <c r="B274" s="12"/>
      <c r="C274" s="17" t="str">
        <f aca="false">IF(B274="","",IFERROR(INDEX(Produits!$F$2:$F$1001,MATCH(B274,Produits!$A$2:$A$1001,0)),"⚠ code article inconnu"))</f>
        <v/>
      </c>
      <c r="D274" s="12"/>
      <c r="E274" s="23"/>
      <c r="F274" s="24"/>
      <c r="G274" s="23"/>
      <c r="H274" s="21" t="str">
        <f aca="true">IF(E274="","",ROUND((E274-TODAY())/30.4,1))</f>
        <v/>
      </c>
      <c r="I274" s="17" t="str">
        <f aca="false">IF(E274="","",IF(H274&lt;0,IF(LEFT(A274,1)="Q","Périmé (en quarantaine)","PÉRIMÉ → déplacer en zone Q"),IF(H274&lt;3,"Péremption &lt; 3 mois",IF(H274&lt;6,"Péremption &lt; 6 mois",""))))</f>
        <v/>
      </c>
      <c r="J274" s="17" t="str">
        <f aca="false">IF(A274="","",IF(COUNTIF(Emplacements!$A$2:$A$1001,A274)=0,"⚠ emplacement inconnu","OK"))</f>
        <v/>
      </c>
      <c r="K274" s="22" t="str">
        <f aca="false">IF(AND(B274&lt;&gt;"",ISNUMBER(SEARCH(Recherche!$C$3,C274&amp;" "&amp;B274&amp;" "&amp;A274&amp;" "&amp;D274))),MAX($K$1:K273)+1,"")</f>
        <v/>
      </c>
    </row>
    <row r="275" customFormat="false" ht="15" hidden="false" customHeight="false" outlineLevel="0" collapsed="false">
      <c r="A275" s="12"/>
      <c r="B275" s="12"/>
      <c r="C275" s="17" t="str">
        <f aca="false">IF(B275="","",IFERROR(INDEX(Produits!$F$2:$F$1001,MATCH(B275,Produits!$A$2:$A$1001,0)),"⚠ code article inconnu"))</f>
        <v/>
      </c>
      <c r="D275" s="12"/>
      <c r="E275" s="23"/>
      <c r="F275" s="24"/>
      <c r="G275" s="23"/>
      <c r="H275" s="21" t="str">
        <f aca="true">IF(E275="","",ROUND((E275-TODAY())/30.4,1))</f>
        <v/>
      </c>
      <c r="I275" s="17" t="str">
        <f aca="false">IF(E275="","",IF(H275&lt;0,IF(LEFT(A275,1)="Q","Périmé (en quarantaine)","PÉRIMÉ → déplacer en zone Q"),IF(H275&lt;3,"Péremption &lt; 3 mois",IF(H275&lt;6,"Péremption &lt; 6 mois",""))))</f>
        <v/>
      </c>
      <c r="J275" s="17" t="str">
        <f aca="false">IF(A275="","",IF(COUNTIF(Emplacements!$A$2:$A$1001,A275)=0,"⚠ emplacement inconnu","OK"))</f>
        <v/>
      </c>
      <c r="K275" s="22" t="str">
        <f aca="false">IF(AND(B275&lt;&gt;"",ISNUMBER(SEARCH(Recherche!$C$3,C275&amp;" "&amp;B275&amp;" "&amp;A275&amp;" "&amp;D275))),MAX($K$1:K274)+1,"")</f>
        <v/>
      </c>
    </row>
    <row r="276" customFormat="false" ht="15" hidden="false" customHeight="false" outlineLevel="0" collapsed="false">
      <c r="A276" s="12"/>
      <c r="B276" s="12"/>
      <c r="C276" s="17" t="str">
        <f aca="false">IF(B276="","",IFERROR(INDEX(Produits!$F$2:$F$1001,MATCH(B276,Produits!$A$2:$A$1001,0)),"⚠ code article inconnu"))</f>
        <v/>
      </c>
      <c r="D276" s="12"/>
      <c r="E276" s="23"/>
      <c r="F276" s="24"/>
      <c r="G276" s="23"/>
      <c r="H276" s="21" t="str">
        <f aca="true">IF(E276="","",ROUND((E276-TODAY())/30.4,1))</f>
        <v/>
      </c>
      <c r="I276" s="17" t="str">
        <f aca="false">IF(E276="","",IF(H276&lt;0,IF(LEFT(A276,1)="Q","Périmé (en quarantaine)","PÉRIMÉ → déplacer en zone Q"),IF(H276&lt;3,"Péremption &lt; 3 mois",IF(H276&lt;6,"Péremption &lt; 6 mois",""))))</f>
        <v/>
      </c>
      <c r="J276" s="17" t="str">
        <f aca="false">IF(A276="","",IF(COUNTIF(Emplacements!$A$2:$A$1001,A276)=0,"⚠ emplacement inconnu","OK"))</f>
        <v/>
      </c>
      <c r="K276" s="22" t="str">
        <f aca="false">IF(AND(B276&lt;&gt;"",ISNUMBER(SEARCH(Recherche!$C$3,C276&amp;" "&amp;B276&amp;" "&amp;A276&amp;" "&amp;D276))),MAX($K$1:K275)+1,"")</f>
        <v/>
      </c>
    </row>
    <row r="277" customFormat="false" ht="15" hidden="false" customHeight="false" outlineLevel="0" collapsed="false">
      <c r="A277" s="12"/>
      <c r="B277" s="12"/>
      <c r="C277" s="17" t="str">
        <f aca="false">IF(B277="","",IFERROR(INDEX(Produits!$F$2:$F$1001,MATCH(B277,Produits!$A$2:$A$1001,0)),"⚠ code article inconnu"))</f>
        <v/>
      </c>
      <c r="D277" s="12"/>
      <c r="E277" s="23"/>
      <c r="F277" s="24"/>
      <c r="G277" s="23"/>
      <c r="H277" s="21" t="str">
        <f aca="true">IF(E277="","",ROUND((E277-TODAY())/30.4,1))</f>
        <v/>
      </c>
      <c r="I277" s="17" t="str">
        <f aca="false">IF(E277="","",IF(H277&lt;0,IF(LEFT(A277,1)="Q","Périmé (en quarantaine)","PÉRIMÉ → déplacer en zone Q"),IF(H277&lt;3,"Péremption &lt; 3 mois",IF(H277&lt;6,"Péremption &lt; 6 mois",""))))</f>
        <v/>
      </c>
      <c r="J277" s="17" t="str">
        <f aca="false">IF(A277="","",IF(COUNTIF(Emplacements!$A$2:$A$1001,A277)=0,"⚠ emplacement inconnu","OK"))</f>
        <v/>
      </c>
      <c r="K277" s="22" t="str">
        <f aca="false">IF(AND(B277&lt;&gt;"",ISNUMBER(SEARCH(Recherche!$C$3,C277&amp;" "&amp;B277&amp;" "&amp;A277&amp;" "&amp;D277))),MAX($K$1:K276)+1,"")</f>
        <v/>
      </c>
    </row>
    <row r="278" customFormat="false" ht="15" hidden="false" customHeight="false" outlineLevel="0" collapsed="false">
      <c r="A278" s="12"/>
      <c r="B278" s="12"/>
      <c r="C278" s="17" t="str">
        <f aca="false">IF(B278="","",IFERROR(INDEX(Produits!$F$2:$F$1001,MATCH(B278,Produits!$A$2:$A$1001,0)),"⚠ code article inconnu"))</f>
        <v/>
      </c>
      <c r="D278" s="12"/>
      <c r="E278" s="23"/>
      <c r="F278" s="24"/>
      <c r="G278" s="23"/>
      <c r="H278" s="21" t="str">
        <f aca="true">IF(E278="","",ROUND((E278-TODAY())/30.4,1))</f>
        <v/>
      </c>
      <c r="I278" s="17" t="str">
        <f aca="false">IF(E278="","",IF(H278&lt;0,IF(LEFT(A278,1)="Q","Périmé (en quarantaine)","PÉRIMÉ → déplacer en zone Q"),IF(H278&lt;3,"Péremption &lt; 3 mois",IF(H278&lt;6,"Péremption &lt; 6 mois",""))))</f>
        <v/>
      </c>
      <c r="J278" s="17" t="str">
        <f aca="false">IF(A278="","",IF(COUNTIF(Emplacements!$A$2:$A$1001,A278)=0,"⚠ emplacement inconnu","OK"))</f>
        <v/>
      </c>
      <c r="K278" s="22" t="str">
        <f aca="false">IF(AND(B278&lt;&gt;"",ISNUMBER(SEARCH(Recherche!$C$3,C278&amp;" "&amp;B278&amp;" "&amp;A278&amp;" "&amp;D278))),MAX($K$1:K277)+1,"")</f>
        <v/>
      </c>
    </row>
    <row r="279" customFormat="false" ht="15" hidden="false" customHeight="false" outlineLevel="0" collapsed="false">
      <c r="A279" s="12"/>
      <c r="B279" s="12"/>
      <c r="C279" s="17" t="str">
        <f aca="false">IF(B279="","",IFERROR(INDEX(Produits!$F$2:$F$1001,MATCH(B279,Produits!$A$2:$A$1001,0)),"⚠ code article inconnu"))</f>
        <v/>
      </c>
      <c r="D279" s="12"/>
      <c r="E279" s="23"/>
      <c r="F279" s="24"/>
      <c r="G279" s="23"/>
      <c r="H279" s="21" t="str">
        <f aca="true">IF(E279="","",ROUND((E279-TODAY())/30.4,1))</f>
        <v/>
      </c>
      <c r="I279" s="17" t="str">
        <f aca="false">IF(E279="","",IF(H279&lt;0,IF(LEFT(A279,1)="Q","Périmé (en quarantaine)","PÉRIMÉ → déplacer en zone Q"),IF(H279&lt;3,"Péremption &lt; 3 mois",IF(H279&lt;6,"Péremption &lt; 6 mois",""))))</f>
        <v/>
      </c>
      <c r="J279" s="17" t="str">
        <f aca="false">IF(A279="","",IF(COUNTIF(Emplacements!$A$2:$A$1001,A279)=0,"⚠ emplacement inconnu","OK"))</f>
        <v/>
      </c>
      <c r="K279" s="22" t="str">
        <f aca="false">IF(AND(B279&lt;&gt;"",ISNUMBER(SEARCH(Recherche!$C$3,C279&amp;" "&amp;B279&amp;" "&amp;A279&amp;" "&amp;D279))),MAX($K$1:K278)+1,"")</f>
        <v/>
      </c>
    </row>
    <row r="280" customFormat="false" ht="15" hidden="false" customHeight="false" outlineLevel="0" collapsed="false">
      <c r="A280" s="12"/>
      <c r="B280" s="12"/>
      <c r="C280" s="17" t="str">
        <f aca="false">IF(B280="","",IFERROR(INDEX(Produits!$F$2:$F$1001,MATCH(B280,Produits!$A$2:$A$1001,0)),"⚠ code article inconnu"))</f>
        <v/>
      </c>
      <c r="D280" s="12"/>
      <c r="E280" s="23"/>
      <c r="F280" s="24"/>
      <c r="G280" s="23"/>
      <c r="H280" s="21" t="str">
        <f aca="true">IF(E280="","",ROUND((E280-TODAY())/30.4,1))</f>
        <v/>
      </c>
      <c r="I280" s="17" t="str">
        <f aca="false">IF(E280="","",IF(H280&lt;0,IF(LEFT(A280,1)="Q","Périmé (en quarantaine)","PÉRIMÉ → déplacer en zone Q"),IF(H280&lt;3,"Péremption &lt; 3 mois",IF(H280&lt;6,"Péremption &lt; 6 mois",""))))</f>
        <v/>
      </c>
      <c r="J280" s="17" t="str">
        <f aca="false">IF(A280="","",IF(COUNTIF(Emplacements!$A$2:$A$1001,A280)=0,"⚠ emplacement inconnu","OK"))</f>
        <v/>
      </c>
      <c r="K280" s="22" t="str">
        <f aca="false">IF(AND(B280&lt;&gt;"",ISNUMBER(SEARCH(Recherche!$C$3,C280&amp;" "&amp;B280&amp;" "&amp;A280&amp;" "&amp;D280))),MAX($K$1:K279)+1,"")</f>
        <v/>
      </c>
    </row>
    <row r="281" customFormat="false" ht="15" hidden="false" customHeight="false" outlineLevel="0" collapsed="false">
      <c r="A281" s="12"/>
      <c r="B281" s="12"/>
      <c r="C281" s="17" t="str">
        <f aca="false">IF(B281="","",IFERROR(INDEX(Produits!$F$2:$F$1001,MATCH(B281,Produits!$A$2:$A$1001,0)),"⚠ code article inconnu"))</f>
        <v/>
      </c>
      <c r="D281" s="12"/>
      <c r="E281" s="23"/>
      <c r="F281" s="24"/>
      <c r="G281" s="23"/>
      <c r="H281" s="21" t="str">
        <f aca="true">IF(E281="","",ROUND((E281-TODAY())/30.4,1))</f>
        <v/>
      </c>
      <c r="I281" s="17" t="str">
        <f aca="false">IF(E281="","",IF(H281&lt;0,IF(LEFT(A281,1)="Q","Périmé (en quarantaine)","PÉRIMÉ → déplacer en zone Q"),IF(H281&lt;3,"Péremption &lt; 3 mois",IF(H281&lt;6,"Péremption &lt; 6 mois",""))))</f>
        <v/>
      </c>
      <c r="J281" s="17" t="str">
        <f aca="false">IF(A281="","",IF(COUNTIF(Emplacements!$A$2:$A$1001,A281)=0,"⚠ emplacement inconnu","OK"))</f>
        <v/>
      </c>
      <c r="K281" s="22" t="str">
        <f aca="false">IF(AND(B281&lt;&gt;"",ISNUMBER(SEARCH(Recherche!$C$3,C281&amp;" "&amp;B281&amp;" "&amp;A281&amp;" "&amp;D281))),MAX($K$1:K280)+1,"")</f>
        <v/>
      </c>
    </row>
    <row r="282" customFormat="false" ht="15" hidden="false" customHeight="false" outlineLevel="0" collapsed="false">
      <c r="A282" s="12"/>
      <c r="B282" s="12"/>
      <c r="C282" s="17" t="str">
        <f aca="false">IF(B282="","",IFERROR(INDEX(Produits!$F$2:$F$1001,MATCH(B282,Produits!$A$2:$A$1001,0)),"⚠ code article inconnu"))</f>
        <v/>
      </c>
      <c r="D282" s="12"/>
      <c r="E282" s="23"/>
      <c r="F282" s="24"/>
      <c r="G282" s="23"/>
      <c r="H282" s="21" t="str">
        <f aca="true">IF(E282="","",ROUND((E282-TODAY())/30.4,1))</f>
        <v/>
      </c>
      <c r="I282" s="17" t="str">
        <f aca="false">IF(E282="","",IF(H282&lt;0,IF(LEFT(A282,1)="Q","Périmé (en quarantaine)","PÉRIMÉ → déplacer en zone Q"),IF(H282&lt;3,"Péremption &lt; 3 mois",IF(H282&lt;6,"Péremption &lt; 6 mois",""))))</f>
        <v/>
      </c>
      <c r="J282" s="17" t="str">
        <f aca="false">IF(A282="","",IF(COUNTIF(Emplacements!$A$2:$A$1001,A282)=0,"⚠ emplacement inconnu","OK"))</f>
        <v/>
      </c>
      <c r="K282" s="22" t="str">
        <f aca="false">IF(AND(B282&lt;&gt;"",ISNUMBER(SEARCH(Recherche!$C$3,C282&amp;" "&amp;B282&amp;" "&amp;A282&amp;" "&amp;D282))),MAX($K$1:K281)+1,"")</f>
        <v/>
      </c>
    </row>
    <row r="283" customFormat="false" ht="15" hidden="false" customHeight="false" outlineLevel="0" collapsed="false">
      <c r="A283" s="12"/>
      <c r="B283" s="12"/>
      <c r="C283" s="17" t="str">
        <f aca="false">IF(B283="","",IFERROR(INDEX(Produits!$F$2:$F$1001,MATCH(B283,Produits!$A$2:$A$1001,0)),"⚠ code article inconnu"))</f>
        <v/>
      </c>
      <c r="D283" s="12"/>
      <c r="E283" s="23"/>
      <c r="F283" s="24"/>
      <c r="G283" s="23"/>
      <c r="H283" s="21" t="str">
        <f aca="true">IF(E283="","",ROUND((E283-TODAY())/30.4,1))</f>
        <v/>
      </c>
      <c r="I283" s="17" t="str">
        <f aca="false">IF(E283="","",IF(H283&lt;0,IF(LEFT(A283,1)="Q","Périmé (en quarantaine)","PÉRIMÉ → déplacer en zone Q"),IF(H283&lt;3,"Péremption &lt; 3 mois",IF(H283&lt;6,"Péremption &lt; 6 mois",""))))</f>
        <v/>
      </c>
      <c r="J283" s="17" t="str">
        <f aca="false">IF(A283="","",IF(COUNTIF(Emplacements!$A$2:$A$1001,A283)=0,"⚠ emplacement inconnu","OK"))</f>
        <v/>
      </c>
      <c r="K283" s="22" t="str">
        <f aca="false">IF(AND(B283&lt;&gt;"",ISNUMBER(SEARCH(Recherche!$C$3,C283&amp;" "&amp;B283&amp;" "&amp;A283&amp;" "&amp;D283))),MAX($K$1:K282)+1,"")</f>
        <v/>
      </c>
    </row>
    <row r="284" customFormat="false" ht="15" hidden="false" customHeight="false" outlineLevel="0" collapsed="false">
      <c r="A284" s="12"/>
      <c r="B284" s="12"/>
      <c r="C284" s="17" t="str">
        <f aca="false">IF(B284="","",IFERROR(INDEX(Produits!$F$2:$F$1001,MATCH(B284,Produits!$A$2:$A$1001,0)),"⚠ code article inconnu"))</f>
        <v/>
      </c>
      <c r="D284" s="12"/>
      <c r="E284" s="23"/>
      <c r="F284" s="24"/>
      <c r="G284" s="23"/>
      <c r="H284" s="21" t="str">
        <f aca="true">IF(E284="","",ROUND((E284-TODAY())/30.4,1))</f>
        <v/>
      </c>
      <c r="I284" s="17" t="str">
        <f aca="false">IF(E284="","",IF(H284&lt;0,IF(LEFT(A284,1)="Q","Périmé (en quarantaine)","PÉRIMÉ → déplacer en zone Q"),IF(H284&lt;3,"Péremption &lt; 3 mois",IF(H284&lt;6,"Péremption &lt; 6 mois",""))))</f>
        <v/>
      </c>
      <c r="J284" s="17" t="str">
        <f aca="false">IF(A284="","",IF(COUNTIF(Emplacements!$A$2:$A$1001,A284)=0,"⚠ emplacement inconnu","OK"))</f>
        <v/>
      </c>
      <c r="K284" s="22" t="str">
        <f aca="false">IF(AND(B284&lt;&gt;"",ISNUMBER(SEARCH(Recherche!$C$3,C284&amp;" "&amp;B284&amp;" "&amp;A284&amp;" "&amp;D284))),MAX($K$1:K283)+1,"")</f>
        <v/>
      </c>
    </row>
    <row r="285" customFormat="false" ht="15" hidden="false" customHeight="false" outlineLevel="0" collapsed="false">
      <c r="A285" s="12"/>
      <c r="B285" s="12"/>
      <c r="C285" s="17" t="str">
        <f aca="false">IF(B285="","",IFERROR(INDEX(Produits!$F$2:$F$1001,MATCH(B285,Produits!$A$2:$A$1001,0)),"⚠ code article inconnu"))</f>
        <v/>
      </c>
      <c r="D285" s="12"/>
      <c r="E285" s="23"/>
      <c r="F285" s="24"/>
      <c r="G285" s="23"/>
      <c r="H285" s="21" t="str">
        <f aca="true">IF(E285="","",ROUND((E285-TODAY())/30.4,1))</f>
        <v/>
      </c>
      <c r="I285" s="17" t="str">
        <f aca="false">IF(E285="","",IF(H285&lt;0,IF(LEFT(A285,1)="Q","Périmé (en quarantaine)","PÉRIMÉ → déplacer en zone Q"),IF(H285&lt;3,"Péremption &lt; 3 mois",IF(H285&lt;6,"Péremption &lt; 6 mois",""))))</f>
        <v/>
      </c>
      <c r="J285" s="17" t="str">
        <f aca="false">IF(A285="","",IF(COUNTIF(Emplacements!$A$2:$A$1001,A285)=0,"⚠ emplacement inconnu","OK"))</f>
        <v/>
      </c>
      <c r="K285" s="22" t="str">
        <f aca="false">IF(AND(B285&lt;&gt;"",ISNUMBER(SEARCH(Recherche!$C$3,C285&amp;" "&amp;B285&amp;" "&amp;A285&amp;" "&amp;D285))),MAX($K$1:K284)+1,"")</f>
        <v/>
      </c>
    </row>
    <row r="286" customFormat="false" ht="15" hidden="false" customHeight="false" outlineLevel="0" collapsed="false">
      <c r="A286" s="12"/>
      <c r="B286" s="12"/>
      <c r="C286" s="17" t="str">
        <f aca="false">IF(B286="","",IFERROR(INDEX(Produits!$F$2:$F$1001,MATCH(B286,Produits!$A$2:$A$1001,0)),"⚠ code article inconnu"))</f>
        <v/>
      </c>
      <c r="D286" s="12"/>
      <c r="E286" s="23"/>
      <c r="F286" s="24"/>
      <c r="G286" s="23"/>
      <c r="H286" s="21" t="str">
        <f aca="true">IF(E286="","",ROUND((E286-TODAY())/30.4,1))</f>
        <v/>
      </c>
      <c r="I286" s="17" t="str">
        <f aca="false">IF(E286="","",IF(H286&lt;0,IF(LEFT(A286,1)="Q","Périmé (en quarantaine)","PÉRIMÉ → déplacer en zone Q"),IF(H286&lt;3,"Péremption &lt; 3 mois",IF(H286&lt;6,"Péremption &lt; 6 mois",""))))</f>
        <v/>
      </c>
      <c r="J286" s="17" t="str">
        <f aca="false">IF(A286="","",IF(COUNTIF(Emplacements!$A$2:$A$1001,A286)=0,"⚠ emplacement inconnu","OK"))</f>
        <v/>
      </c>
      <c r="K286" s="22" t="str">
        <f aca="false">IF(AND(B286&lt;&gt;"",ISNUMBER(SEARCH(Recherche!$C$3,C286&amp;" "&amp;B286&amp;" "&amp;A286&amp;" "&amp;D286))),MAX($K$1:K285)+1,"")</f>
        <v/>
      </c>
    </row>
    <row r="287" customFormat="false" ht="15" hidden="false" customHeight="false" outlineLevel="0" collapsed="false">
      <c r="A287" s="12"/>
      <c r="B287" s="12"/>
      <c r="C287" s="17" t="str">
        <f aca="false">IF(B287="","",IFERROR(INDEX(Produits!$F$2:$F$1001,MATCH(B287,Produits!$A$2:$A$1001,0)),"⚠ code article inconnu"))</f>
        <v/>
      </c>
      <c r="D287" s="12"/>
      <c r="E287" s="23"/>
      <c r="F287" s="24"/>
      <c r="G287" s="23"/>
      <c r="H287" s="21" t="str">
        <f aca="true">IF(E287="","",ROUND((E287-TODAY())/30.4,1))</f>
        <v/>
      </c>
      <c r="I287" s="17" t="str">
        <f aca="false">IF(E287="","",IF(H287&lt;0,IF(LEFT(A287,1)="Q","Périmé (en quarantaine)","PÉRIMÉ → déplacer en zone Q"),IF(H287&lt;3,"Péremption &lt; 3 mois",IF(H287&lt;6,"Péremption &lt; 6 mois",""))))</f>
        <v/>
      </c>
      <c r="J287" s="17" t="str">
        <f aca="false">IF(A287="","",IF(COUNTIF(Emplacements!$A$2:$A$1001,A287)=0,"⚠ emplacement inconnu","OK"))</f>
        <v/>
      </c>
      <c r="K287" s="22" t="str">
        <f aca="false">IF(AND(B287&lt;&gt;"",ISNUMBER(SEARCH(Recherche!$C$3,C287&amp;" "&amp;B287&amp;" "&amp;A287&amp;" "&amp;D287))),MAX($K$1:K286)+1,"")</f>
        <v/>
      </c>
    </row>
    <row r="288" customFormat="false" ht="15" hidden="false" customHeight="false" outlineLevel="0" collapsed="false">
      <c r="A288" s="12"/>
      <c r="B288" s="12"/>
      <c r="C288" s="17" t="str">
        <f aca="false">IF(B288="","",IFERROR(INDEX(Produits!$F$2:$F$1001,MATCH(B288,Produits!$A$2:$A$1001,0)),"⚠ code article inconnu"))</f>
        <v/>
      </c>
      <c r="D288" s="12"/>
      <c r="E288" s="23"/>
      <c r="F288" s="24"/>
      <c r="G288" s="23"/>
      <c r="H288" s="21" t="str">
        <f aca="true">IF(E288="","",ROUND((E288-TODAY())/30.4,1))</f>
        <v/>
      </c>
      <c r="I288" s="17" t="str">
        <f aca="false">IF(E288="","",IF(H288&lt;0,IF(LEFT(A288,1)="Q","Périmé (en quarantaine)","PÉRIMÉ → déplacer en zone Q"),IF(H288&lt;3,"Péremption &lt; 3 mois",IF(H288&lt;6,"Péremption &lt; 6 mois",""))))</f>
        <v/>
      </c>
      <c r="J288" s="17" t="str">
        <f aca="false">IF(A288="","",IF(COUNTIF(Emplacements!$A$2:$A$1001,A288)=0,"⚠ emplacement inconnu","OK"))</f>
        <v/>
      </c>
      <c r="K288" s="22" t="str">
        <f aca="false">IF(AND(B288&lt;&gt;"",ISNUMBER(SEARCH(Recherche!$C$3,C288&amp;" "&amp;B288&amp;" "&amp;A288&amp;" "&amp;D288))),MAX($K$1:K287)+1,"")</f>
        <v/>
      </c>
    </row>
    <row r="289" customFormat="false" ht="15" hidden="false" customHeight="false" outlineLevel="0" collapsed="false">
      <c r="A289" s="12"/>
      <c r="B289" s="12"/>
      <c r="C289" s="17" t="str">
        <f aca="false">IF(B289="","",IFERROR(INDEX(Produits!$F$2:$F$1001,MATCH(B289,Produits!$A$2:$A$1001,0)),"⚠ code article inconnu"))</f>
        <v/>
      </c>
      <c r="D289" s="12"/>
      <c r="E289" s="23"/>
      <c r="F289" s="24"/>
      <c r="G289" s="23"/>
      <c r="H289" s="21" t="str">
        <f aca="true">IF(E289="","",ROUND((E289-TODAY())/30.4,1))</f>
        <v/>
      </c>
      <c r="I289" s="17" t="str">
        <f aca="false">IF(E289="","",IF(H289&lt;0,IF(LEFT(A289,1)="Q","Périmé (en quarantaine)","PÉRIMÉ → déplacer en zone Q"),IF(H289&lt;3,"Péremption &lt; 3 mois",IF(H289&lt;6,"Péremption &lt; 6 mois",""))))</f>
        <v/>
      </c>
      <c r="J289" s="17" t="str">
        <f aca="false">IF(A289="","",IF(COUNTIF(Emplacements!$A$2:$A$1001,A289)=0,"⚠ emplacement inconnu","OK"))</f>
        <v/>
      </c>
      <c r="K289" s="22" t="str">
        <f aca="false">IF(AND(B289&lt;&gt;"",ISNUMBER(SEARCH(Recherche!$C$3,C289&amp;" "&amp;B289&amp;" "&amp;A289&amp;" "&amp;D289))),MAX($K$1:K288)+1,"")</f>
        <v/>
      </c>
    </row>
    <row r="290" customFormat="false" ht="15" hidden="false" customHeight="false" outlineLevel="0" collapsed="false">
      <c r="A290" s="12"/>
      <c r="B290" s="12"/>
      <c r="C290" s="17" t="str">
        <f aca="false">IF(B290="","",IFERROR(INDEX(Produits!$F$2:$F$1001,MATCH(B290,Produits!$A$2:$A$1001,0)),"⚠ code article inconnu"))</f>
        <v/>
      </c>
      <c r="D290" s="12"/>
      <c r="E290" s="23"/>
      <c r="F290" s="24"/>
      <c r="G290" s="23"/>
      <c r="H290" s="21" t="str">
        <f aca="true">IF(E290="","",ROUND((E290-TODAY())/30.4,1))</f>
        <v/>
      </c>
      <c r="I290" s="17" t="str">
        <f aca="false">IF(E290="","",IF(H290&lt;0,IF(LEFT(A290,1)="Q","Périmé (en quarantaine)","PÉRIMÉ → déplacer en zone Q"),IF(H290&lt;3,"Péremption &lt; 3 mois",IF(H290&lt;6,"Péremption &lt; 6 mois",""))))</f>
        <v/>
      </c>
      <c r="J290" s="17" t="str">
        <f aca="false">IF(A290="","",IF(COUNTIF(Emplacements!$A$2:$A$1001,A290)=0,"⚠ emplacement inconnu","OK"))</f>
        <v/>
      </c>
      <c r="K290" s="22" t="str">
        <f aca="false">IF(AND(B290&lt;&gt;"",ISNUMBER(SEARCH(Recherche!$C$3,C290&amp;" "&amp;B290&amp;" "&amp;A290&amp;" "&amp;D290))),MAX($K$1:K289)+1,"")</f>
        <v/>
      </c>
    </row>
    <row r="291" customFormat="false" ht="15" hidden="false" customHeight="false" outlineLevel="0" collapsed="false">
      <c r="A291" s="12"/>
      <c r="B291" s="12"/>
      <c r="C291" s="17" t="str">
        <f aca="false">IF(B291="","",IFERROR(INDEX(Produits!$F$2:$F$1001,MATCH(B291,Produits!$A$2:$A$1001,0)),"⚠ code article inconnu"))</f>
        <v/>
      </c>
      <c r="D291" s="12"/>
      <c r="E291" s="23"/>
      <c r="F291" s="24"/>
      <c r="G291" s="23"/>
      <c r="H291" s="21" t="str">
        <f aca="true">IF(E291="","",ROUND((E291-TODAY())/30.4,1))</f>
        <v/>
      </c>
      <c r="I291" s="17" t="str">
        <f aca="false">IF(E291="","",IF(H291&lt;0,IF(LEFT(A291,1)="Q","Périmé (en quarantaine)","PÉRIMÉ → déplacer en zone Q"),IF(H291&lt;3,"Péremption &lt; 3 mois",IF(H291&lt;6,"Péremption &lt; 6 mois",""))))</f>
        <v/>
      </c>
      <c r="J291" s="17" t="str">
        <f aca="false">IF(A291="","",IF(COUNTIF(Emplacements!$A$2:$A$1001,A291)=0,"⚠ emplacement inconnu","OK"))</f>
        <v/>
      </c>
      <c r="K291" s="22" t="str">
        <f aca="false">IF(AND(B291&lt;&gt;"",ISNUMBER(SEARCH(Recherche!$C$3,C291&amp;" "&amp;B291&amp;" "&amp;A291&amp;" "&amp;D291))),MAX($K$1:K290)+1,"")</f>
        <v/>
      </c>
    </row>
    <row r="292" customFormat="false" ht="15" hidden="false" customHeight="false" outlineLevel="0" collapsed="false">
      <c r="A292" s="12"/>
      <c r="B292" s="12"/>
      <c r="C292" s="17" t="str">
        <f aca="false">IF(B292="","",IFERROR(INDEX(Produits!$F$2:$F$1001,MATCH(B292,Produits!$A$2:$A$1001,0)),"⚠ code article inconnu"))</f>
        <v/>
      </c>
      <c r="D292" s="12"/>
      <c r="E292" s="23"/>
      <c r="F292" s="24"/>
      <c r="G292" s="23"/>
      <c r="H292" s="21" t="str">
        <f aca="true">IF(E292="","",ROUND((E292-TODAY())/30.4,1))</f>
        <v/>
      </c>
      <c r="I292" s="17" t="str">
        <f aca="false">IF(E292="","",IF(H292&lt;0,IF(LEFT(A292,1)="Q","Périmé (en quarantaine)","PÉRIMÉ → déplacer en zone Q"),IF(H292&lt;3,"Péremption &lt; 3 mois",IF(H292&lt;6,"Péremption &lt; 6 mois",""))))</f>
        <v/>
      </c>
      <c r="J292" s="17" t="str">
        <f aca="false">IF(A292="","",IF(COUNTIF(Emplacements!$A$2:$A$1001,A292)=0,"⚠ emplacement inconnu","OK"))</f>
        <v/>
      </c>
      <c r="K292" s="22" t="str">
        <f aca="false">IF(AND(B292&lt;&gt;"",ISNUMBER(SEARCH(Recherche!$C$3,C292&amp;" "&amp;B292&amp;" "&amp;A292&amp;" "&amp;D292))),MAX($K$1:K291)+1,"")</f>
        <v/>
      </c>
    </row>
    <row r="293" customFormat="false" ht="15" hidden="false" customHeight="false" outlineLevel="0" collapsed="false">
      <c r="A293" s="12"/>
      <c r="B293" s="12"/>
      <c r="C293" s="17" t="str">
        <f aca="false">IF(B293="","",IFERROR(INDEX(Produits!$F$2:$F$1001,MATCH(B293,Produits!$A$2:$A$1001,0)),"⚠ code article inconnu"))</f>
        <v/>
      </c>
      <c r="D293" s="12"/>
      <c r="E293" s="23"/>
      <c r="F293" s="24"/>
      <c r="G293" s="23"/>
      <c r="H293" s="21" t="str">
        <f aca="true">IF(E293="","",ROUND((E293-TODAY())/30.4,1))</f>
        <v/>
      </c>
      <c r="I293" s="17" t="str">
        <f aca="false">IF(E293="","",IF(H293&lt;0,IF(LEFT(A293,1)="Q","Périmé (en quarantaine)","PÉRIMÉ → déplacer en zone Q"),IF(H293&lt;3,"Péremption &lt; 3 mois",IF(H293&lt;6,"Péremption &lt; 6 mois",""))))</f>
        <v/>
      </c>
      <c r="J293" s="17" t="str">
        <f aca="false">IF(A293="","",IF(COUNTIF(Emplacements!$A$2:$A$1001,A293)=0,"⚠ emplacement inconnu","OK"))</f>
        <v/>
      </c>
      <c r="K293" s="22" t="str">
        <f aca="false">IF(AND(B293&lt;&gt;"",ISNUMBER(SEARCH(Recherche!$C$3,C293&amp;" "&amp;B293&amp;" "&amp;A293&amp;" "&amp;D293))),MAX($K$1:K292)+1,"")</f>
        <v/>
      </c>
    </row>
    <row r="294" customFormat="false" ht="15" hidden="false" customHeight="false" outlineLevel="0" collapsed="false">
      <c r="A294" s="12"/>
      <c r="B294" s="12"/>
      <c r="C294" s="17" t="str">
        <f aca="false">IF(B294="","",IFERROR(INDEX(Produits!$F$2:$F$1001,MATCH(B294,Produits!$A$2:$A$1001,0)),"⚠ code article inconnu"))</f>
        <v/>
      </c>
      <c r="D294" s="12"/>
      <c r="E294" s="23"/>
      <c r="F294" s="24"/>
      <c r="G294" s="23"/>
      <c r="H294" s="21" t="str">
        <f aca="true">IF(E294="","",ROUND((E294-TODAY())/30.4,1))</f>
        <v/>
      </c>
      <c r="I294" s="17" t="str">
        <f aca="false">IF(E294="","",IF(H294&lt;0,IF(LEFT(A294,1)="Q","Périmé (en quarantaine)","PÉRIMÉ → déplacer en zone Q"),IF(H294&lt;3,"Péremption &lt; 3 mois",IF(H294&lt;6,"Péremption &lt; 6 mois",""))))</f>
        <v/>
      </c>
      <c r="J294" s="17" t="str">
        <f aca="false">IF(A294="","",IF(COUNTIF(Emplacements!$A$2:$A$1001,A294)=0,"⚠ emplacement inconnu","OK"))</f>
        <v/>
      </c>
      <c r="K294" s="22" t="str">
        <f aca="false">IF(AND(B294&lt;&gt;"",ISNUMBER(SEARCH(Recherche!$C$3,C294&amp;" "&amp;B294&amp;" "&amp;A294&amp;" "&amp;D294))),MAX($K$1:K293)+1,"")</f>
        <v/>
      </c>
    </row>
    <row r="295" customFormat="false" ht="15" hidden="false" customHeight="false" outlineLevel="0" collapsed="false">
      <c r="A295" s="12"/>
      <c r="B295" s="12"/>
      <c r="C295" s="17" t="str">
        <f aca="false">IF(B295="","",IFERROR(INDEX(Produits!$F$2:$F$1001,MATCH(B295,Produits!$A$2:$A$1001,0)),"⚠ code article inconnu"))</f>
        <v/>
      </c>
      <c r="D295" s="12"/>
      <c r="E295" s="23"/>
      <c r="F295" s="24"/>
      <c r="G295" s="23"/>
      <c r="H295" s="21" t="str">
        <f aca="true">IF(E295="","",ROUND((E295-TODAY())/30.4,1))</f>
        <v/>
      </c>
      <c r="I295" s="17" t="str">
        <f aca="false">IF(E295="","",IF(H295&lt;0,IF(LEFT(A295,1)="Q","Périmé (en quarantaine)","PÉRIMÉ → déplacer en zone Q"),IF(H295&lt;3,"Péremption &lt; 3 mois",IF(H295&lt;6,"Péremption &lt; 6 mois",""))))</f>
        <v/>
      </c>
      <c r="J295" s="17" t="str">
        <f aca="false">IF(A295="","",IF(COUNTIF(Emplacements!$A$2:$A$1001,A295)=0,"⚠ emplacement inconnu","OK"))</f>
        <v/>
      </c>
      <c r="K295" s="22" t="str">
        <f aca="false">IF(AND(B295&lt;&gt;"",ISNUMBER(SEARCH(Recherche!$C$3,C295&amp;" "&amp;B295&amp;" "&amp;A295&amp;" "&amp;D295))),MAX($K$1:K294)+1,"")</f>
        <v/>
      </c>
    </row>
    <row r="296" customFormat="false" ht="15" hidden="false" customHeight="false" outlineLevel="0" collapsed="false">
      <c r="A296" s="12"/>
      <c r="B296" s="12"/>
      <c r="C296" s="17" t="str">
        <f aca="false">IF(B296="","",IFERROR(INDEX(Produits!$F$2:$F$1001,MATCH(B296,Produits!$A$2:$A$1001,0)),"⚠ code article inconnu"))</f>
        <v/>
      </c>
      <c r="D296" s="12"/>
      <c r="E296" s="23"/>
      <c r="F296" s="24"/>
      <c r="G296" s="23"/>
      <c r="H296" s="21" t="str">
        <f aca="true">IF(E296="","",ROUND((E296-TODAY())/30.4,1))</f>
        <v/>
      </c>
      <c r="I296" s="17" t="str">
        <f aca="false">IF(E296="","",IF(H296&lt;0,IF(LEFT(A296,1)="Q","Périmé (en quarantaine)","PÉRIMÉ → déplacer en zone Q"),IF(H296&lt;3,"Péremption &lt; 3 mois",IF(H296&lt;6,"Péremption &lt; 6 mois",""))))</f>
        <v/>
      </c>
      <c r="J296" s="17" t="str">
        <f aca="false">IF(A296="","",IF(COUNTIF(Emplacements!$A$2:$A$1001,A296)=0,"⚠ emplacement inconnu","OK"))</f>
        <v/>
      </c>
      <c r="K296" s="22" t="str">
        <f aca="false">IF(AND(B296&lt;&gt;"",ISNUMBER(SEARCH(Recherche!$C$3,C296&amp;" "&amp;B296&amp;" "&amp;A296&amp;" "&amp;D296))),MAX($K$1:K295)+1,"")</f>
        <v/>
      </c>
    </row>
    <row r="297" customFormat="false" ht="15" hidden="false" customHeight="false" outlineLevel="0" collapsed="false">
      <c r="A297" s="12"/>
      <c r="B297" s="12"/>
      <c r="C297" s="17" t="str">
        <f aca="false">IF(B297="","",IFERROR(INDEX(Produits!$F$2:$F$1001,MATCH(B297,Produits!$A$2:$A$1001,0)),"⚠ code article inconnu"))</f>
        <v/>
      </c>
      <c r="D297" s="12"/>
      <c r="E297" s="23"/>
      <c r="F297" s="24"/>
      <c r="G297" s="23"/>
      <c r="H297" s="21" t="str">
        <f aca="true">IF(E297="","",ROUND((E297-TODAY())/30.4,1))</f>
        <v/>
      </c>
      <c r="I297" s="17" t="str">
        <f aca="false">IF(E297="","",IF(H297&lt;0,IF(LEFT(A297,1)="Q","Périmé (en quarantaine)","PÉRIMÉ → déplacer en zone Q"),IF(H297&lt;3,"Péremption &lt; 3 mois",IF(H297&lt;6,"Péremption &lt; 6 mois",""))))</f>
        <v/>
      </c>
      <c r="J297" s="17" t="str">
        <f aca="false">IF(A297="","",IF(COUNTIF(Emplacements!$A$2:$A$1001,A297)=0,"⚠ emplacement inconnu","OK"))</f>
        <v/>
      </c>
      <c r="K297" s="22" t="str">
        <f aca="false">IF(AND(B297&lt;&gt;"",ISNUMBER(SEARCH(Recherche!$C$3,C297&amp;" "&amp;B297&amp;" "&amp;A297&amp;" "&amp;D297))),MAX($K$1:K296)+1,"")</f>
        <v/>
      </c>
    </row>
    <row r="298" customFormat="false" ht="15" hidden="false" customHeight="false" outlineLevel="0" collapsed="false">
      <c r="A298" s="12"/>
      <c r="B298" s="12"/>
      <c r="C298" s="17" t="str">
        <f aca="false">IF(B298="","",IFERROR(INDEX(Produits!$F$2:$F$1001,MATCH(B298,Produits!$A$2:$A$1001,0)),"⚠ code article inconnu"))</f>
        <v/>
      </c>
      <c r="D298" s="12"/>
      <c r="E298" s="23"/>
      <c r="F298" s="24"/>
      <c r="G298" s="23"/>
      <c r="H298" s="21" t="str">
        <f aca="true">IF(E298="","",ROUND((E298-TODAY())/30.4,1))</f>
        <v/>
      </c>
      <c r="I298" s="17" t="str">
        <f aca="false">IF(E298="","",IF(H298&lt;0,IF(LEFT(A298,1)="Q","Périmé (en quarantaine)","PÉRIMÉ → déplacer en zone Q"),IF(H298&lt;3,"Péremption &lt; 3 mois",IF(H298&lt;6,"Péremption &lt; 6 mois",""))))</f>
        <v/>
      </c>
      <c r="J298" s="17" t="str">
        <f aca="false">IF(A298="","",IF(COUNTIF(Emplacements!$A$2:$A$1001,A298)=0,"⚠ emplacement inconnu","OK"))</f>
        <v/>
      </c>
      <c r="K298" s="22" t="str">
        <f aca="false">IF(AND(B298&lt;&gt;"",ISNUMBER(SEARCH(Recherche!$C$3,C298&amp;" "&amp;B298&amp;" "&amp;A298&amp;" "&amp;D298))),MAX($K$1:K297)+1,"")</f>
        <v/>
      </c>
    </row>
    <row r="299" customFormat="false" ht="15" hidden="false" customHeight="false" outlineLevel="0" collapsed="false">
      <c r="A299" s="12"/>
      <c r="B299" s="12"/>
      <c r="C299" s="17" t="str">
        <f aca="false">IF(B299="","",IFERROR(INDEX(Produits!$F$2:$F$1001,MATCH(B299,Produits!$A$2:$A$1001,0)),"⚠ code article inconnu"))</f>
        <v/>
      </c>
      <c r="D299" s="12"/>
      <c r="E299" s="23"/>
      <c r="F299" s="24"/>
      <c r="G299" s="23"/>
      <c r="H299" s="21" t="str">
        <f aca="true">IF(E299="","",ROUND((E299-TODAY())/30.4,1))</f>
        <v/>
      </c>
      <c r="I299" s="17" t="str">
        <f aca="false">IF(E299="","",IF(H299&lt;0,IF(LEFT(A299,1)="Q","Périmé (en quarantaine)","PÉRIMÉ → déplacer en zone Q"),IF(H299&lt;3,"Péremption &lt; 3 mois",IF(H299&lt;6,"Péremption &lt; 6 mois",""))))</f>
        <v/>
      </c>
      <c r="J299" s="17" t="str">
        <f aca="false">IF(A299="","",IF(COUNTIF(Emplacements!$A$2:$A$1001,A299)=0,"⚠ emplacement inconnu","OK"))</f>
        <v/>
      </c>
      <c r="K299" s="22" t="str">
        <f aca="false">IF(AND(B299&lt;&gt;"",ISNUMBER(SEARCH(Recherche!$C$3,C299&amp;" "&amp;B299&amp;" "&amp;A299&amp;" "&amp;D299))),MAX($K$1:K298)+1,"")</f>
        <v/>
      </c>
    </row>
    <row r="300" customFormat="false" ht="15" hidden="false" customHeight="false" outlineLevel="0" collapsed="false">
      <c r="A300" s="12"/>
      <c r="B300" s="12"/>
      <c r="C300" s="17" t="str">
        <f aca="false">IF(B300="","",IFERROR(INDEX(Produits!$F$2:$F$1001,MATCH(B300,Produits!$A$2:$A$1001,0)),"⚠ code article inconnu"))</f>
        <v/>
      </c>
      <c r="D300" s="12"/>
      <c r="E300" s="23"/>
      <c r="F300" s="24"/>
      <c r="G300" s="23"/>
      <c r="H300" s="21" t="str">
        <f aca="true">IF(E300="","",ROUND((E300-TODAY())/30.4,1))</f>
        <v/>
      </c>
      <c r="I300" s="17" t="str">
        <f aca="false">IF(E300="","",IF(H300&lt;0,IF(LEFT(A300,1)="Q","Périmé (en quarantaine)","PÉRIMÉ → déplacer en zone Q"),IF(H300&lt;3,"Péremption &lt; 3 mois",IF(H300&lt;6,"Péremption &lt; 6 mois",""))))</f>
        <v/>
      </c>
      <c r="J300" s="17" t="str">
        <f aca="false">IF(A300="","",IF(COUNTIF(Emplacements!$A$2:$A$1001,A300)=0,"⚠ emplacement inconnu","OK"))</f>
        <v/>
      </c>
      <c r="K300" s="22" t="str">
        <f aca="false">IF(AND(B300&lt;&gt;"",ISNUMBER(SEARCH(Recherche!$C$3,C300&amp;" "&amp;B300&amp;" "&amp;A300&amp;" "&amp;D300))),MAX($K$1:K299)+1,"")</f>
        <v/>
      </c>
    </row>
    <row r="301" customFormat="false" ht="15" hidden="false" customHeight="false" outlineLevel="0" collapsed="false">
      <c r="A301" s="12"/>
      <c r="B301" s="12"/>
      <c r="C301" s="17" t="str">
        <f aca="false">IF(B301="","",IFERROR(INDEX(Produits!$F$2:$F$1001,MATCH(B301,Produits!$A$2:$A$1001,0)),"⚠ code article inconnu"))</f>
        <v/>
      </c>
      <c r="D301" s="12"/>
      <c r="E301" s="23"/>
      <c r="F301" s="24"/>
      <c r="G301" s="23"/>
      <c r="H301" s="21" t="str">
        <f aca="true">IF(E301="","",ROUND((E301-TODAY())/30.4,1))</f>
        <v/>
      </c>
      <c r="I301" s="17" t="str">
        <f aca="false">IF(E301="","",IF(H301&lt;0,IF(LEFT(A301,1)="Q","Périmé (en quarantaine)","PÉRIMÉ → déplacer en zone Q"),IF(H301&lt;3,"Péremption &lt; 3 mois",IF(H301&lt;6,"Péremption &lt; 6 mois",""))))</f>
        <v/>
      </c>
      <c r="J301" s="17" t="str">
        <f aca="false">IF(A301="","",IF(COUNTIF(Emplacements!$A$2:$A$1001,A301)=0,"⚠ emplacement inconnu","OK"))</f>
        <v/>
      </c>
      <c r="K301" s="22" t="str">
        <f aca="false">IF(AND(B301&lt;&gt;"",ISNUMBER(SEARCH(Recherche!$C$3,C301&amp;" "&amp;B301&amp;" "&amp;A301&amp;" "&amp;D301))),MAX($K$1:K300)+1,"")</f>
        <v/>
      </c>
    </row>
    <row r="302" customFormat="false" ht="15" hidden="false" customHeight="false" outlineLevel="0" collapsed="false">
      <c r="A302" s="12"/>
      <c r="B302" s="12"/>
      <c r="C302" s="17" t="str">
        <f aca="false">IF(B302="","",IFERROR(INDEX(Produits!$F$2:$F$1001,MATCH(B302,Produits!$A$2:$A$1001,0)),"⚠ code article inconnu"))</f>
        <v/>
      </c>
      <c r="D302" s="12"/>
      <c r="E302" s="23"/>
      <c r="F302" s="24"/>
      <c r="G302" s="23"/>
      <c r="H302" s="21" t="str">
        <f aca="true">IF(E302="","",ROUND((E302-TODAY())/30.4,1))</f>
        <v/>
      </c>
      <c r="I302" s="17" t="str">
        <f aca="false">IF(E302="","",IF(H302&lt;0,IF(LEFT(A302,1)="Q","Périmé (en quarantaine)","PÉRIMÉ → déplacer en zone Q"),IF(H302&lt;3,"Péremption &lt; 3 mois",IF(H302&lt;6,"Péremption &lt; 6 mois",""))))</f>
        <v/>
      </c>
      <c r="J302" s="17" t="str">
        <f aca="false">IF(A302="","",IF(COUNTIF(Emplacements!$A$2:$A$1001,A302)=0,"⚠ emplacement inconnu","OK"))</f>
        <v/>
      </c>
      <c r="K302" s="22" t="str">
        <f aca="false">IF(AND(B302&lt;&gt;"",ISNUMBER(SEARCH(Recherche!$C$3,C302&amp;" "&amp;B302&amp;" "&amp;A302&amp;" "&amp;D302))),MAX($K$1:K301)+1,"")</f>
        <v/>
      </c>
    </row>
    <row r="303" customFormat="false" ht="15" hidden="false" customHeight="false" outlineLevel="0" collapsed="false">
      <c r="A303" s="12"/>
      <c r="B303" s="12"/>
      <c r="C303" s="17" t="str">
        <f aca="false">IF(B303="","",IFERROR(INDEX(Produits!$F$2:$F$1001,MATCH(B303,Produits!$A$2:$A$1001,0)),"⚠ code article inconnu"))</f>
        <v/>
      </c>
      <c r="D303" s="12"/>
      <c r="E303" s="23"/>
      <c r="F303" s="24"/>
      <c r="G303" s="23"/>
      <c r="H303" s="21" t="str">
        <f aca="true">IF(E303="","",ROUND((E303-TODAY())/30.4,1))</f>
        <v/>
      </c>
      <c r="I303" s="17" t="str">
        <f aca="false">IF(E303="","",IF(H303&lt;0,IF(LEFT(A303,1)="Q","Périmé (en quarantaine)","PÉRIMÉ → déplacer en zone Q"),IF(H303&lt;3,"Péremption &lt; 3 mois",IF(H303&lt;6,"Péremption &lt; 6 mois",""))))</f>
        <v/>
      </c>
      <c r="J303" s="17" t="str">
        <f aca="false">IF(A303="","",IF(COUNTIF(Emplacements!$A$2:$A$1001,A303)=0,"⚠ emplacement inconnu","OK"))</f>
        <v/>
      </c>
      <c r="K303" s="22" t="str">
        <f aca="false">IF(AND(B303&lt;&gt;"",ISNUMBER(SEARCH(Recherche!$C$3,C303&amp;" "&amp;B303&amp;" "&amp;A303&amp;" "&amp;D303))),MAX($K$1:K302)+1,"")</f>
        <v/>
      </c>
    </row>
    <row r="304" customFormat="false" ht="15" hidden="false" customHeight="false" outlineLevel="0" collapsed="false">
      <c r="A304" s="12"/>
      <c r="B304" s="12"/>
      <c r="C304" s="17" t="str">
        <f aca="false">IF(B304="","",IFERROR(INDEX(Produits!$F$2:$F$1001,MATCH(B304,Produits!$A$2:$A$1001,0)),"⚠ code article inconnu"))</f>
        <v/>
      </c>
      <c r="D304" s="12"/>
      <c r="E304" s="23"/>
      <c r="F304" s="24"/>
      <c r="G304" s="23"/>
      <c r="H304" s="21" t="str">
        <f aca="true">IF(E304="","",ROUND((E304-TODAY())/30.4,1))</f>
        <v/>
      </c>
      <c r="I304" s="17" t="str">
        <f aca="false">IF(E304="","",IF(H304&lt;0,IF(LEFT(A304,1)="Q","Périmé (en quarantaine)","PÉRIMÉ → déplacer en zone Q"),IF(H304&lt;3,"Péremption &lt; 3 mois",IF(H304&lt;6,"Péremption &lt; 6 mois",""))))</f>
        <v/>
      </c>
      <c r="J304" s="17" t="str">
        <f aca="false">IF(A304="","",IF(COUNTIF(Emplacements!$A$2:$A$1001,A304)=0,"⚠ emplacement inconnu","OK"))</f>
        <v/>
      </c>
      <c r="K304" s="22" t="str">
        <f aca="false">IF(AND(B304&lt;&gt;"",ISNUMBER(SEARCH(Recherche!$C$3,C304&amp;" "&amp;B304&amp;" "&amp;A304&amp;" "&amp;D304))),MAX($K$1:K303)+1,"")</f>
        <v/>
      </c>
    </row>
    <row r="305" customFormat="false" ht="15" hidden="false" customHeight="false" outlineLevel="0" collapsed="false">
      <c r="A305" s="12"/>
      <c r="B305" s="12"/>
      <c r="C305" s="17" t="str">
        <f aca="false">IF(B305="","",IFERROR(INDEX(Produits!$F$2:$F$1001,MATCH(B305,Produits!$A$2:$A$1001,0)),"⚠ code article inconnu"))</f>
        <v/>
      </c>
      <c r="D305" s="12"/>
      <c r="E305" s="23"/>
      <c r="F305" s="24"/>
      <c r="G305" s="23"/>
      <c r="H305" s="21" t="str">
        <f aca="true">IF(E305="","",ROUND((E305-TODAY())/30.4,1))</f>
        <v/>
      </c>
      <c r="I305" s="17" t="str">
        <f aca="false">IF(E305="","",IF(H305&lt;0,IF(LEFT(A305,1)="Q","Périmé (en quarantaine)","PÉRIMÉ → déplacer en zone Q"),IF(H305&lt;3,"Péremption &lt; 3 mois",IF(H305&lt;6,"Péremption &lt; 6 mois",""))))</f>
        <v/>
      </c>
      <c r="J305" s="17" t="str">
        <f aca="false">IF(A305="","",IF(COUNTIF(Emplacements!$A$2:$A$1001,A305)=0,"⚠ emplacement inconnu","OK"))</f>
        <v/>
      </c>
      <c r="K305" s="22" t="str">
        <f aca="false">IF(AND(B305&lt;&gt;"",ISNUMBER(SEARCH(Recherche!$C$3,C305&amp;" "&amp;B305&amp;" "&amp;A305&amp;" "&amp;D305))),MAX($K$1:K304)+1,"")</f>
        <v/>
      </c>
    </row>
    <row r="306" customFormat="false" ht="15" hidden="false" customHeight="false" outlineLevel="0" collapsed="false">
      <c r="A306" s="12"/>
      <c r="B306" s="12"/>
      <c r="C306" s="17" t="str">
        <f aca="false">IF(B306="","",IFERROR(INDEX(Produits!$F$2:$F$1001,MATCH(B306,Produits!$A$2:$A$1001,0)),"⚠ code article inconnu"))</f>
        <v/>
      </c>
      <c r="D306" s="12"/>
      <c r="E306" s="23"/>
      <c r="F306" s="24"/>
      <c r="G306" s="23"/>
      <c r="H306" s="21" t="str">
        <f aca="true">IF(E306="","",ROUND((E306-TODAY())/30.4,1))</f>
        <v/>
      </c>
      <c r="I306" s="17" t="str">
        <f aca="false">IF(E306="","",IF(H306&lt;0,IF(LEFT(A306,1)="Q","Périmé (en quarantaine)","PÉRIMÉ → déplacer en zone Q"),IF(H306&lt;3,"Péremption &lt; 3 mois",IF(H306&lt;6,"Péremption &lt; 6 mois",""))))</f>
        <v/>
      </c>
      <c r="J306" s="17" t="str">
        <f aca="false">IF(A306="","",IF(COUNTIF(Emplacements!$A$2:$A$1001,A306)=0,"⚠ emplacement inconnu","OK"))</f>
        <v/>
      </c>
      <c r="K306" s="22" t="str">
        <f aca="false">IF(AND(B306&lt;&gt;"",ISNUMBER(SEARCH(Recherche!$C$3,C306&amp;" "&amp;B306&amp;" "&amp;A306&amp;" "&amp;D306))),MAX($K$1:K305)+1,"")</f>
        <v/>
      </c>
    </row>
    <row r="307" customFormat="false" ht="15" hidden="false" customHeight="false" outlineLevel="0" collapsed="false">
      <c r="A307" s="12"/>
      <c r="B307" s="12"/>
      <c r="C307" s="17" t="str">
        <f aca="false">IF(B307="","",IFERROR(INDEX(Produits!$F$2:$F$1001,MATCH(B307,Produits!$A$2:$A$1001,0)),"⚠ code article inconnu"))</f>
        <v/>
      </c>
      <c r="D307" s="12"/>
      <c r="E307" s="23"/>
      <c r="F307" s="24"/>
      <c r="G307" s="23"/>
      <c r="H307" s="21" t="str">
        <f aca="true">IF(E307="","",ROUND((E307-TODAY())/30.4,1))</f>
        <v/>
      </c>
      <c r="I307" s="17" t="str">
        <f aca="false">IF(E307="","",IF(H307&lt;0,IF(LEFT(A307,1)="Q","Périmé (en quarantaine)","PÉRIMÉ → déplacer en zone Q"),IF(H307&lt;3,"Péremption &lt; 3 mois",IF(H307&lt;6,"Péremption &lt; 6 mois",""))))</f>
        <v/>
      </c>
      <c r="J307" s="17" t="str">
        <f aca="false">IF(A307="","",IF(COUNTIF(Emplacements!$A$2:$A$1001,A307)=0,"⚠ emplacement inconnu","OK"))</f>
        <v/>
      </c>
      <c r="K307" s="22" t="str">
        <f aca="false">IF(AND(B307&lt;&gt;"",ISNUMBER(SEARCH(Recherche!$C$3,C307&amp;" "&amp;B307&amp;" "&amp;A307&amp;" "&amp;D307))),MAX($K$1:K306)+1,"")</f>
        <v/>
      </c>
    </row>
    <row r="308" customFormat="false" ht="15" hidden="false" customHeight="false" outlineLevel="0" collapsed="false">
      <c r="A308" s="12"/>
      <c r="B308" s="12"/>
      <c r="C308" s="17" t="str">
        <f aca="false">IF(B308="","",IFERROR(INDEX(Produits!$F$2:$F$1001,MATCH(B308,Produits!$A$2:$A$1001,0)),"⚠ code article inconnu"))</f>
        <v/>
      </c>
      <c r="D308" s="12"/>
      <c r="E308" s="23"/>
      <c r="F308" s="24"/>
      <c r="G308" s="23"/>
      <c r="H308" s="21" t="str">
        <f aca="true">IF(E308="","",ROUND((E308-TODAY())/30.4,1))</f>
        <v/>
      </c>
      <c r="I308" s="17" t="str">
        <f aca="false">IF(E308="","",IF(H308&lt;0,IF(LEFT(A308,1)="Q","Périmé (en quarantaine)","PÉRIMÉ → déplacer en zone Q"),IF(H308&lt;3,"Péremption &lt; 3 mois",IF(H308&lt;6,"Péremption &lt; 6 mois",""))))</f>
        <v/>
      </c>
      <c r="J308" s="17" t="str">
        <f aca="false">IF(A308="","",IF(COUNTIF(Emplacements!$A$2:$A$1001,A308)=0,"⚠ emplacement inconnu","OK"))</f>
        <v/>
      </c>
      <c r="K308" s="22" t="str">
        <f aca="false">IF(AND(B308&lt;&gt;"",ISNUMBER(SEARCH(Recherche!$C$3,C308&amp;" "&amp;B308&amp;" "&amp;A308&amp;" "&amp;D308))),MAX($K$1:K307)+1,"")</f>
        <v/>
      </c>
    </row>
    <row r="309" customFormat="false" ht="15" hidden="false" customHeight="false" outlineLevel="0" collapsed="false">
      <c r="A309" s="12"/>
      <c r="B309" s="12"/>
      <c r="C309" s="17" t="str">
        <f aca="false">IF(B309="","",IFERROR(INDEX(Produits!$F$2:$F$1001,MATCH(B309,Produits!$A$2:$A$1001,0)),"⚠ code article inconnu"))</f>
        <v/>
      </c>
      <c r="D309" s="12"/>
      <c r="E309" s="23"/>
      <c r="F309" s="24"/>
      <c r="G309" s="23"/>
      <c r="H309" s="21" t="str">
        <f aca="true">IF(E309="","",ROUND((E309-TODAY())/30.4,1))</f>
        <v/>
      </c>
      <c r="I309" s="17" t="str">
        <f aca="false">IF(E309="","",IF(H309&lt;0,IF(LEFT(A309,1)="Q","Périmé (en quarantaine)","PÉRIMÉ → déplacer en zone Q"),IF(H309&lt;3,"Péremption &lt; 3 mois",IF(H309&lt;6,"Péremption &lt; 6 mois",""))))</f>
        <v/>
      </c>
      <c r="J309" s="17" t="str">
        <f aca="false">IF(A309="","",IF(COUNTIF(Emplacements!$A$2:$A$1001,A309)=0,"⚠ emplacement inconnu","OK"))</f>
        <v/>
      </c>
      <c r="K309" s="22" t="str">
        <f aca="false">IF(AND(B309&lt;&gt;"",ISNUMBER(SEARCH(Recherche!$C$3,C309&amp;" "&amp;B309&amp;" "&amp;A309&amp;" "&amp;D309))),MAX($K$1:K308)+1,"")</f>
        <v/>
      </c>
    </row>
    <row r="310" customFormat="false" ht="15" hidden="false" customHeight="false" outlineLevel="0" collapsed="false">
      <c r="A310" s="12"/>
      <c r="B310" s="12"/>
      <c r="C310" s="17" t="str">
        <f aca="false">IF(B310="","",IFERROR(INDEX(Produits!$F$2:$F$1001,MATCH(B310,Produits!$A$2:$A$1001,0)),"⚠ code article inconnu"))</f>
        <v/>
      </c>
      <c r="D310" s="12"/>
      <c r="E310" s="23"/>
      <c r="F310" s="24"/>
      <c r="G310" s="23"/>
      <c r="H310" s="21" t="str">
        <f aca="true">IF(E310="","",ROUND((E310-TODAY())/30.4,1))</f>
        <v/>
      </c>
      <c r="I310" s="17" t="str">
        <f aca="false">IF(E310="","",IF(H310&lt;0,IF(LEFT(A310,1)="Q","Périmé (en quarantaine)","PÉRIMÉ → déplacer en zone Q"),IF(H310&lt;3,"Péremption &lt; 3 mois",IF(H310&lt;6,"Péremption &lt; 6 mois",""))))</f>
        <v/>
      </c>
      <c r="J310" s="17" t="str">
        <f aca="false">IF(A310="","",IF(COUNTIF(Emplacements!$A$2:$A$1001,A310)=0,"⚠ emplacement inconnu","OK"))</f>
        <v/>
      </c>
      <c r="K310" s="22" t="str">
        <f aca="false">IF(AND(B310&lt;&gt;"",ISNUMBER(SEARCH(Recherche!$C$3,C310&amp;" "&amp;B310&amp;" "&amp;A310&amp;" "&amp;D310))),MAX($K$1:K309)+1,"")</f>
        <v/>
      </c>
    </row>
    <row r="311" customFormat="false" ht="15" hidden="false" customHeight="false" outlineLevel="0" collapsed="false">
      <c r="A311" s="12"/>
      <c r="B311" s="12"/>
      <c r="C311" s="17" t="str">
        <f aca="false">IF(B311="","",IFERROR(INDEX(Produits!$F$2:$F$1001,MATCH(B311,Produits!$A$2:$A$1001,0)),"⚠ code article inconnu"))</f>
        <v/>
      </c>
      <c r="D311" s="12"/>
      <c r="E311" s="23"/>
      <c r="F311" s="24"/>
      <c r="G311" s="23"/>
      <c r="H311" s="21" t="str">
        <f aca="true">IF(E311="","",ROUND((E311-TODAY())/30.4,1))</f>
        <v/>
      </c>
      <c r="I311" s="17" t="str">
        <f aca="false">IF(E311="","",IF(H311&lt;0,IF(LEFT(A311,1)="Q","Périmé (en quarantaine)","PÉRIMÉ → déplacer en zone Q"),IF(H311&lt;3,"Péremption &lt; 3 mois",IF(H311&lt;6,"Péremption &lt; 6 mois",""))))</f>
        <v/>
      </c>
      <c r="J311" s="17" t="str">
        <f aca="false">IF(A311="","",IF(COUNTIF(Emplacements!$A$2:$A$1001,A311)=0,"⚠ emplacement inconnu","OK"))</f>
        <v/>
      </c>
      <c r="K311" s="22" t="str">
        <f aca="false">IF(AND(B311&lt;&gt;"",ISNUMBER(SEARCH(Recherche!$C$3,C311&amp;" "&amp;B311&amp;" "&amp;A311&amp;" "&amp;D311))),MAX($K$1:K310)+1,"")</f>
        <v/>
      </c>
    </row>
    <row r="312" customFormat="false" ht="15" hidden="false" customHeight="false" outlineLevel="0" collapsed="false">
      <c r="A312" s="12"/>
      <c r="B312" s="12"/>
      <c r="C312" s="17" t="str">
        <f aca="false">IF(B312="","",IFERROR(INDEX(Produits!$F$2:$F$1001,MATCH(B312,Produits!$A$2:$A$1001,0)),"⚠ code article inconnu"))</f>
        <v/>
      </c>
      <c r="D312" s="12"/>
      <c r="E312" s="23"/>
      <c r="F312" s="24"/>
      <c r="G312" s="23"/>
      <c r="H312" s="21" t="str">
        <f aca="true">IF(E312="","",ROUND((E312-TODAY())/30.4,1))</f>
        <v/>
      </c>
      <c r="I312" s="17" t="str">
        <f aca="false">IF(E312="","",IF(H312&lt;0,IF(LEFT(A312,1)="Q","Périmé (en quarantaine)","PÉRIMÉ → déplacer en zone Q"),IF(H312&lt;3,"Péremption &lt; 3 mois",IF(H312&lt;6,"Péremption &lt; 6 mois",""))))</f>
        <v/>
      </c>
      <c r="J312" s="17" t="str">
        <f aca="false">IF(A312="","",IF(COUNTIF(Emplacements!$A$2:$A$1001,A312)=0,"⚠ emplacement inconnu","OK"))</f>
        <v/>
      </c>
      <c r="K312" s="22" t="str">
        <f aca="false">IF(AND(B312&lt;&gt;"",ISNUMBER(SEARCH(Recherche!$C$3,C312&amp;" "&amp;B312&amp;" "&amp;A312&amp;" "&amp;D312))),MAX($K$1:K311)+1,"")</f>
        <v/>
      </c>
    </row>
    <row r="313" customFormat="false" ht="15" hidden="false" customHeight="false" outlineLevel="0" collapsed="false">
      <c r="A313" s="12"/>
      <c r="B313" s="12"/>
      <c r="C313" s="17" t="str">
        <f aca="false">IF(B313="","",IFERROR(INDEX(Produits!$F$2:$F$1001,MATCH(B313,Produits!$A$2:$A$1001,0)),"⚠ code article inconnu"))</f>
        <v/>
      </c>
      <c r="D313" s="12"/>
      <c r="E313" s="23"/>
      <c r="F313" s="24"/>
      <c r="G313" s="23"/>
      <c r="H313" s="21" t="str">
        <f aca="true">IF(E313="","",ROUND((E313-TODAY())/30.4,1))</f>
        <v/>
      </c>
      <c r="I313" s="17" t="str">
        <f aca="false">IF(E313="","",IF(H313&lt;0,IF(LEFT(A313,1)="Q","Périmé (en quarantaine)","PÉRIMÉ → déplacer en zone Q"),IF(H313&lt;3,"Péremption &lt; 3 mois",IF(H313&lt;6,"Péremption &lt; 6 mois",""))))</f>
        <v/>
      </c>
      <c r="J313" s="17" t="str">
        <f aca="false">IF(A313="","",IF(COUNTIF(Emplacements!$A$2:$A$1001,A313)=0,"⚠ emplacement inconnu","OK"))</f>
        <v/>
      </c>
      <c r="K313" s="22" t="str">
        <f aca="false">IF(AND(B313&lt;&gt;"",ISNUMBER(SEARCH(Recherche!$C$3,C313&amp;" "&amp;B313&amp;" "&amp;A313&amp;" "&amp;D313))),MAX($K$1:K312)+1,"")</f>
        <v/>
      </c>
    </row>
    <row r="314" customFormat="false" ht="15" hidden="false" customHeight="false" outlineLevel="0" collapsed="false">
      <c r="A314" s="12"/>
      <c r="B314" s="12"/>
      <c r="C314" s="17" t="str">
        <f aca="false">IF(B314="","",IFERROR(INDEX(Produits!$F$2:$F$1001,MATCH(B314,Produits!$A$2:$A$1001,0)),"⚠ code article inconnu"))</f>
        <v/>
      </c>
      <c r="D314" s="12"/>
      <c r="E314" s="23"/>
      <c r="F314" s="24"/>
      <c r="G314" s="23"/>
      <c r="H314" s="21" t="str">
        <f aca="true">IF(E314="","",ROUND((E314-TODAY())/30.4,1))</f>
        <v/>
      </c>
      <c r="I314" s="17" t="str">
        <f aca="false">IF(E314="","",IF(H314&lt;0,IF(LEFT(A314,1)="Q","Périmé (en quarantaine)","PÉRIMÉ → déplacer en zone Q"),IF(H314&lt;3,"Péremption &lt; 3 mois",IF(H314&lt;6,"Péremption &lt; 6 mois",""))))</f>
        <v/>
      </c>
      <c r="J314" s="17" t="str">
        <f aca="false">IF(A314="","",IF(COUNTIF(Emplacements!$A$2:$A$1001,A314)=0,"⚠ emplacement inconnu","OK"))</f>
        <v/>
      </c>
      <c r="K314" s="22" t="str">
        <f aca="false">IF(AND(B314&lt;&gt;"",ISNUMBER(SEARCH(Recherche!$C$3,C314&amp;" "&amp;B314&amp;" "&amp;A314&amp;" "&amp;D314))),MAX($K$1:K313)+1,"")</f>
        <v/>
      </c>
    </row>
    <row r="315" customFormat="false" ht="15" hidden="false" customHeight="false" outlineLevel="0" collapsed="false">
      <c r="A315" s="12"/>
      <c r="B315" s="12"/>
      <c r="C315" s="17" t="str">
        <f aca="false">IF(B315="","",IFERROR(INDEX(Produits!$F$2:$F$1001,MATCH(B315,Produits!$A$2:$A$1001,0)),"⚠ code article inconnu"))</f>
        <v/>
      </c>
      <c r="D315" s="12"/>
      <c r="E315" s="23"/>
      <c r="F315" s="24"/>
      <c r="G315" s="23"/>
      <c r="H315" s="21" t="str">
        <f aca="true">IF(E315="","",ROUND((E315-TODAY())/30.4,1))</f>
        <v/>
      </c>
      <c r="I315" s="17" t="str">
        <f aca="false">IF(E315="","",IF(H315&lt;0,IF(LEFT(A315,1)="Q","Périmé (en quarantaine)","PÉRIMÉ → déplacer en zone Q"),IF(H315&lt;3,"Péremption &lt; 3 mois",IF(H315&lt;6,"Péremption &lt; 6 mois",""))))</f>
        <v/>
      </c>
      <c r="J315" s="17" t="str">
        <f aca="false">IF(A315="","",IF(COUNTIF(Emplacements!$A$2:$A$1001,A315)=0,"⚠ emplacement inconnu","OK"))</f>
        <v/>
      </c>
      <c r="K315" s="22" t="str">
        <f aca="false">IF(AND(B315&lt;&gt;"",ISNUMBER(SEARCH(Recherche!$C$3,C315&amp;" "&amp;B315&amp;" "&amp;A315&amp;" "&amp;D315))),MAX($K$1:K314)+1,"")</f>
        <v/>
      </c>
    </row>
    <row r="316" customFormat="false" ht="15" hidden="false" customHeight="false" outlineLevel="0" collapsed="false">
      <c r="A316" s="12"/>
      <c r="B316" s="12"/>
      <c r="C316" s="17" t="str">
        <f aca="false">IF(B316="","",IFERROR(INDEX(Produits!$F$2:$F$1001,MATCH(B316,Produits!$A$2:$A$1001,0)),"⚠ code article inconnu"))</f>
        <v/>
      </c>
      <c r="D316" s="12"/>
      <c r="E316" s="23"/>
      <c r="F316" s="24"/>
      <c r="G316" s="23"/>
      <c r="H316" s="21" t="str">
        <f aca="true">IF(E316="","",ROUND((E316-TODAY())/30.4,1))</f>
        <v/>
      </c>
      <c r="I316" s="17" t="str">
        <f aca="false">IF(E316="","",IF(H316&lt;0,IF(LEFT(A316,1)="Q","Périmé (en quarantaine)","PÉRIMÉ → déplacer en zone Q"),IF(H316&lt;3,"Péremption &lt; 3 mois",IF(H316&lt;6,"Péremption &lt; 6 mois",""))))</f>
        <v/>
      </c>
      <c r="J316" s="17" t="str">
        <f aca="false">IF(A316="","",IF(COUNTIF(Emplacements!$A$2:$A$1001,A316)=0,"⚠ emplacement inconnu","OK"))</f>
        <v/>
      </c>
      <c r="K316" s="22" t="str">
        <f aca="false">IF(AND(B316&lt;&gt;"",ISNUMBER(SEARCH(Recherche!$C$3,C316&amp;" "&amp;B316&amp;" "&amp;A316&amp;" "&amp;D316))),MAX($K$1:K315)+1,"")</f>
        <v/>
      </c>
    </row>
    <row r="317" customFormat="false" ht="15" hidden="false" customHeight="false" outlineLevel="0" collapsed="false">
      <c r="A317" s="12"/>
      <c r="B317" s="12"/>
      <c r="C317" s="17" t="str">
        <f aca="false">IF(B317="","",IFERROR(INDEX(Produits!$F$2:$F$1001,MATCH(B317,Produits!$A$2:$A$1001,0)),"⚠ code article inconnu"))</f>
        <v/>
      </c>
      <c r="D317" s="12"/>
      <c r="E317" s="23"/>
      <c r="F317" s="24"/>
      <c r="G317" s="23"/>
      <c r="H317" s="21" t="str">
        <f aca="true">IF(E317="","",ROUND((E317-TODAY())/30.4,1))</f>
        <v/>
      </c>
      <c r="I317" s="17" t="str">
        <f aca="false">IF(E317="","",IF(H317&lt;0,IF(LEFT(A317,1)="Q","Périmé (en quarantaine)","PÉRIMÉ → déplacer en zone Q"),IF(H317&lt;3,"Péremption &lt; 3 mois",IF(H317&lt;6,"Péremption &lt; 6 mois",""))))</f>
        <v/>
      </c>
      <c r="J317" s="17" t="str">
        <f aca="false">IF(A317="","",IF(COUNTIF(Emplacements!$A$2:$A$1001,A317)=0,"⚠ emplacement inconnu","OK"))</f>
        <v/>
      </c>
      <c r="K317" s="22" t="str">
        <f aca="false">IF(AND(B317&lt;&gt;"",ISNUMBER(SEARCH(Recherche!$C$3,C317&amp;" "&amp;B317&amp;" "&amp;A317&amp;" "&amp;D317))),MAX($K$1:K316)+1,"")</f>
        <v/>
      </c>
    </row>
    <row r="318" customFormat="false" ht="15" hidden="false" customHeight="false" outlineLevel="0" collapsed="false">
      <c r="A318" s="12"/>
      <c r="B318" s="12"/>
      <c r="C318" s="17" t="str">
        <f aca="false">IF(B318="","",IFERROR(INDEX(Produits!$F$2:$F$1001,MATCH(B318,Produits!$A$2:$A$1001,0)),"⚠ code article inconnu"))</f>
        <v/>
      </c>
      <c r="D318" s="12"/>
      <c r="E318" s="23"/>
      <c r="F318" s="24"/>
      <c r="G318" s="23"/>
      <c r="H318" s="21" t="str">
        <f aca="true">IF(E318="","",ROUND((E318-TODAY())/30.4,1))</f>
        <v/>
      </c>
      <c r="I318" s="17" t="str">
        <f aca="false">IF(E318="","",IF(H318&lt;0,IF(LEFT(A318,1)="Q","Périmé (en quarantaine)","PÉRIMÉ → déplacer en zone Q"),IF(H318&lt;3,"Péremption &lt; 3 mois",IF(H318&lt;6,"Péremption &lt; 6 mois",""))))</f>
        <v/>
      </c>
      <c r="J318" s="17" t="str">
        <f aca="false">IF(A318="","",IF(COUNTIF(Emplacements!$A$2:$A$1001,A318)=0,"⚠ emplacement inconnu","OK"))</f>
        <v/>
      </c>
      <c r="K318" s="22" t="str">
        <f aca="false">IF(AND(B318&lt;&gt;"",ISNUMBER(SEARCH(Recherche!$C$3,C318&amp;" "&amp;B318&amp;" "&amp;A318&amp;" "&amp;D318))),MAX($K$1:K317)+1,"")</f>
        <v/>
      </c>
    </row>
    <row r="319" customFormat="false" ht="15" hidden="false" customHeight="false" outlineLevel="0" collapsed="false">
      <c r="A319" s="12"/>
      <c r="B319" s="12"/>
      <c r="C319" s="17" t="str">
        <f aca="false">IF(B319="","",IFERROR(INDEX(Produits!$F$2:$F$1001,MATCH(B319,Produits!$A$2:$A$1001,0)),"⚠ code article inconnu"))</f>
        <v/>
      </c>
      <c r="D319" s="12"/>
      <c r="E319" s="23"/>
      <c r="F319" s="24"/>
      <c r="G319" s="23"/>
      <c r="H319" s="21" t="str">
        <f aca="true">IF(E319="","",ROUND((E319-TODAY())/30.4,1))</f>
        <v/>
      </c>
      <c r="I319" s="17" t="str">
        <f aca="false">IF(E319="","",IF(H319&lt;0,IF(LEFT(A319,1)="Q","Périmé (en quarantaine)","PÉRIMÉ → déplacer en zone Q"),IF(H319&lt;3,"Péremption &lt; 3 mois",IF(H319&lt;6,"Péremption &lt; 6 mois",""))))</f>
        <v/>
      </c>
      <c r="J319" s="17" t="str">
        <f aca="false">IF(A319="","",IF(COUNTIF(Emplacements!$A$2:$A$1001,A319)=0,"⚠ emplacement inconnu","OK"))</f>
        <v/>
      </c>
      <c r="K319" s="22" t="str">
        <f aca="false">IF(AND(B319&lt;&gt;"",ISNUMBER(SEARCH(Recherche!$C$3,C319&amp;" "&amp;B319&amp;" "&amp;A319&amp;" "&amp;D319))),MAX($K$1:K318)+1,"")</f>
        <v/>
      </c>
    </row>
    <row r="320" customFormat="false" ht="15" hidden="false" customHeight="false" outlineLevel="0" collapsed="false">
      <c r="A320" s="12"/>
      <c r="B320" s="12"/>
      <c r="C320" s="17" t="str">
        <f aca="false">IF(B320="","",IFERROR(INDEX(Produits!$F$2:$F$1001,MATCH(B320,Produits!$A$2:$A$1001,0)),"⚠ code article inconnu"))</f>
        <v/>
      </c>
      <c r="D320" s="12"/>
      <c r="E320" s="23"/>
      <c r="F320" s="24"/>
      <c r="G320" s="23"/>
      <c r="H320" s="21" t="str">
        <f aca="true">IF(E320="","",ROUND((E320-TODAY())/30.4,1))</f>
        <v/>
      </c>
      <c r="I320" s="17" t="str">
        <f aca="false">IF(E320="","",IF(H320&lt;0,IF(LEFT(A320,1)="Q","Périmé (en quarantaine)","PÉRIMÉ → déplacer en zone Q"),IF(H320&lt;3,"Péremption &lt; 3 mois",IF(H320&lt;6,"Péremption &lt; 6 mois",""))))</f>
        <v/>
      </c>
      <c r="J320" s="17" t="str">
        <f aca="false">IF(A320="","",IF(COUNTIF(Emplacements!$A$2:$A$1001,A320)=0,"⚠ emplacement inconnu","OK"))</f>
        <v/>
      </c>
      <c r="K320" s="22" t="str">
        <f aca="false">IF(AND(B320&lt;&gt;"",ISNUMBER(SEARCH(Recherche!$C$3,C320&amp;" "&amp;B320&amp;" "&amp;A320&amp;" "&amp;D320))),MAX($K$1:K319)+1,"")</f>
        <v/>
      </c>
    </row>
    <row r="321" customFormat="false" ht="15" hidden="false" customHeight="false" outlineLevel="0" collapsed="false">
      <c r="A321" s="12"/>
      <c r="B321" s="12"/>
      <c r="C321" s="17" t="str">
        <f aca="false">IF(B321="","",IFERROR(INDEX(Produits!$F$2:$F$1001,MATCH(B321,Produits!$A$2:$A$1001,0)),"⚠ code article inconnu"))</f>
        <v/>
      </c>
      <c r="D321" s="12"/>
      <c r="E321" s="23"/>
      <c r="F321" s="24"/>
      <c r="G321" s="23"/>
      <c r="H321" s="21" t="str">
        <f aca="true">IF(E321="","",ROUND((E321-TODAY())/30.4,1))</f>
        <v/>
      </c>
      <c r="I321" s="17" t="str">
        <f aca="false">IF(E321="","",IF(H321&lt;0,IF(LEFT(A321,1)="Q","Périmé (en quarantaine)","PÉRIMÉ → déplacer en zone Q"),IF(H321&lt;3,"Péremption &lt; 3 mois",IF(H321&lt;6,"Péremption &lt; 6 mois",""))))</f>
        <v/>
      </c>
      <c r="J321" s="17" t="str">
        <f aca="false">IF(A321="","",IF(COUNTIF(Emplacements!$A$2:$A$1001,A321)=0,"⚠ emplacement inconnu","OK"))</f>
        <v/>
      </c>
      <c r="K321" s="22" t="str">
        <f aca="false">IF(AND(B321&lt;&gt;"",ISNUMBER(SEARCH(Recherche!$C$3,C321&amp;" "&amp;B321&amp;" "&amp;A321&amp;" "&amp;D321))),MAX($K$1:K320)+1,"")</f>
        <v/>
      </c>
    </row>
    <row r="322" customFormat="false" ht="15" hidden="false" customHeight="false" outlineLevel="0" collapsed="false">
      <c r="A322" s="12"/>
      <c r="B322" s="12"/>
      <c r="C322" s="17" t="str">
        <f aca="false">IF(B322="","",IFERROR(INDEX(Produits!$F$2:$F$1001,MATCH(B322,Produits!$A$2:$A$1001,0)),"⚠ code article inconnu"))</f>
        <v/>
      </c>
      <c r="D322" s="12"/>
      <c r="E322" s="23"/>
      <c r="F322" s="24"/>
      <c r="G322" s="23"/>
      <c r="H322" s="21" t="str">
        <f aca="true">IF(E322="","",ROUND((E322-TODAY())/30.4,1))</f>
        <v/>
      </c>
      <c r="I322" s="17" t="str">
        <f aca="false">IF(E322="","",IF(H322&lt;0,IF(LEFT(A322,1)="Q","Périmé (en quarantaine)","PÉRIMÉ → déplacer en zone Q"),IF(H322&lt;3,"Péremption &lt; 3 mois",IF(H322&lt;6,"Péremption &lt; 6 mois",""))))</f>
        <v/>
      </c>
      <c r="J322" s="17" t="str">
        <f aca="false">IF(A322="","",IF(COUNTIF(Emplacements!$A$2:$A$1001,A322)=0,"⚠ emplacement inconnu","OK"))</f>
        <v/>
      </c>
      <c r="K322" s="22" t="str">
        <f aca="false">IF(AND(B322&lt;&gt;"",ISNUMBER(SEARCH(Recherche!$C$3,C322&amp;" "&amp;B322&amp;" "&amp;A322&amp;" "&amp;D322))),MAX($K$1:K321)+1,"")</f>
        <v/>
      </c>
    </row>
    <row r="323" customFormat="false" ht="15" hidden="false" customHeight="false" outlineLevel="0" collapsed="false">
      <c r="A323" s="12"/>
      <c r="B323" s="12"/>
      <c r="C323" s="17" t="str">
        <f aca="false">IF(B323="","",IFERROR(INDEX(Produits!$F$2:$F$1001,MATCH(B323,Produits!$A$2:$A$1001,0)),"⚠ code article inconnu"))</f>
        <v/>
      </c>
      <c r="D323" s="12"/>
      <c r="E323" s="23"/>
      <c r="F323" s="24"/>
      <c r="G323" s="23"/>
      <c r="H323" s="21" t="str">
        <f aca="true">IF(E323="","",ROUND((E323-TODAY())/30.4,1))</f>
        <v/>
      </c>
      <c r="I323" s="17" t="str">
        <f aca="false">IF(E323="","",IF(H323&lt;0,IF(LEFT(A323,1)="Q","Périmé (en quarantaine)","PÉRIMÉ → déplacer en zone Q"),IF(H323&lt;3,"Péremption &lt; 3 mois",IF(H323&lt;6,"Péremption &lt; 6 mois",""))))</f>
        <v/>
      </c>
      <c r="J323" s="17" t="str">
        <f aca="false">IF(A323="","",IF(COUNTIF(Emplacements!$A$2:$A$1001,A323)=0,"⚠ emplacement inconnu","OK"))</f>
        <v/>
      </c>
      <c r="K323" s="22" t="str">
        <f aca="false">IF(AND(B323&lt;&gt;"",ISNUMBER(SEARCH(Recherche!$C$3,C323&amp;" "&amp;B323&amp;" "&amp;A323&amp;" "&amp;D323))),MAX($K$1:K322)+1,"")</f>
        <v/>
      </c>
    </row>
    <row r="324" customFormat="false" ht="15" hidden="false" customHeight="false" outlineLevel="0" collapsed="false">
      <c r="A324" s="12"/>
      <c r="B324" s="12"/>
      <c r="C324" s="17" t="str">
        <f aca="false">IF(B324="","",IFERROR(INDEX(Produits!$F$2:$F$1001,MATCH(B324,Produits!$A$2:$A$1001,0)),"⚠ code article inconnu"))</f>
        <v/>
      </c>
      <c r="D324" s="12"/>
      <c r="E324" s="23"/>
      <c r="F324" s="24"/>
      <c r="G324" s="23"/>
      <c r="H324" s="21" t="str">
        <f aca="true">IF(E324="","",ROUND((E324-TODAY())/30.4,1))</f>
        <v/>
      </c>
      <c r="I324" s="17" t="str">
        <f aca="false">IF(E324="","",IF(H324&lt;0,IF(LEFT(A324,1)="Q","Périmé (en quarantaine)","PÉRIMÉ → déplacer en zone Q"),IF(H324&lt;3,"Péremption &lt; 3 mois",IF(H324&lt;6,"Péremption &lt; 6 mois",""))))</f>
        <v/>
      </c>
      <c r="J324" s="17" t="str">
        <f aca="false">IF(A324="","",IF(COUNTIF(Emplacements!$A$2:$A$1001,A324)=0,"⚠ emplacement inconnu","OK"))</f>
        <v/>
      </c>
      <c r="K324" s="22" t="str">
        <f aca="false">IF(AND(B324&lt;&gt;"",ISNUMBER(SEARCH(Recherche!$C$3,C324&amp;" "&amp;B324&amp;" "&amp;A324&amp;" "&amp;D324))),MAX($K$1:K323)+1,"")</f>
        <v/>
      </c>
    </row>
    <row r="325" customFormat="false" ht="15" hidden="false" customHeight="false" outlineLevel="0" collapsed="false">
      <c r="A325" s="12"/>
      <c r="B325" s="12"/>
      <c r="C325" s="17" t="str">
        <f aca="false">IF(B325="","",IFERROR(INDEX(Produits!$F$2:$F$1001,MATCH(B325,Produits!$A$2:$A$1001,0)),"⚠ code article inconnu"))</f>
        <v/>
      </c>
      <c r="D325" s="12"/>
      <c r="E325" s="23"/>
      <c r="F325" s="24"/>
      <c r="G325" s="23"/>
      <c r="H325" s="21" t="str">
        <f aca="true">IF(E325="","",ROUND((E325-TODAY())/30.4,1))</f>
        <v/>
      </c>
      <c r="I325" s="17" t="str">
        <f aca="false">IF(E325="","",IF(H325&lt;0,IF(LEFT(A325,1)="Q","Périmé (en quarantaine)","PÉRIMÉ → déplacer en zone Q"),IF(H325&lt;3,"Péremption &lt; 3 mois",IF(H325&lt;6,"Péremption &lt; 6 mois",""))))</f>
        <v/>
      </c>
      <c r="J325" s="17" t="str">
        <f aca="false">IF(A325="","",IF(COUNTIF(Emplacements!$A$2:$A$1001,A325)=0,"⚠ emplacement inconnu","OK"))</f>
        <v/>
      </c>
      <c r="K325" s="22" t="str">
        <f aca="false">IF(AND(B325&lt;&gt;"",ISNUMBER(SEARCH(Recherche!$C$3,C325&amp;" "&amp;B325&amp;" "&amp;A325&amp;" "&amp;D325))),MAX($K$1:K324)+1,"")</f>
        <v/>
      </c>
    </row>
    <row r="326" customFormat="false" ht="15" hidden="false" customHeight="false" outlineLevel="0" collapsed="false">
      <c r="A326" s="12"/>
      <c r="B326" s="12"/>
      <c r="C326" s="17" t="str">
        <f aca="false">IF(B326="","",IFERROR(INDEX(Produits!$F$2:$F$1001,MATCH(B326,Produits!$A$2:$A$1001,0)),"⚠ code article inconnu"))</f>
        <v/>
      </c>
      <c r="D326" s="12"/>
      <c r="E326" s="23"/>
      <c r="F326" s="24"/>
      <c r="G326" s="23"/>
      <c r="H326" s="21" t="str">
        <f aca="true">IF(E326="","",ROUND((E326-TODAY())/30.4,1))</f>
        <v/>
      </c>
      <c r="I326" s="17" t="str">
        <f aca="false">IF(E326="","",IF(H326&lt;0,IF(LEFT(A326,1)="Q","Périmé (en quarantaine)","PÉRIMÉ → déplacer en zone Q"),IF(H326&lt;3,"Péremption &lt; 3 mois",IF(H326&lt;6,"Péremption &lt; 6 mois",""))))</f>
        <v/>
      </c>
      <c r="J326" s="17" t="str">
        <f aca="false">IF(A326="","",IF(COUNTIF(Emplacements!$A$2:$A$1001,A326)=0,"⚠ emplacement inconnu","OK"))</f>
        <v/>
      </c>
      <c r="K326" s="22" t="str">
        <f aca="false">IF(AND(B326&lt;&gt;"",ISNUMBER(SEARCH(Recherche!$C$3,C326&amp;" "&amp;B326&amp;" "&amp;A326&amp;" "&amp;D326))),MAX($K$1:K325)+1,"")</f>
        <v/>
      </c>
    </row>
    <row r="327" customFormat="false" ht="15" hidden="false" customHeight="false" outlineLevel="0" collapsed="false">
      <c r="A327" s="12"/>
      <c r="B327" s="12"/>
      <c r="C327" s="17" t="str">
        <f aca="false">IF(B327="","",IFERROR(INDEX(Produits!$F$2:$F$1001,MATCH(B327,Produits!$A$2:$A$1001,0)),"⚠ code article inconnu"))</f>
        <v/>
      </c>
      <c r="D327" s="12"/>
      <c r="E327" s="23"/>
      <c r="F327" s="24"/>
      <c r="G327" s="23"/>
      <c r="H327" s="21" t="str">
        <f aca="true">IF(E327="","",ROUND((E327-TODAY())/30.4,1))</f>
        <v/>
      </c>
      <c r="I327" s="17" t="str">
        <f aca="false">IF(E327="","",IF(H327&lt;0,IF(LEFT(A327,1)="Q","Périmé (en quarantaine)","PÉRIMÉ → déplacer en zone Q"),IF(H327&lt;3,"Péremption &lt; 3 mois",IF(H327&lt;6,"Péremption &lt; 6 mois",""))))</f>
        <v/>
      </c>
      <c r="J327" s="17" t="str">
        <f aca="false">IF(A327="","",IF(COUNTIF(Emplacements!$A$2:$A$1001,A327)=0,"⚠ emplacement inconnu","OK"))</f>
        <v/>
      </c>
      <c r="K327" s="22" t="str">
        <f aca="false">IF(AND(B327&lt;&gt;"",ISNUMBER(SEARCH(Recherche!$C$3,C327&amp;" "&amp;B327&amp;" "&amp;A327&amp;" "&amp;D327))),MAX($K$1:K326)+1,"")</f>
        <v/>
      </c>
    </row>
    <row r="328" customFormat="false" ht="15" hidden="false" customHeight="false" outlineLevel="0" collapsed="false">
      <c r="A328" s="12"/>
      <c r="B328" s="12"/>
      <c r="C328" s="17" t="str">
        <f aca="false">IF(B328="","",IFERROR(INDEX(Produits!$F$2:$F$1001,MATCH(B328,Produits!$A$2:$A$1001,0)),"⚠ code article inconnu"))</f>
        <v/>
      </c>
      <c r="D328" s="12"/>
      <c r="E328" s="23"/>
      <c r="F328" s="24"/>
      <c r="G328" s="23"/>
      <c r="H328" s="21" t="str">
        <f aca="true">IF(E328="","",ROUND((E328-TODAY())/30.4,1))</f>
        <v/>
      </c>
      <c r="I328" s="17" t="str">
        <f aca="false">IF(E328="","",IF(H328&lt;0,IF(LEFT(A328,1)="Q","Périmé (en quarantaine)","PÉRIMÉ → déplacer en zone Q"),IF(H328&lt;3,"Péremption &lt; 3 mois",IF(H328&lt;6,"Péremption &lt; 6 mois",""))))</f>
        <v/>
      </c>
      <c r="J328" s="17" t="str">
        <f aca="false">IF(A328="","",IF(COUNTIF(Emplacements!$A$2:$A$1001,A328)=0,"⚠ emplacement inconnu","OK"))</f>
        <v/>
      </c>
      <c r="K328" s="22" t="str">
        <f aca="false">IF(AND(B328&lt;&gt;"",ISNUMBER(SEARCH(Recherche!$C$3,C328&amp;" "&amp;B328&amp;" "&amp;A328&amp;" "&amp;D328))),MAX($K$1:K327)+1,"")</f>
        <v/>
      </c>
    </row>
    <row r="329" customFormat="false" ht="15" hidden="false" customHeight="false" outlineLevel="0" collapsed="false">
      <c r="A329" s="12"/>
      <c r="B329" s="12"/>
      <c r="C329" s="17" t="str">
        <f aca="false">IF(B329="","",IFERROR(INDEX(Produits!$F$2:$F$1001,MATCH(B329,Produits!$A$2:$A$1001,0)),"⚠ code article inconnu"))</f>
        <v/>
      </c>
      <c r="D329" s="12"/>
      <c r="E329" s="23"/>
      <c r="F329" s="24"/>
      <c r="G329" s="23"/>
      <c r="H329" s="21" t="str">
        <f aca="true">IF(E329="","",ROUND((E329-TODAY())/30.4,1))</f>
        <v/>
      </c>
      <c r="I329" s="17" t="str">
        <f aca="false">IF(E329="","",IF(H329&lt;0,IF(LEFT(A329,1)="Q","Périmé (en quarantaine)","PÉRIMÉ → déplacer en zone Q"),IF(H329&lt;3,"Péremption &lt; 3 mois",IF(H329&lt;6,"Péremption &lt; 6 mois",""))))</f>
        <v/>
      </c>
      <c r="J329" s="17" t="str">
        <f aca="false">IF(A329="","",IF(COUNTIF(Emplacements!$A$2:$A$1001,A329)=0,"⚠ emplacement inconnu","OK"))</f>
        <v/>
      </c>
      <c r="K329" s="22" t="str">
        <f aca="false">IF(AND(B329&lt;&gt;"",ISNUMBER(SEARCH(Recherche!$C$3,C329&amp;" "&amp;B329&amp;" "&amp;A329&amp;" "&amp;D329))),MAX($K$1:K328)+1,"")</f>
        <v/>
      </c>
    </row>
    <row r="330" customFormat="false" ht="15" hidden="false" customHeight="false" outlineLevel="0" collapsed="false">
      <c r="A330" s="12"/>
      <c r="B330" s="12"/>
      <c r="C330" s="17" t="str">
        <f aca="false">IF(B330="","",IFERROR(INDEX(Produits!$F$2:$F$1001,MATCH(B330,Produits!$A$2:$A$1001,0)),"⚠ code article inconnu"))</f>
        <v/>
      </c>
      <c r="D330" s="12"/>
      <c r="E330" s="23"/>
      <c r="F330" s="24"/>
      <c r="G330" s="23"/>
      <c r="H330" s="21" t="str">
        <f aca="true">IF(E330="","",ROUND((E330-TODAY())/30.4,1))</f>
        <v/>
      </c>
      <c r="I330" s="17" t="str">
        <f aca="false">IF(E330="","",IF(H330&lt;0,IF(LEFT(A330,1)="Q","Périmé (en quarantaine)","PÉRIMÉ → déplacer en zone Q"),IF(H330&lt;3,"Péremption &lt; 3 mois",IF(H330&lt;6,"Péremption &lt; 6 mois",""))))</f>
        <v/>
      </c>
      <c r="J330" s="17" t="str">
        <f aca="false">IF(A330="","",IF(COUNTIF(Emplacements!$A$2:$A$1001,A330)=0,"⚠ emplacement inconnu","OK"))</f>
        <v/>
      </c>
      <c r="K330" s="22" t="str">
        <f aca="false">IF(AND(B330&lt;&gt;"",ISNUMBER(SEARCH(Recherche!$C$3,C330&amp;" "&amp;B330&amp;" "&amp;A330&amp;" "&amp;D330))),MAX($K$1:K329)+1,"")</f>
        <v/>
      </c>
    </row>
    <row r="331" customFormat="false" ht="15" hidden="false" customHeight="false" outlineLevel="0" collapsed="false">
      <c r="A331" s="12"/>
      <c r="B331" s="12"/>
      <c r="C331" s="17" t="str">
        <f aca="false">IF(B331="","",IFERROR(INDEX(Produits!$F$2:$F$1001,MATCH(B331,Produits!$A$2:$A$1001,0)),"⚠ code article inconnu"))</f>
        <v/>
      </c>
      <c r="D331" s="12"/>
      <c r="E331" s="23"/>
      <c r="F331" s="24"/>
      <c r="G331" s="23"/>
      <c r="H331" s="21" t="str">
        <f aca="true">IF(E331="","",ROUND((E331-TODAY())/30.4,1))</f>
        <v/>
      </c>
      <c r="I331" s="17" t="str">
        <f aca="false">IF(E331="","",IF(H331&lt;0,IF(LEFT(A331,1)="Q","Périmé (en quarantaine)","PÉRIMÉ → déplacer en zone Q"),IF(H331&lt;3,"Péremption &lt; 3 mois",IF(H331&lt;6,"Péremption &lt; 6 mois",""))))</f>
        <v/>
      </c>
      <c r="J331" s="17" t="str">
        <f aca="false">IF(A331="","",IF(COUNTIF(Emplacements!$A$2:$A$1001,A331)=0,"⚠ emplacement inconnu","OK"))</f>
        <v/>
      </c>
      <c r="K331" s="22" t="str">
        <f aca="false">IF(AND(B331&lt;&gt;"",ISNUMBER(SEARCH(Recherche!$C$3,C331&amp;" "&amp;B331&amp;" "&amp;A331&amp;" "&amp;D331))),MAX($K$1:K330)+1,"")</f>
        <v/>
      </c>
    </row>
    <row r="332" customFormat="false" ht="15" hidden="false" customHeight="false" outlineLevel="0" collapsed="false">
      <c r="A332" s="12"/>
      <c r="B332" s="12"/>
      <c r="C332" s="17" t="str">
        <f aca="false">IF(B332="","",IFERROR(INDEX(Produits!$F$2:$F$1001,MATCH(B332,Produits!$A$2:$A$1001,0)),"⚠ code article inconnu"))</f>
        <v/>
      </c>
      <c r="D332" s="12"/>
      <c r="E332" s="23"/>
      <c r="F332" s="24"/>
      <c r="G332" s="23"/>
      <c r="H332" s="21" t="str">
        <f aca="true">IF(E332="","",ROUND((E332-TODAY())/30.4,1))</f>
        <v/>
      </c>
      <c r="I332" s="17" t="str">
        <f aca="false">IF(E332="","",IF(H332&lt;0,IF(LEFT(A332,1)="Q","Périmé (en quarantaine)","PÉRIMÉ → déplacer en zone Q"),IF(H332&lt;3,"Péremption &lt; 3 mois",IF(H332&lt;6,"Péremption &lt; 6 mois",""))))</f>
        <v/>
      </c>
      <c r="J332" s="17" t="str">
        <f aca="false">IF(A332="","",IF(COUNTIF(Emplacements!$A$2:$A$1001,A332)=0,"⚠ emplacement inconnu","OK"))</f>
        <v/>
      </c>
      <c r="K332" s="22" t="str">
        <f aca="false">IF(AND(B332&lt;&gt;"",ISNUMBER(SEARCH(Recherche!$C$3,C332&amp;" "&amp;B332&amp;" "&amp;A332&amp;" "&amp;D332))),MAX($K$1:K331)+1,"")</f>
        <v/>
      </c>
    </row>
    <row r="333" customFormat="false" ht="15" hidden="false" customHeight="false" outlineLevel="0" collapsed="false">
      <c r="A333" s="12"/>
      <c r="B333" s="12"/>
      <c r="C333" s="17" t="str">
        <f aca="false">IF(B333="","",IFERROR(INDEX(Produits!$F$2:$F$1001,MATCH(B333,Produits!$A$2:$A$1001,0)),"⚠ code article inconnu"))</f>
        <v/>
      </c>
      <c r="D333" s="12"/>
      <c r="E333" s="23"/>
      <c r="F333" s="24"/>
      <c r="G333" s="23"/>
      <c r="H333" s="21" t="str">
        <f aca="true">IF(E333="","",ROUND((E333-TODAY())/30.4,1))</f>
        <v/>
      </c>
      <c r="I333" s="17" t="str">
        <f aca="false">IF(E333="","",IF(H333&lt;0,IF(LEFT(A333,1)="Q","Périmé (en quarantaine)","PÉRIMÉ → déplacer en zone Q"),IF(H333&lt;3,"Péremption &lt; 3 mois",IF(H333&lt;6,"Péremption &lt; 6 mois",""))))</f>
        <v/>
      </c>
      <c r="J333" s="17" t="str">
        <f aca="false">IF(A333="","",IF(COUNTIF(Emplacements!$A$2:$A$1001,A333)=0,"⚠ emplacement inconnu","OK"))</f>
        <v/>
      </c>
      <c r="K333" s="22" t="str">
        <f aca="false">IF(AND(B333&lt;&gt;"",ISNUMBER(SEARCH(Recherche!$C$3,C333&amp;" "&amp;B333&amp;" "&amp;A333&amp;" "&amp;D333))),MAX($K$1:K332)+1,"")</f>
        <v/>
      </c>
    </row>
    <row r="334" customFormat="false" ht="15" hidden="false" customHeight="false" outlineLevel="0" collapsed="false">
      <c r="A334" s="12"/>
      <c r="B334" s="12"/>
      <c r="C334" s="17" t="str">
        <f aca="false">IF(B334="","",IFERROR(INDEX(Produits!$F$2:$F$1001,MATCH(B334,Produits!$A$2:$A$1001,0)),"⚠ code article inconnu"))</f>
        <v/>
      </c>
      <c r="D334" s="12"/>
      <c r="E334" s="23"/>
      <c r="F334" s="24"/>
      <c r="G334" s="23"/>
      <c r="H334" s="21" t="str">
        <f aca="true">IF(E334="","",ROUND((E334-TODAY())/30.4,1))</f>
        <v/>
      </c>
      <c r="I334" s="17" t="str">
        <f aca="false">IF(E334="","",IF(H334&lt;0,IF(LEFT(A334,1)="Q","Périmé (en quarantaine)","PÉRIMÉ → déplacer en zone Q"),IF(H334&lt;3,"Péremption &lt; 3 mois",IF(H334&lt;6,"Péremption &lt; 6 mois",""))))</f>
        <v/>
      </c>
      <c r="J334" s="17" t="str">
        <f aca="false">IF(A334="","",IF(COUNTIF(Emplacements!$A$2:$A$1001,A334)=0,"⚠ emplacement inconnu","OK"))</f>
        <v/>
      </c>
      <c r="K334" s="22" t="str">
        <f aca="false">IF(AND(B334&lt;&gt;"",ISNUMBER(SEARCH(Recherche!$C$3,C334&amp;" "&amp;B334&amp;" "&amp;A334&amp;" "&amp;D334))),MAX($K$1:K333)+1,"")</f>
        <v/>
      </c>
    </row>
    <row r="335" customFormat="false" ht="15" hidden="false" customHeight="false" outlineLevel="0" collapsed="false">
      <c r="A335" s="12"/>
      <c r="B335" s="12"/>
      <c r="C335" s="17" t="str">
        <f aca="false">IF(B335="","",IFERROR(INDEX(Produits!$F$2:$F$1001,MATCH(B335,Produits!$A$2:$A$1001,0)),"⚠ code article inconnu"))</f>
        <v/>
      </c>
      <c r="D335" s="12"/>
      <c r="E335" s="23"/>
      <c r="F335" s="24"/>
      <c r="G335" s="23"/>
      <c r="H335" s="21" t="str">
        <f aca="true">IF(E335="","",ROUND((E335-TODAY())/30.4,1))</f>
        <v/>
      </c>
      <c r="I335" s="17" t="str">
        <f aca="false">IF(E335="","",IF(H335&lt;0,IF(LEFT(A335,1)="Q","Périmé (en quarantaine)","PÉRIMÉ → déplacer en zone Q"),IF(H335&lt;3,"Péremption &lt; 3 mois",IF(H335&lt;6,"Péremption &lt; 6 mois",""))))</f>
        <v/>
      </c>
      <c r="J335" s="17" t="str">
        <f aca="false">IF(A335="","",IF(COUNTIF(Emplacements!$A$2:$A$1001,A335)=0,"⚠ emplacement inconnu","OK"))</f>
        <v/>
      </c>
      <c r="K335" s="22" t="str">
        <f aca="false">IF(AND(B335&lt;&gt;"",ISNUMBER(SEARCH(Recherche!$C$3,C335&amp;" "&amp;B335&amp;" "&amp;A335&amp;" "&amp;D335))),MAX($K$1:K334)+1,"")</f>
        <v/>
      </c>
    </row>
    <row r="336" customFormat="false" ht="15" hidden="false" customHeight="false" outlineLevel="0" collapsed="false">
      <c r="A336" s="12"/>
      <c r="B336" s="12"/>
      <c r="C336" s="17" t="str">
        <f aca="false">IF(B336="","",IFERROR(INDEX(Produits!$F$2:$F$1001,MATCH(B336,Produits!$A$2:$A$1001,0)),"⚠ code article inconnu"))</f>
        <v/>
      </c>
      <c r="D336" s="12"/>
      <c r="E336" s="23"/>
      <c r="F336" s="24"/>
      <c r="G336" s="23"/>
      <c r="H336" s="21" t="str">
        <f aca="true">IF(E336="","",ROUND((E336-TODAY())/30.4,1))</f>
        <v/>
      </c>
      <c r="I336" s="17" t="str">
        <f aca="false">IF(E336="","",IF(H336&lt;0,IF(LEFT(A336,1)="Q","Périmé (en quarantaine)","PÉRIMÉ → déplacer en zone Q"),IF(H336&lt;3,"Péremption &lt; 3 mois",IF(H336&lt;6,"Péremption &lt; 6 mois",""))))</f>
        <v/>
      </c>
      <c r="J336" s="17" t="str">
        <f aca="false">IF(A336="","",IF(COUNTIF(Emplacements!$A$2:$A$1001,A336)=0,"⚠ emplacement inconnu","OK"))</f>
        <v/>
      </c>
      <c r="K336" s="22" t="str">
        <f aca="false">IF(AND(B336&lt;&gt;"",ISNUMBER(SEARCH(Recherche!$C$3,C336&amp;" "&amp;B336&amp;" "&amp;A336&amp;" "&amp;D336))),MAX($K$1:K335)+1,"")</f>
        <v/>
      </c>
    </row>
    <row r="337" customFormat="false" ht="15" hidden="false" customHeight="false" outlineLevel="0" collapsed="false">
      <c r="A337" s="12"/>
      <c r="B337" s="12"/>
      <c r="C337" s="17" t="str">
        <f aca="false">IF(B337="","",IFERROR(INDEX(Produits!$F$2:$F$1001,MATCH(B337,Produits!$A$2:$A$1001,0)),"⚠ code article inconnu"))</f>
        <v/>
      </c>
      <c r="D337" s="12"/>
      <c r="E337" s="23"/>
      <c r="F337" s="24"/>
      <c r="G337" s="23"/>
      <c r="H337" s="21" t="str">
        <f aca="true">IF(E337="","",ROUND((E337-TODAY())/30.4,1))</f>
        <v/>
      </c>
      <c r="I337" s="17" t="str">
        <f aca="false">IF(E337="","",IF(H337&lt;0,IF(LEFT(A337,1)="Q","Périmé (en quarantaine)","PÉRIMÉ → déplacer en zone Q"),IF(H337&lt;3,"Péremption &lt; 3 mois",IF(H337&lt;6,"Péremption &lt; 6 mois",""))))</f>
        <v/>
      </c>
      <c r="J337" s="17" t="str">
        <f aca="false">IF(A337="","",IF(COUNTIF(Emplacements!$A$2:$A$1001,A337)=0,"⚠ emplacement inconnu","OK"))</f>
        <v/>
      </c>
      <c r="K337" s="22" t="str">
        <f aca="false">IF(AND(B337&lt;&gt;"",ISNUMBER(SEARCH(Recherche!$C$3,C337&amp;" "&amp;B337&amp;" "&amp;A337&amp;" "&amp;D337))),MAX($K$1:K336)+1,"")</f>
        <v/>
      </c>
    </row>
    <row r="338" customFormat="false" ht="15" hidden="false" customHeight="false" outlineLevel="0" collapsed="false">
      <c r="A338" s="12"/>
      <c r="B338" s="12"/>
      <c r="C338" s="17" t="str">
        <f aca="false">IF(B338="","",IFERROR(INDEX(Produits!$F$2:$F$1001,MATCH(B338,Produits!$A$2:$A$1001,0)),"⚠ code article inconnu"))</f>
        <v/>
      </c>
      <c r="D338" s="12"/>
      <c r="E338" s="23"/>
      <c r="F338" s="24"/>
      <c r="G338" s="23"/>
      <c r="H338" s="21" t="str">
        <f aca="true">IF(E338="","",ROUND((E338-TODAY())/30.4,1))</f>
        <v/>
      </c>
      <c r="I338" s="17" t="str">
        <f aca="false">IF(E338="","",IF(H338&lt;0,IF(LEFT(A338,1)="Q","Périmé (en quarantaine)","PÉRIMÉ → déplacer en zone Q"),IF(H338&lt;3,"Péremption &lt; 3 mois",IF(H338&lt;6,"Péremption &lt; 6 mois",""))))</f>
        <v/>
      </c>
      <c r="J338" s="17" t="str">
        <f aca="false">IF(A338="","",IF(COUNTIF(Emplacements!$A$2:$A$1001,A338)=0,"⚠ emplacement inconnu","OK"))</f>
        <v/>
      </c>
      <c r="K338" s="22" t="str">
        <f aca="false">IF(AND(B338&lt;&gt;"",ISNUMBER(SEARCH(Recherche!$C$3,C338&amp;" "&amp;B338&amp;" "&amp;A338&amp;" "&amp;D338))),MAX($K$1:K337)+1,"")</f>
        <v/>
      </c>
    </row>
    <row r="339" customFormat="false" ht="15" hidden="false" customHeight="false" outlineLevel="0" collapsed="false">
      <c r="A339" s="12"/>
      <c r="B339" s="12"/>
      <c r="C339" s="17" t="str">
        <f aca="false">IF(B339="","",IFERROR(INDEX(Produits!$F$2:$F$1001,MATCH(B339,Produits!$A$2:$A$1001,0)),"⚠ code article inconnu"))</f>
        <v/>
      </c>
      <c r="D339" s="12"/>
      <c r="E339" s="23"/>
      <c r="F339" s="24"/>
      <c r="G339" s="23"/>
      <c r="H339" s="21" t="str">
        <f aca="true">IF(E339="","",ROUND((E339-TODAY())/30.4,1))</f>
        <v/>
      </c>
      <c r="I339" s="17" t="str">
        <f aca="false">IF(E339="","",IF(H339&lt;0,IF(LEFT(A339,1)="Q","Périmé (en quarantaine)","PÉRIMÉ → déplacer en zone Q"),IF(H339&lt;3,"Péremption &lt; 3 mois",IF(H339&lt;6,"Péremption &lt; 6 mois",""))))</f>
        <v/>
      </c>
      <c r="J339" s="17" t="str">
        <f aca="false">IF(A339="","",IF(COUNTIF(Emplacements!$A$2:$A$1001,A339)=0,"⚠ emplacement inconnu","OK"))</f>
        <v/>
      </c>
      <c r="K339" s="22" t="str">
        <f aca="false">IF(AND(B339&lt;&gt;"",ISNUMBER(SEARCH(Recherche!$C$3,C339&amp;" "&amp;B339&amp;" "&amp;A339&amp;" "&amp;D339))),MAX($K$1:K338)+1,"")</f>
        <v/>
      </c>
    </row>
    <row r="340" customFormat="false" ht="15" hidden="false" customHeight="false" outlineLevel="0" collapsed="false">
      <c r="A340" s="12"/>
      <c r="B340" s="12"/>
      <c r="C340" s="17" t="str">
        <f aca="false">IF(B340="","",IFERROR(INDEX(Produits!$F$2:$F$1001,MATCH(B340,Produits!$A$2:$A$1001,0)),"⚠ code article inconnu"))</f>
        <v/>
      </c>
      <c r="D340" s="12"/>
      <c r="E340" s="23"/>
      <c r="F340" s="24"/>
      <c r="G340" s="23"/>
      <c r="H340" s="21" t="str">
        <f aca="true">IF(E340="","",ROUND((E340-TODAY())/30.4,1))</f>
        <v/>
      </c>
      <c r="I340" s="17" t="str">
        <f aca="false">IF(E340="","",IF(H340&lt;0,IF(LEFT(A340,1)="Q","Périmé (en quarantaine)","PÉRIMÉ → déplacer en zone Q"),IF(H340&lt;3,"Péremption &lt; 3 mois",IF(H340&lt;6,"Péremption &lt; 6 mois",""))))</f>
        <v/>
      </c>
      <c r="J340" s="17" t="str">
        <f aca="false">IF(A340="","",IF(COUNTIF(Emplacements!$A$2:$A$1001,A340)=0,"⚠ emplacement inconnu","OK"))</f>
        <v/>
      </c>
      <c r="K340" s="22" t="str">
        <f aca="false">IF(AND(B340&lt;&gt;"",ISNUMBER(SEARCH(Recherche!$C$3,C340&amp;" "&amp;B340&amp;" "&amp;A340&amp;" "&amp;D340))),MAX($K$1:K339)+1,"")</f>
        <v/>
      </c>
    </row>
    <row r="341" customFormat="false" ht="15" hidden="false" customHeight="false" outlineLevel="0" collapsed="false">
      <c r="A341" s="12"/>
      <c r="B341" s="12"/>
      <c r="C341" s="17" t="str">
        <f aca="false">IF(B341="","",IFERROR(INDEX(Produits!$F$2:$F$1001,MATCH(B341,Produits!$A$2:$A$1001,0)),"⚠ code article inconnu"))</f>
        <v/>
      </c>
      <c r="D341" s="12"/>
      <c r="E341" s="23"/>
      <c r="F341" s="24"/>
      <c r="G341" s="23"/>
      <c r="H341" s="21" t="str">
        <f aca="true">IF(E341="","",ROUND((E341-TODAY())/30.4,1))</f>
        <v/>
      </c>
      <c r="I341" s="17" t="str">
        <f aca="false">IF(E341="","",IF(H341&lt;0,IF(LEFT(A341,1)="Q","Périmé (en quarantaine)","PÉRIMÉ → déplacer en zone Q"),IF(H341&lt;3,"Péremption &lt; 3 mois",IF(H341&lt;6,"Péremption &lt; 6 mois",""))))</f>
        <v/>
      </c>
      <c r="J341" s="17" t="str">
        <f aca="false">IF(A341="","",IF(COUNTIF(Emplacements!$A$2:$A$1001,A341)=0,"⚠ emplacement inconnu","OK"))</f>
        <v/>
      </c>
      <c r="K341" s="22" t="str">
        <f aca="false">IF(AND(B341&lt;&gt;"",ISNUMBER(SEARCH(Recherche!$C$3,C341&amp;" "&amp;B341&amp;" "&amp;A341&amp;" "&amp;D341))),MAX($K$1:K340)+1,"")</f>
        <v/>
      </c>
    </row>
    <row r="342" customFormat="false" ht="15" hidden="false" customHeight="false" outlineLevel="0" collapsed="false">
      <c r="A342" s="12"/>
      <c r="B342" s="12"/>
      <c r="C342" s="17" t="str">
        <f aca="false">IF(B342="","",IFERROR(INDEX(Produits!$F$2:$F$1001,MATCH(B342,Produits!$A$2:$A$1001,0)),"⚠ code article inconnu"))</f>
        <v/>
      </c>
      <c r="D342" s="12"/>
      <c r="E342" s="23"/>
      <c r="F342" s="24"/>
      <c r="G342" s="23"/>
      <c r="H342" s="21" t="str">
        <f aca="true">IF(E342="","",ROUND((E342-TODAY())/30.4,1))</f>
        <v/>
      </c>
      <c r="I342" s="17" t="str">
        <f aca="false">IF(E342="","",IF(H342&lt;0,IF(LEFT(A342,1)="Q","Périmé (en quarantaine)","PÉRIMÉ → déplacer en zone Q"),IF(H342&lt;3,"Péremption &lt; 3 mois",IF(H342&lt;6,"Péremption &lt; 6 mois",""))))</f>
        <v/>
      </c>
      <c r="J342" s="17" t="str">
        <f aca="false">IF(A342="","",IF(COUNTIF(Emplacements!$A$2:$A$1001,A342)=0,"⚠ emplacement inconnu","OK"))</f>
        <v/>
      </c>
      <c r="K342" s="22" t="str">
        <f aca="false">IF(AND(B342&lt;&gt;"",ISNUMBER(SEARCH(Recherche!$C$3,C342&amp;" "&amp;B342&amp;" "&amp;A342&amp;" "&amp;D342))),MAX($K$1:K341)+1,"")</f>
        <v/>
      </c>
    </row>
    <row r="343" customFormat="false" ht="15" hidden="false" customHeight="false" outlineLevel="0" collapsed="false">
      <c r="A343" s="12"/>
      <c r="B343" s="12"/>
      <c r="C343" s="17" t="str">
        <f aca="false">IF(B343="","",IFERROR(INDEX(Produits!$F$2:$F$1001,MATCH(B343,Produits!$A$2:$A$1001,0)),"⚠ code article inconnu"))</f>
        <v/>
      </c>
      <c r="D343" s="12"/>
      <c r="E343" s="23"/>
      <c r="F343" s="24"/>
      <c r="G343" s="23"/>
      <c r="H343" s="21" t="str">
        <f aca="true">IF(E343="","",ROUND((E343-TODAY())/30.4,1))</f>
        <v/>
      </c>
      <c r="I343" s="17" t="str">
        <f aca="false">IF(E343="","",IF(H343&lt;0,IF(LEFT(A343,1)="Q","Périmé (en quarantaine)","PÉRIMÉ → déplacer en zone Q"),IF(H343&lt;3,"Péremption &lt; 3 mois",IF(H343&lt;6,"Péremption &lt; 6 mois",""))))</f>
        <v/>
      </c>
      <c r="J343" s="17" t="str">
        <f aca="false">IF(A343="","",IF(COUNTIF(Emplacements!$A$2:$A$1001,A343)=0,"⚠ emplacement inconnu","OK"))</f>
        <v/>
      </c>
      <c r="K343" s="22" t="str">
        <f aca="false">IF(AND(B343&lt;&gt;"",ISNUMBER(SEARCH(Recherche!$C$3,C343&amp;" "&amp;B343&amp;" "&amp;A343&amp;" "&amp;D343))),MAX($K$1:K342)+1,"")</f>
        <v/>
      </c>
    </row>
    <row r="344" customFormat="false" ht="15" hidden="false" customHeight="false" outlineLevel="0" collapsed="false">
      <c r="A344" s="12"/>
      <c r="B344" s="12"/>
      <c r="C344" s="17" t="str">
        <f aca="false">IF(B344="","",IFERROR(INDEX(Produits!$F$2:$F$1001,MATCH(B344,Produits!$A$2:$A$1001,0)),"⚠ code article inconnu"))</f>
        <v/>
      </c>
      <c r="D344" s="12"/>
      <c r="E344" s="23"/>
      <c r="F344" s="24"/>
      <c r="G344" s="23"/>
      <c r="H344" s="21" t="str">
        <f aca="true">IF(E344="","",ROUND((E344-TODAY())/30.4,1))</f>
        <v/>
      </c>
      <c r="I344" s="17" t="str">
        <f aca="false">IF(E344="","",IF(H344&lt;0,IF(LEFT(A344,1)="Q","Périmé (en quarantaine)","PÉRIMÉ → déplacer en zone Q"),IF(H344&lt;3,"Péremption &lt; 3 mois",IF(H344&lt;6,"Péremption &lt; 6 mois",""))))</f>
        <v/>
      </c>
      <c r="J344" s="17" t="str">
        <f aca="false">IF(A344="","",IF(COUNTIF(Emplacements!$A$2:$A$1001,A344)=0,"⚠ emplacement inconnu","OK"))</f>
        <v/>
      </c>
      <c r="K344" s="22" t="str">
        <f aca="false">IF(AND(B344&lt;&gt;"",ISNUMBER(SEARCH(Recherche!$C$3,C344&amp;" "&amp;B344&amp;" "&amp;A344&amp;" "&amp;D344))),MAX($K$1:K343)+1,"")</f>
        <v/>
      </c>
    </row>
    <row r="345" customFormat="false" ht="15" hidden="false" customHeight="false" outlineLevel="0" collapsed="false">
      <c r="A345" s="12"/>
      <c r="B345" s="12"/>
      <c r="C345" s="17" t="str">
        <f aca="false">IF(B345="","",IFERROR(INDEX(Produits!$F$2:$F$1001,MATCH(B345,Produits!$A$2:$A$1001,0)),"⚠ code article inconnu"))</f>
        <v/>
      </c>
      <c r="D345" s="12"/>
      <c r="E345" s="23"/>
      <c r="F345" s="24"/>
      <c r="G345" s="23"/>
      <c r="H345" s="21" t="str">
        <f aca="true">IF(E345="","",ROUND((E345-TODAY())/30.4,1))</f>
        <v/>
      </c>
      <c r="I345" s="17" t="str">
        <f aca="false">IF(E345="","",IF(H345&lt;0,IF(LEFT(A345,1)="Q","Périmé (en quarantaine)","PÉRIMÉ → déplacer en zone Q"),IF(H345&lt;3,"Péremption &lt; 3 mois",IF(H345&lt;6,"Péremption &lt; 6 mois",""))))</f>
        <v/>
      </c>
      <c r="J345" s="17" t="str">
        <f aca="false">IF(A345="","",IF(COUNTIF(Emplacements!$A$2:$A$1001,A345)=0,"⚠ emplacement inconnu","OK"))</f>
        <v/>
      </c>
      <c r="K345" s="22" t="str">
        <f aca="false">IF(AND(B345&lt;&gt;"",ISNUMBER(SEARCH(Recherche!$C$3,C345&amp;" "&amp;B345&amp;" "&amp;A345&amp;" "&amp;D345))),MAX($K$1:K344)+1,"")</f>
        <v/>
      </c>
    </row>
    <row r="346" customFormat="false" ht="15" hidden="false" customHeight="false" outlineLevel="0" collapsed="false">
      <c r="A346" s="12"/>
      <c r="B346" s="12"/>
      <c r="C346" s="17" t="str">
        <f aca="false">IF(B346="","",IFERROR(INDEX(Produits!$F$2:$F$1001,MATCH(B346,Produits!$A$2:$A$1001,0)),"⚠ code article inconnu"))</f>
        <v/>
      </c>
      <c r="D346" s="12"/>
      <c r="E346" s="23"/>
      <c r="F346" s="24"/>
      <c r="G346" s="23"/>
      <c r="H346" s="21" t="str">
        <f aca="true">IF(E346="","",ROUND((E346-TODAY())/30.4,1))</f>
        <v/>
      </c>
      <c r="I346" s="17" t="str">
        <f aca="false">IF(E346="","",IF(H346&lt;0,IF(LEFT(A346,1)="Q","Périmé (en quarantaine)","PÉRIMÉ → déplacer en zone Q"),IF(H346&lt;3,"Péremption &lt; 3 mois",IF(H346&lt;6,"Péremption &lt; 6 mois",""))))</f>
        <v/>
      </c>
      <c r="J346" s="17" t="str">
        <f aca="false">IF(A346="","",IF(COUNTIF(Emplacements!$A$2:$A$1001,A346)=0,"⚠ emplacement inconnu","OK"))</f>
        <v/>
      </c>
      <c r="K346" s="22" t="str">
        <f aca="false">IF(AND(B346&lt;&gt;"",ISNUMBER(SEARCH(Recherche!$C$3,C346&amp;" "&amp;B346&amp;" "&amp;A346&amp;" "&amp;D346))),MAX($K$1:K345)+1,"")</f>
        <v/>
      </c>
    </row>
    <row r="347" customFormat="false" ht="15" hidden="false" customHeight="false" outlineLevel="0" collapsed="false">
      <c r="A347" s="12"/>
      <c r="B347" s="12"/>
      <c r="C347" s="17" t="str">
        <f aca="false">IF(B347="","",IFERROR(INDEX(Produits!$F$2:$F$1001,MATCH(B347,Produits!$A$2:$A$1001,0)),"⚠ code article inconnu"))</f>
        <v/>
      </c>
      <c r="D347" s="12"/>
      <c r="E347" s="23"/>
      <c r="F347" s="24"/>
      <c r="G347" s="23"/>
      <c r="H347" s="21" t="str">
        <f aca="true">IF(E347="","",ROUND((E347-TODAY())/30.4,1))</f>
        <v/>
      </c>
      <c r="I347" s="17" t="str">
        <f aca="false">IF(E347="","",IF(H347&lt;0,IF(LEFT(A347,1)="Q","Périmé (en quarantaine)","PÉRIMÉ → déplacer en zone Q"),IF(H347&lt;3,"Péremption &lt; 3 mois",IF(H347&lt;6,"Péremption &lt; 6 mois",""))))</f>
        <v/>
      </c>
      <c r="J347" s="17" t="str">
        <f aca="false">IF(A347="","",IF(COUNTIF(Emplacements!$A$2:$A$1001,A347)=0,"⚠ emplacement inconnu","OK"))</f>
        <v/>
      </c>
      <c r="K347" s="22" t="str">
        <f aca="false">IF(AND(B347&lt;&gt;"",ISNUMBER(SEARCH(Recherche!$C$3,C347&amp;" "&amp;B347&amp;" "&amp;A347&amp;" "&amp;D347))),MAX($K$1:K346)+1,"")</f>
        <v/>
      </c>
    </row>
    <row r="348" customFormat="false" ht="15" hidden="false" customHeight="false" outlineLevel="0" collapsed="false">
      <c r="A348" s="12"/>
      <c r="B348" s="12"/>
      <c r="C348" s="17" t="str">
        <f aca="false">IF(B348="","",IFERROR(INDEX(Produits!$F$2:$F$1001,MATCH(B348,Produits!$A$2:$A$1001,0)),"⚠ code article inconnu"))</f>
        <v/>
      </c>
      <c r="D348" s="12"/>
      <c r="E348" s="23"/>
      <c r="F348" s="24"/>
      <c r="G348" s="23"/>
      <c r="H348" s="21" t="str">
        <f aca="true">IF(E348="","",ROUND((E348-TODAY())/30.4,1))</f>
        <v/>
      </c>
      <c r="I348" s="17" t="str">
        <f aca="false">IF(E348="","",IF(H348&lt;0,IF(LEFT(A348,1)="Q","Périmé (en quarantaine)","PÉRIMÉ → déplacer en zone Q"),IF(H348&lt;3,"Péremption &lt; 3 mois",IF(H348&lt;6,"Péremption &lt; 6 mois",""))))</f>
        <v/>
      </c>
      <c r="J348" s="17" t="str">
        <f aca="false">IF(A348="","",IF(COUNTIF(Emplacements!$A$2:$A$1001,A348)=0,"⚠ emplacement inconnu","OK"))</f>
        <v/>
      </c>
      <c r="K348" s="22" t="str">
        <f aca="false">IF(AND(B348&lt;&gt;"",ISNUMBER(SEARCH(Recherche!$C$3,C348&amp;" "&amp;B348&amp;" "&amp;A348&amp;" "&amp;D348))),MAX($K$1:K347)+1,"")</f>
        <v/>
      </c>
    </row>
    <row r="349" customFormat="false" ht="15" hidden="false" customHeight="false" outlineLevel="0" collapsed="false">
      <c r="A349" s="12"/>
      <c r="B349" s="12"/>
      <c r="C349" s="17" t="str">
        <f aca="false">IF(B349="","",IFERROR(INDEX(Produits!$F$2:$F$1001,MATCH(B349,Produits!$A$2:$A$1001,0)),"⚠ code article inconnu"))</f>
        <v/>
      </c>
      <c r="D349" s="12"/>
      <c r="E349" s="23"/>
      <c r="F349" s="24"/>
      <c r="G349" s="23"/>
      <c r="H349" s="21" t="str">
        <f aca="true">IF(E349="","",ROUND((E349-TODAY())/30.4,1))</f>
        <v/>
      </c>
      <c r="I349" s="17" t="str">
        <f aca="false">IF(E349="","",IF(H349&lt;0,IF(LEFT(A349,1)="Q","Périmé (en quarantaine)","PÉRIMÉ → déplacer en zone Q"),IF(H349&lt;3,"Péremption &lt; 3 mois",IF(H349&lt;6,"Péremption &lt; 6 mois",""))))</f>
        <v/>
      </c>
      <c r="J349" s="17" t="str">
        <f aca="false">IF(A349="","",IF(COUNTIF(Emplacements!$A$2:$A$1001,A349)=0,"⚠ emplacement inconnu","OK"))</f>
        <v/>
      </c>
      <c r="K349" s="22" t="str">
        <f aca="false">IF(AND(B349&lt;&gt;"",ISNUMBER(SEARCH(Recherche!$C$3,C349&amp;" "&amp;B349&amp;" "&amp;A349&amp;" "&amp;D349))),MAX($K$1:K348)+1,"")</f>
        <v/>
      </c>
    </row>
    <row r="350" customFormat="false" ht="15" hidden="false" customHeight="false" outlineLevel="0" collapsed="false">
      <c r="A350" s="12"/>
      <c r="B350" s="12"/>
      <c r="C350" s="17" t="str">
        <f aca="false">IF(B350="","",IFERROR(INDEX(Produits!$F$2:$F$1001,MATCH(B350,Produits!$A$2:$A$1001,0)),"⚠ code article inconnu"))</f>
        <v/>
      </c>
      <c r="D350" s="12"/>
      <c r="E350" s="23"/>
      <c r="F350" s="24"/>
      <c r="G350" s="23"/>
      <c r="H350" s="21" t="str">
        <f aca="true">IF(E350="","",ROUND((E350-TODAY())/30.4,1))</f>
        <v/>
      </c>
      <c r="I350" s="17" t="str">
        <f aca="false">IF(E350="","",IF(H350&lt;0,IF(LEFT(A350,1)="Q","Périmé (en quarantaine)","PÉRIMÉ → déplacer en zone Q"),IF(H350&lt;3,"Péremption &lt; 3 mois",IF(H350&lt;6,"Péremption &lt; 6 mois",""))))</f>
        <v/>
      </c>
      <c r="J350" s="17" t="str">
        <f aca="false">IF(A350="","",IF(COUNTIF(Emplacements!$A$2:$A$1001,A350)=0,"⚠ emplacement inconnu","OK"))</f>
        <v/>
      </c>
      <c r="K350" s="22" t="str">
        <f aca="false">IF(AND(B350&lt;&gt;"",ISNUMBER(SEARCH(Recherche!$C$3,C350&amp;" "&amp;B350&amp;" "&amp;A350&amp;" "&amp;D350))),MAX($K$1:K349)+1,"")</f>
        <v/>
      </c>
    </row>
    <row r="351" customFormat="false" ht="15" hidden="false" customHeight="false" outlineLevel="0" collapsed="false">
      <c r="A351" s="12"/>
      <c r="B351" s="12"/>
      <c r="C351" s="17" t="str">
        <f aca="false">IF(B351="","",IFERROR(INDEX(Produits!$F$2:$F$1001,MATCH(B351,Produits!$A$2:$A$1001,0)),"⚠ code article inconnu"))</f>
        <v/>
      </c>
      <c r="D351" s="12"/>
      <c r="E351" s="23"/>
      <c r="F351" s="24"/>
      <c r="G351" s="23"/>
      <c r="H351" s="21" t="str">
        <f aca="true">IF(E351="","",ROUND((E351-TODAY())/30.4,1))</f>
        <v/>
      </c>
      <c r="I351" s="17" t="str">
        <f aca="false">IF(E351="","",IF(H351&lt;0,IF(LEFT(A351,1)="Q","Périmé (en quarantaine)","PÉRIMÉ → déplacer en zone Q"),IF(H351&lt;3,"Péremption &lt; 3 mois",IF(H351&lt;6,"Péremption &lt; 6 mois",""))))</f>
        <v/>
      </c>
      <c r="J351" s="17" t="str">
        <f aca="false">IF(A351="","",IF(COUNTIF(Emplacements!$A$2:$A$1001,A351)=0,"⚠ emplacement inconnu","OK"))</f>
        <v/>
      </c>
      <c r="K351" s="22" t="str">
        <f aca="false">IF(AND(B351&lt;&gt;"",ISNUMBER(SEARCH(Recherche!$C$3,C351&amp;" "&amp;B351&amp;" "&amp;A351&amp;" "&amp;D351))),MAX($K$1:K350)+1,"")</f>
        <v/>
      </c>
    </row>
    <row r="352" customFormat="false" ht="15" hidden="false" customHeight="false" outlineLevel="0" collapsed="false">
      <c r="A352" s="12"/>
      <c r="B352" s="12"/>
      <c r="C352" s="17" t="str">
        <f aca="false">IF(B352="","",IFERROR(INDEX(Produits!$F$2:$F$1001,MATCH(B352,Produits!$A$2:$A$1001,0)),"⚠ code article inconnu"))</f>
        <v/>
      </c>
      <c r="D352" s="12"/>
      <c r="E352" s="23"/>
      <c r="F352" s="24"/>
      <c r="G352" s="23"/>
      <c r="H352" s="21" t="str">
        <f aca="true">IF(E352="","",ROUND((E352-TODAY())/30.4,1))</f>
        <v/>
      </c>
      <c r="I352" s="17" t="str">
        <f aca="false">IF(E352="","",IF(H352&lt;0,IF(LEFT(A352,1)="Q","Périmé (en quarantaine)","PÉRIMÉ → déplacer en zone Q"),IF(H352&lt;3,"Péremption &lt; 3 mois",IF(H352&lt;6,"Péremption &lt; 6 mois",""))))</f>
        <v/>
      </c>
      <c r="J352" s="17" t="str">
        <f aca="false">IF(A352="","",IF(COUNTIF(Emplacements!$A$2:$A$1001,A352)=0,"⚠ emplacement inconnu","OK"))</f>
        <v/>
      </c>
      <c r="K352" s="22" t="str">
        <f aca="false">IF(AND(B352&lt;&gt;"",ISNUMBER(SEARCH(Recherche!$C$3,C352&amp;" "&amp;B352&amp;" "&amp;A352&amp;" "&amp;D352))),MAX($K$1:K351)+1,"")</f>
        <v/>
      </c>
    </row>
    <row r="353" customFormat="false" ht="15" hidden="false" customHeight="false" outlineLevel="0" collapsed="false">
      <c r="A353" s="12"/>
      <c r="B353" s="12"/>
      <c r="C353" s="17" t="str">
        <f aca="false">IF(B353="","",IFERROR(INDEX(Produits!$F$2:$F$1001,MATCH(B353,Produits!$A$2:$A$1001,0)),"⚠ code article inconnu"))</f>
        <v/>
      </c>
      <c r="D353" s="12"/>
      <c r="E353" s="23"/>
      <c r="F353" s="24"/>
      <c r="G353" s="23"/>
      <c r="H353" s="21" t="str">
        <f aca="true">IF(E353="","",ROUND((E353-TODAY())/30.4,1))</f>
        <v/>
      </c>
      <c r="I353" s="17" t="str">
        <f aca="false">IF(E353="","",IF(H353&lt;0,IF(LEFT(A353,1)="Q","Périmé (en quarantaine)","PÉRIMÉ → déplacer en zone Q"),IF(H353&lt;3,"Péremption &lt; 3 mois",IF(H353&lt;6,"Péremption &lt; 6 mois",""))))</f>
        <v/>
      </c>
      <c r="J353" s="17" t="str">
        <f aca="false">IF(A353="","",IF(COUNTIF(Emplacements!$A$2:$A$1001,A353)=0,"⚠ emplacement inconnu","OK"))</f>
        <v/>
      </c>
      <c r="K353" s="22" t="str">
        <f aca="false">IF(AND(B353&lt;&gt;"",ISNUMBER(SEARCH(Recherche!$C$3,C353&amp;" "&amp;B353&amp;" "&amp;A353&amp;" "&amp;D353))),MAX($K$1:K352)+1,"")</f>
        <v/>
      </c>
    </row>
    <row r="354" customFormat="false" ht="15" hidden="false" customHeight="false" outlineLevel="0" collapsed="false">
      <c r="A354" s="12"/>
      <c r="B354" s="12"/>
      <c r="C354" s="17" t="str">
        <f aca="false">IF(B354="","",IFERROR(INDEX(Produits!$F$2:$F$1001,MATCH(B354,Produits!$A$2:$A$1001,0)),"⚠ code article inconnu"))</f>
        <v/>
      </c>
      <c r="D354" s="12"/>
      <c r="E354" s="23"/>
      <c r="F354" s="24"/>
      <c r="G354" s="23"/>
      <c r="H354" s="21" t="str">
        <f aca="true">IF(E354="","",ROUND((E354-TODAY())/30.4,1))</f>
        <v/>
      </c>
      <c r="I354" s="17" t="str">
        <f aca="false">IF(E354="","",IF(H354&lt;0,IF(LEFT(A354,1)="Q","Périmé (en quarantaine)","PÉRIMÉ → déplacer en zone Q"),IF(H354&lt;3,"Péremption &lt; 3 mois",IF(H354&lt;6,"Péremption &lt; 6 mois",""))))</f>
        <v/>
      </c>
      <c r="J354" s="17" t="str">
        <f aca="false">IF(A354="","",IF(COUNTIF(Emplacements!$A$2:$A$1001,A354)=0,"⚠ emplacement inconnu","OK"))</f>
        <v/>
      </c>
      <c r="K354" s="22" t="str">
        <f aca="false">IF(AND(B354&lt;&gt;"",ISNUMBER(SEARCH(Recherche!$C$3,C354&amp;" "&amp;B354&amp;" "&amp;A354&amp;" "&amp;D354))),MAX($K$1:K353)+1,"")</f>
        <v/>
      </c>
    </row>
    <row r="355" customFormat="false" ht="15" hidden="false" customHeight="false" outlineLevel="0" collapsed="false">
      <c r="A355" s="12"/>
      <c r="B355" s="12"/>
      <c r="C355" s="17" t="str">
        <f aca="false">IF(B355="","",IFERROR(INDEX(Produits!$F$2:$F$1001,MATCH(B355,Produits!$A$2:$A$1001,0)),"⚠ code article inconnu"))</f>
        <v/>
      </c>
      <c r="D355" s="12"/>
      <c r="E355" s="23"/>
      <c r="F355" s="24"/>
      <c r="G355" s="23"/>
      <c r="H355" s="21" t="str">
        <f aca="true">IF(E355="","",ROUND((E355-TODAY())/30.4,1))</f>
        <v/>
      </c>
      <c r="I355" s="17" t="str">
        <f aca="false">IF(E355="","",IF(H355&lt;0,IF(LEFT(A355,1)="Q","Périmé (en quarantaine)","PÉRIMÉ → déplacer en zone Q"),IF(H355&lt;3,"Péremption &lt; 3 mois",IF(H355&lt;6,"Péremption &lt; 6 mois",""))))</f>
        <v/>
      </c>
      <c r="J355" s="17" t="str">
        <f aca="false">IF(A355="","",IF(COUNTIF(Emplacements!$A$2:$A$1001,A355)=0,"⚠ emplacement inconnu","OK"))</f>
        <v/>
      </c>
      <c r="K355" s="22" t="str">
        <f aca="false">IF(AND(B355&lt;&gt;"",ISNUMBER(SEARCH(Recherche!$C$3,C355&amp;" "&amp;B355&amp;" "&amp;A355&amp;" "&amp;D355))),MAX($K$1:K354)+1,"")</f>
        <v/>
      </c>
    </row>
    <row r="356" customFormat="false" ht="15" hidden="false" customHeight="false" outlineLevel="0" collapsed="false">
      <c r="A356" s="12"/>
      <c r="B356" s="12"/>
      <c r="C356" s="17" t="str">
        <f aca="false">IF(B356="","",IFERROR(INDEX(Produits!$F$2:$F$1001,MATCH(B356,Produits!$A$2:$A$1001,0)),"⚠ code article inconnu"))</f>
        <v/>
      </c>
      <c r="D356" s="12"/>
      <c r="E356" s="23"/>
      <c r="F356" s="24"/>
      <c r="G356" s="23"/>
      <c r="H356" s="21" t="str">
        <f aca="true">IF(E356="","",ROUND((E356-TODAY())/30.4,1))</f>
        <v/>
      </c>
      <c r="I356" s="17" t="str">
        <f aca="false">IF(E356="","",IF(H356&lt;0,IF(LEFT(A356,1)="Q","Périmé (en quarantaine)","PÉRIMÉ → déplacer en zone Q"),IF(H356&lt;3,"Péremption &lt; 3 mois",IF(H356&lt;6,"Péremption &lt; 6 mois",""))))</f>
        <v/>
      </c>
      <c r="J356" s="17" t="str">
        <f aca="false">IF(A356="","",IF(COUNTIF(Emplacements!$A$2:$A$1001,A356)=0,"⚠ emplacement inconnu","OK"))</f>
        <v/>
      </c>
      <c r="K356" s="22" t="str">
        <f aca="false">IF(AND(B356&lt;&gt;"",ISNUMBER(SEARCH(Recherche!$C$3,C356&amp;" "&amp;B356&amp;" "&amp;A356&amp;" "&amp;D356))),MAX($K$1:K355)+1,"")</f>
        <v/>
      </c>
    </row>
    <row r="357" customFormat="false" ht="15" hidden="false" customHeight="false" outlineLevel="0" collapsed="false">
      <c r="A357" s="12"/>
      <c r="B357" s="12"/>
      <c r="C357" s="17" t="str">
        <f aca="false">IF(B357="","",IFERROR(INDEX(Produits!$F$2:$F$1001,MATCH(B357,Produits!$A$2:$A$1001,0)),"⚠ code article inconnu"))</f>
        <v/>
      </c>
      <c r="D357" s="12"/>
      <c r="E357" s="23"/>
      <c r="F357" s="24"/>
      <c r="G357" s="23"/>
      <c r="H357" s="21" t="str">
        <f aca="true">IF(E357="","",ROUND((E357-TODAY())/30.4,1))</f>
        <v/>
      </c>
      <c r="I357" s="17" t="str">
        <f aca="false">IF(E357="","",IF(H357&lt;0,IF(LEFT(A357,1)="Q","Périmé (en quarantaine)","PÉRIMÉ → déplacer en zone Q"),IF(H357&lt;3,"Péremption &lt; 3 mois",IF(H357&lt;6,"Péremption &lt; 6 mois",""))))</f>
        <v/>
      </c>
      <c r="J357" s="17" t="str">
        <f aca="false">IF(A357="","",IF(COUNTIF(Emplacements!$A$2:$A$1001,A357)=0,"⚠ emplacement inconnu","OK"))</f>
        <v/>
      </c>
      <c r="K357" s="22" t="str">
        <f aca="false">IF(AND(B357&lt;&gt;"",ISNUMBER(SEARCH(Recherche!$C$3,C357&amp;" "&amp;B357&amp;" "&amp;A357&amp;" "&amp;D357))),MAX($K$1:K356)+1,"")</f>
        <v/>
      </c>
    </row>
    <row r="358" customFormat="false" ht="15" hidden="false" customHeight="false" outlineLevel="0" collapsed="false">
      <c r="A358" s="12"/>
      <c r="B358" s="12"/>
      <c r="C358" s="17" t="str">
        <f aca="false">IF(B358="","",IFERROR(INDEX(Produits!$F$2:$F$1001,MATCH(B358,Produits!$A$2:$A$1001,0)),"⚠ code article inconnu"))</f>
        <v/>
      </c>
      <c r="D358" s="12"/>
      <c r="E358" s="23"/>
      <c r="F358" s="24"/>
      <c r="G358" s="23"/>
      <c r="H358" s="21" t="str">
        <f aca="true">IF(E358="","",ROUND((E358-TODAY())/30.4,1))</f>
        <v/>
      </c>
      <c r="I358" s="17" t="str">
        <f aca="false">IF(E358="","",IF(H358&lt;0,IF(LEFT(A358,1)="Q","Périmé (en quarantaine)","PÉRIMÉ → déplacer en zone Q"),IF(H358&lt;3,"Péremption &lt; 3 mois",IF(H358&lt;6,"Péremption &lt; 6 mois",""))))</f>
        <v/>
      </c>
      <c r="J358" s="17" t="str">
        <f aca="false">IF(A358="","",IF(COUNTIF(Emplacements!$A$2:$A$1001,A358)=0,"⚠ emplacement inconnu","OK"))</f>
        <v/>
      </c>
      <c r="K358" s="22" t="str">
        <f aca="false">IF(AND(B358&lt;&gt;"",ISNUMBER(SEARCH(Recherche!$C$3,C358&amp;" "&amp;B358&amp;" "&amp;A358&amp;" "&amp;D358))),MAX($K$1:K357)+1,"")</f>
        <v/>
      </c>
    </row>
    <row r="359" customFormat="false" ht="15" hidden="false" customHeight="false" outlineLevel="0" collapsed="false">
      <c r="A359" s="12"/>
      <c r="B359" s="12"/>
      <c r="C359" s="17" t="str">
        <f aca="false">IF(B359="","",IFERROR(INDEX(Produits!$F$2:$F$1001,MATCH(B359,Produits!$A$2:$A$1001,0)),"⚠ code article inconnu"))</f>
        <v/>
      </c>
      <c r="D359" s="12"/>
      <c r="E359" s="23"/>
      <c r="F359" s="24"/>
      <c r="G359" s="23"/>
      <c r="H359" s="21" t="str">
        <f aca="true">IF(E359="","",ROUND((E359-TODAY())/30.4,1))</f>
        <v/>
      </c>
      <c r="I359" s="17" t="str">
        <f aca="false">IF(E359="","",IF(H359&lt;0,IF(LEFT(A359,1)="Q","Périmé (en quarantaine)","PÉRIMÉ → déplacer en zone Q"),IF(H359&lt;3,"Péremption &lt; 3 mois",IF(H359&lt;6,"Péremption &lt; 6 mois",""))))</f>
        <v/>
      </c>
      <c r="J359" s="17" t="str">
        <f aca="false">IF(A359="","",IF(COUNTIF(Emplacements!$A$2:$A$1001,A359)=0,"⚠ emplacement inconnu","OK"))</f>
        <v/>
      </c>
      <c r="K359" s="22" t="str">
        <f aca="false">IF(AND(B359&lt;&gt;"",ISNUMBER(SEARCH(Recherche!$C$3,C359&amp;" "&amp;B359&amp;" "&amp;A359&amp;" "&amp;D359))),MAX($K$1:K358)+1,"")</f>
        <v/>
      </c>
    </row>
    <row r="360" customFormat="false" ht="15" hidden="false" customHeight="false" outlineLevel="0" collapsed="false">
      <c r="A360" s="12"/>
      <c r="B360" s="12"/>
      <c r="C360" s="17" t="str">
        <f aca="false">IF(B360="","",IFERROR(INDEX(Produits!$F$2:$F$1001,MATCH(B360,Produits!$A$2:$A$1001,0)),"⚠ code article inconnu"))</f>
        <v/>
      </c>
      <c r="D360" s="12"/>
      <c r="E360" s="23"/>
      <c r="F360" s="24"/>
      <c r="G360" s="23"/>
      <c r="H360" s="21" t="str">
        <f aca="true">IF(E360="","",ROUND((E360-TODAY())/30.4,1))</f>
        <v/>
      </c>
      <c r="I360" s="17" t="str">
        <f aca="false">IF(E360="","",IF(H360&lt;0,IF(LEFT(A360,1)="Q","Périmé (en quarantaine)","PÉRIMÉ → déplacer en zone Q"),IF(H360&lt;3,"Péremption &lt; 3 mois",IF(H360&lt;6,"Péremption &lt; 6 mois",""))))</f>
        <v/>
      </c>
      <c r="J360" s="17" t="str">
        <f aca="false">IF(A360="","",IF(COUNTIF(Emplacements!$A$2:$A$1001,A360)=0,"⚠ emplacement inconnu","OK"))</f>
        <v/>
      </c>
      <c r="K360" s="22" t="str">
        <f aca="false">IF(AND(B360&lt;&gt;"",ISNUMBER(SEARCH(Recherche!$C$3,C360&amp;" "&amp;B360&amp;" "&amp;A360&amp;" "&amp;D360))),MAX($K$1:K359)+1,"")</f>
        <v/>
      </c>
    </row>
    <row r="361" customFormat="false" ht="15" hidden="false" customHeight="false" outlineLevel="0" collapsed="false">
      <c r="A361" s="12"/>
      <c r="B361" s="12"/>
      <c r="C361" s="17" t="str">
        <f aca="false">IF(B361="","",IFERROR(INDEX(Produits!$F$2:$F$1001,MATCH(B361,Produits!$A$2:$A$1001,0)),"⚠ code article inconnu"))</f>
        <v/>
      </c>
      <c r="D361" s="12"/>
      <c r="E361" s="23"/>
      <c r="F361" s="24"/>
      <c r="G361" s="23"/>
      <c r="H361" s="21" t="str">
        <f aca="true">IF(E361="","",ROUND((E361-TODAY())/30.4,1))</f>
        <v/>
      </c>
      <c r="I361" s="17" t="str">
        <f aca="false">IF(E361="","",IF(H361&lt;0,IF(LEFT(A361,1)="Q","Périmé (en quarantaine)","PÉRIMÉ → déplacer en zone Q"),IF(H361&lt;3,"Péremption &lt; 3 mois",IF(H361&lt;6,"Péremption &lt; 6 mois",""))))</f>
        <v/>
      </c>
      <c r="J361" s="17" t="str">
        <f aca="false">IF(A361="","",IF(COUNTIF(Emplacements!$A$2:$A$1001,A361)=0,"⚠ emplacement inconnu","OK"))</f>
        <v/>
      </c>
      <c r="K361" s="22" t="str">
        <f aca="false">IF(AND(B361&lt;&gt;"",ISNUMBER(SEARCH(Recherche!$C$3,C361&amp;" "&amp;B361&amp;" "&amp;A361&amp;" "&amp;D361))),MAX($K$1:K360)+1,"")</f>
        <v/>
      </c>
    </row>
    <row r="362" customFormat="false" ht="15" hidden="false" customHeight="false" outlineLevel="0" collapsed="false">
      <c r="A362" s="12"/>
      <c r="B362" s="12"/>
      <c r="C362" s="17" t="str">
        <f aca="false">IF(B362="","",IFERROR(INDEX(Produits!$F$2:$F$1001,MATCH(B362,Produits!$A$2:$A$1001,0)),"⚠ code article inconnu"))</f>
        <v/>
      </c>
      <c r="D362" s="12"/>
      <c r="E362" s="23"/>
      <c r="F362" s="24"/>
      <c r="G362" s="23"/>
      <c r="H362" s="21" t="str">
        <f aca="true">IF(E362="","",ROUND((E362-TODAY())/30.4,1))</f>
        <v/>
      </c>
      <c r="I362" s="17" t="str">
        <f aca="false">IF(E362="","",IF(H362&lt;0,IF(LEFT(A362,1)="Q","Périmé (en quarantaine)","PÉRIMÉ → déplacer en zone Q"),IF(H362&lt;3,"Péremption &lt; 3 mois",IF(H362&lt;6,"Péremption &lt; 6 mois",""))))</f>
        <v/>
      </c>
      <c r="J362" s="17" t="str">
        <f aca="false">IF(A362="","",IF(COUNTIF(Emplacements!$A$2:$A$1001,A362)=0,"⚠ emplacement inconnu","OK"))</f>
        <v/>
      </c>
      <c r="K362" s="22" t="str">
        <f aca="false">IF(AND(B362&lt;&gt;"",ISNUMBER(SEARCH(Recherche!$C$3,C362&amp;" "&amp;B362&amp;" "&amp;A362&amp;" "&amp;D362))),MAX($K$1:K361)+1,"")</f>
        <v/>
      </c>
    </row>
    <row r="363" customFormat="false" ht="15" hidden="false" customHeight="false" outlineLevel="0" collapsed="false">
      <c r="A363" s="12"/>
      <c r="B363" s="12"/>
      <c r="C363" s="17" t="str">
        <f aca="false">IF(B363="","",IFERROR(INDEX(Produits!$F$2:$F$1001,MATCH(B363,Produits!$A$2:$A$1001,0)),"⚠ code article inconnu"))</f>
        <v/>
      </c>
      <c r="D363" s="12"/>
      <c r="E363" s="23"/>
      <c r="F363" s="24"/>
      <c r="G363" s="23"/>
      <c r="H363" s="21" t="str">
        <f aca="true">IF(E363="","",ROUND((E363-TODAY())/30.4,1))</f>
        <v/>
      </c>
      <c r="I363" s="17" t="str">
        <f aca="false">IF(E363="","",IF(H363&lt;0,IF(LEFT(A363,1)="Q","Périmé (en quarantaine)","PÉRIMÉ → déplacer en zone Q"),IF(H363&lt;3,"Péremption &lt; 3 mois",IF(H363&lt;6,"Péremption &lt; 6 mois",""))))</f>
        <v/>
      </c>
      <c r="J363" s="17" t="str">
        <f aca="false">IF(A363="","",IF(COUNTIF(Emplacements!$A$2:$A$1001,A363)=0,"⚠ emplacement inconnu","OK"))</f>
        <v/>
      </c>
      <c r="K363" s="22" t="str">
        <f aca="false">IF(AND(B363&lt;&gt;"",ISNUMBER(SEARCH(Recherche!$C$3,C363&amp;" "&amp;B363&amp;" "&amp;A363&amp;" "&amp;D363))),MAX($K$1:K362)+1,"")</f>
        <v/>
      </c>
    </row>
    <row r="364" customFormat="false" ht="15" hidden="false" customHeight="false" outlineLevel="0" collapsed="false">
      <c r="A364" s="12"/>
      <c r="B364" s="12"/>
      <c r="C364" s="17" t="str">
        <f aca="false">IF(B364="","",IFERROR(INDEX(Produits!$F$2:$F$1001,MATCH(B364,Produits!$A$2:$A$1001,0)),"⚠ code article inconnu"))</f>
        <v/>
      </c>
      <c r="D364" s="12"/>
      <c r="E364" s="23"/>
      <c r="F364" s="24"/>
      <c r="G364" s="23"/>
      <c r="H364" s="21" t="str">
        <f aca="true">IF(E364="","",ROUND((E364-TODAY())/30.4,1))</f>
        <v/>
      </c>
      <c r="I364" s="17" t="str">
        <f aca="false">IF(E364="","",IF(H364&lt;0,IF(LEFT(A364,1)="Q","Périmé (en quarantaine)","PÉRIMÉ → déplacer en zone Q"),IF(H364&lt;3,"Péremption &lt; 3 mois",IF(H364&lt;6,"Péremption &lt; 6 mois",""))))</f>
        <v/>
      </c>
      <c r="J364" s="17" t="str">
        <f aca="false">IF(A364="","",IF(COUNTIF(Emplacements!$A$2:$A$1001,A364)=0,"⚠ emplacement inconnu","OK"))</f>
        <v/>
      </c>
      <c r="K364" s="22" t="str">
        <f aca="false">IF(AND(B364&lt;&gt;"",ISNUMBER(SEARCH(Recherche!$C$3,C364&amp;" "&amp;B364&amp;" "&amp;A364&amp;" "&amp;D364))),MAX($K$1:K363)+1,"")</f>
        <v/>
      </c>
    </row>
    <row r="365" customFormat="false" ht="15" hidden="false" customHeight="false" outlineLevel="0" collapsed="false">
      <c r="A365" s="12"/>
      <c r="B365" s="12"/>
      <c r="C365" s="17" t="str">
        <f aca="false">IF(B365="","",IFERROR(INDEX(Produits!$F$2:$F$1001,MATCH(B365,Produits!$A$2:$A$1001,0)),"⚠ code article inconnu"))</f>
        <v/>
      </c>
      <c r="D365" s="12"/>
      <c r="E365" s="23"/>
      <c r="F365" s="24"/>
      <c r="G365" s="23"/>
      <c r="H365" s="21" t="str">
        <f aca="true">IF(E365="","",ROUND((E365-TODAY())/30.4,1))</f>
        <v/>
      </c>
      <c r="I365" s="17" t="str">
        <f aca="false">IF(E365="","",IF(H365&lt;0,IF(LEFT(A365,1)="Q","Périmé (en quarantaine)","PÉRIMÉ → déplacer en zone Q"),IF(H365&lt;3,"Péremption &lt; 3 mois",IF(H365&lt;6,"Péremption &lt; 6 mois",""))))</f>
        <v/>
      </c>
      <c r="J365" s="17" t="str">
        <f aca="false">IF(A365="","",IF(COUNTIF(Emplacements!$A$2:$A$1001,A365)=0,"⚠ emplacement inconnu","OK"))</f>
        <v/>
      </c>
      <c r="K365" s="22" t="str">
        <f aca="false">IF(AND(B365&lt;&gt;"",ISNUMBER(SEARCH(Recherche!$C$3,C365&amp;" "&amp;B365&amp;" "&amp;A365&amp;" "&amp;D365))),MAX($K$1:K364)+1,"")</f>
        <v/>
      </c>
    </row>
    <row r="366" customFormat="false" ht="15" hidden="false" customHeight="false" outlineLevel="0" collapsed="false">
      <c r="A366" s="12"/>
      <c r="B366" s="12"/>
      <c r="C366" s="17" t="str">
        <f aca="false">IF(B366="","",IFERROR(INDEX(Produits!$F$2:$F$1001,MATCH(B366,Produits!$A$2:$A$1001,0)),"⚠ code article inconnu"))</f>
        <v/>
      </c>
      <c r="D366" s="12"/>
      <c r="E366" s="23"/>
      <c r="F366" s="24"/>
      <c r="G366" s="23"/>
      <c r="H366" s="21" t="str">
        <f aca="true">IF(E366="","",ROUND((E366-TODAY())/30.4,1))</f>
        <v/>
      </c>
      <c r="I366" s="17" t="str">
        <f aca="false">IF(E366="","",IF(H366&lt;0,IF(LEFT(A366,1)="Q","Périmé (en quarantaine)","PÉRIMÉ → déplacer en zone Q"),IF(H366&lt;3,"Péremption &lt; 3 mois",IF(H366&lt;6,"Péremption &lt; 6 mois",""))))</f>
        <v/>
      </c>
      <c r="J366" s="17" t="str">
        <f aca="false">IF(A366="","",IF(COUNTIF(Emplacements!$A$2:$A$1001,A366)=0,"⚠ emplacement inconnu","OK"))</f>
        <v/>
      </c>
      <c r="K366" s="22" t="str">
        <f aca="false">IF(AND(B366&lt;&gt;"",ISNUMBER(SEARCH(Recherche!$C$3,C366&amp;" "&amp;B366&amp;" "&amp;A366&amp;" "&amp;D366))),MAX($K$1:K365)+1,"")</f>
        <v/>
      </c>
    </row>
    <row r="367" customFormat="false" ht="15" hidden="false" customHeight="false" outlineLevel="0" collapsed="false">
      <c r="A367" s="12"/>
      <c r="B367" s="12"/>
      <c r="C367" s="17" t="str">
        <f aca="false">IF(B367="","",IFERROR(INDEX(Produits!$F$2:$F$1001,MATCH(B367,Produits!$A$2:$A$1001,0)),"⚠ code article inconnu"))</f>
        <v/>
      </c>
      <c r="D367" s="12"/>
      <c r="E367" s="23"/>
      <c r="F367" s="24"/>
      <c r="G367" s="23"/>
      <c r="H367" s="21" t="str">
        <f aca="true">IF(E367="","",ROUND((E367-TODAY())/30.4,1))</f>
        <v/>
      </c>
      <c r="I367" s="17" t="str">
        <f aca="false">IF(E367="","",IF(H367&lt;0,IF(LEFT(A367,1)="Q","Périmé (en quarantaine)","PÉRIMÉ → déplacer en zone Q"),IF(H367&lt;3,"Péremption &lt; 3 mois",IF(H367&lt;6,"Péremption &lt; 6 mois",""))))</f>
        <v/>
      </c>
      <c r="J367" s="17" t="str">
        <f aca="false">IF(A367="","",IF(COUNTIF(Emplacements!$A$2:$A$1001,A367)=0,"⚠ emplacement inconnu","OK"))</f>
        <v/>
      </c>
      <c r="K367" s="22" t="str">
        <f aca="false">IF(AND(B367&lt;&gt;"",ISNUMBER(SEARCH(Recherche!$C$3,C367&amp;" "&amp;B367&amp;" "&amp;A367&amp;" "&amp;D367))),MAX($K$1:K366)+1,"")</f>
        <v/>
      </c>
    </row>
    <row r="368" customFormat="false" ht="15" hidden="false" customHeight="false" outlineLevel="0" collapsed="false">
      <c r="A368" s="12"/>
      <c r="B368" s="12"/>
      <c r="C368" s="17" t="str">
        <f aca="false">IF(B368="","",IFERROR(INDEX(Produits!$F$2:$F$1001,MATCH(B368,Produits!$A$2:$A$1001,0)),"⚠ code article inconnu"))</f>
        <v/>
      </c>
      <c r="D368" s="12"/>
      <c r="E368" s="23"/>
      <c r="F368" s="24"/>
      <c r="G368" s="23"/>
      <c r="H368" s="21" t="str">
        <f aca="true">IF(E368="","",ROUND((E368-TODAY())/30.4,1))</f>
        <v/>
      </c>
      <c r="I368" s="17" t="str">
        <f aca="false">IF(E368="","",IF(H368&lt;0,IF(LEFT(A368,1)="Q","Périmé (en quarantaine)","PÉRIMÉ → déplacer en zone Q"),IF(H368&lt;3,"Péremption &lt; 3 mois",IF(H368&lt;6,"Péremption &lt; 6 mois",""))))</f>
        <v/>
      </c>
      <c r="J368" s="17" t="str">
        <f aca="false">IF(A368="","",IF(COUNTIF(Emplacements!$A$2:$A$1001,A368)=0,"⚠ emplacement inconnu","OK"))</f>
        <v/>
      </c>
      <c r="K368" s="22" t="str">
        <f aca="false">IF(AND(B368&lt;&gt;"",ISNUMBER(SEARCH(Recherche!$C$3,C368&amp;" "&amp;B368&amp;" "&amp;A368&amp;" "&amp;D368))),MAX($K$1:K367)+1,"")</f>
        <v/>
      </c>
    </row>
    <row r="369" customFormat="false" ht="15" hidden="false" customHeight="false" outlineLevel="0" collapsed="false">
      <c r="A369" s="12"/>
      <c r="B369" s="12"/>
      <c r="C369" s="17" t="str">
        <f aca="false">IF(B369="","",IFERROR(INDEX(Produits!$F$2:$F$1001,MATCH(B369,Produits!$A$2:$A$1001,0)),"⚠ code article inconnu"))</f>
        <v/>
      </c>
      <c r="D369" s="12"/>
      <c r="E369" s="23"/>
      <c r="F369" s="24"/>
      <c r="G369" s="23"/>
      <c r="H369" s="21" t="str">
        <f aca="true">IF(E369="","",ROUND((E369-TODAY())/30.4,1))</f>
        <v/>
      </c>
      <c r="I369" s="17" t="str">
        <f aca="false">IF(E369="","",IF(H369&lt;0,IF(LEFT(A369,1)="Q","Périmé (en quarantaine)","PÉRIMÉ → déplacer en zone Q"),IF(H369&lt;3,"Péremption &lt; 3 mois",IF(H369&lt;6,"Péremption &lt; 6 mois",""))))</f>
        <v/>
      </c>
      <c r="J369" s="17" t="str">
        <f aca="false">IF(A369="","",IF(COUNTIF(Emplacements!$A$2:$A$1001,A369)=0,"⚠ emplacement inconnu","OK"))</f>
        <v/>
      </c>
      <c r="K369" s="22" t="str">
        <f aca="false">IF(AND(B369&lt;&gt;"",ISNUMBER(SEARCH(Recherche!$C$3,C369&amp;" "&amp;B369&amp;" "&amp;A369&amp;" "&amp;D369))),MAX($K$1:K368)+1,"")</f>
        <v/>
      </c>
    </row>
    <row r="370" customFormat="false" ht="15" hidden="false" customHeight="false" outlineLevel="0" collapsed="false">
      <c r="A370" s="12"/>
      <c r="B370" s="12"/>
      <c r="C370" s="17" t="str">
        <f aca="false">IF(B370="","",IFERROR(INDEX(Produits!$F$2:$F$1001,MATCH(B370,Produits!$A$2:$A$1001,0)),"⚠ code article inconnu"))</f>
        <v/>
      </c>
      <c r="D370" s="12"/>
      <c r="E370" s="23"/>
      <c r="F370" s="24"/>
      <c r="G370" s="23"/>
      <c r="H370" s="21" t="str">
        <f aca="true">IF(E370="","",ROUND((E370-TODAY())/30.4,1))</f>
        <v/>
      </c>
      <c r="I370" s="17" t="str">
        <f aca="false">IF(E370="","",IF(H370&lt;0,IF(LEFT(A370,1)="Q","Périmé (en quarantaine)","PÉRIMÉ → déplacer en zone Q"),IF(H370&lt;3,"Péremption &lt; 3 mois",IF(H370&lt;6,"Péremption &lt; 6 mois",""))))</f>
        <v/>
      </c>
      <c r="J370" s="17" t="str">
        <f aca="false">IF(A370="","",IF(COUNTIF(Emplacements!$A$2:$A$1001,A370)=0,"⚠ emplacement inconnu","OK"))</f>
        <v/>
      </c>
      <c r="K370" s="22" t="str">
        <f aca="false">IF(AND(B370&lt;&gt;"",ISNUMBER(SEARCH(Recherche!$C$3,C370&amp;" "&amp;B370&amp;" "&amp;A370&amp;" "&amp;D370))),MAX($K$1:K369)+1,"")</f>
        <v/>
      </c>
    </row>
    <row r="371" customFormat="false" ht="15" hidden="false" customHeight="false" outlineLevel="0" collapsed="false">
      <c r="A371" s="12"/>
      <c r="B371" s="12"/>
      <c r="C371" s="17" t="str">
        <f aca="false">IF(B371="","",IFERROR(INDEX(Produits!$F$2:$F$1001,MATCH(B371,Produits!$A$2:$A$1001,0)),"⚠ code article inconnu"))</f>
        <v/>
      </c>
      <c r="D371" s="12"/>
      <c r="E371" s="23"/>
      <c r="F371" s="24"/>
      <c r="G371" s="23"/>
      <c r="H371" s="21" t="str">
        <f aca="true">IF(E371="","",ROUND((E371-TODAY())/30.4,1))</f>
        <v/>
      </c>
      <c r="I371" s="17" t="str">
        <f aca="false">IF(E371="","",IF(H371&lt;0,IF(LEFT(A371,1)="Q","Périmé (en quarantaine)","PÉRIMÉ → déplacer en zone Q"),IF(H371&lt;3,"Péremption &lt; 3 mois",IF(H371&lt;6,"Péremption &lt; 6 mois",""))))</f>
        <v/>
      </c>
      <c r="J371" s="17" t="str">
        <f aca="false">IF(A371="","",IF(COUNTIF(Emplacements!$A$2:$A$1001,A371)=0,"⚠ emplacement inconnu","OK"))</f>
        <v/>
      </c>
      <c r="K371" s="22" t="str">
        <f aca="false">IF(AND(B371&lt;&gt;"",ISNUMBER(SEARCH(Recherche!$C$3,C371&amp;" "&amp;B371&amp;" "&amp;A371&amp;" "&amp;D371))),MAX($K$1:K370)+1,"")</f>
        <v/>
      </c>
    </row>
    <row r="372" customFormat="false" ht="15" hidden="false" customHeight="false" outlineLevel="0" collapsed="false">
      <c r="A372" s="12"/>
      <c r="B372" s="12"/>
      <c r="C372" s="17" t="str">
        <f aca="false">IF(B372="","",IFERROR(INDEX(Produits!$F$2:$F$1001,MATCH(B372,Produits!$A$2:$A$1001,0)),"⚠ code article inconnu"))</f>
        <v/>
      </c>
      <c r="D372" s="12"/>
      <c r="E372" s="23"/>
      <c r="F372" s="24"/>
      <c r="G372" s="23"/>
      <c r="H372" s="21" t="str">
        <f aca="true">IF(E372="","",ROUND((E372-TODAY())/30.4,1))</f>
        <v/>
      </c>
      <c r="I372" s="17" t="str">
        <f aca="false">IF(E372="","",IF(H372&lt;0,IF(LEFT(A372,1)="Q","Périmé (en quarantaine)","PÉRIMÉ → déplacer en zone Q"),IF(H372&lt;3,"Péremption &lt; 3 mois",IF(H372&lt;6,"Péremption &lt; 6 mois",""))))</f>
        <v/>
      </c>
      <c r="J372" s="17" t="str">
        <f aca="false">IF(A372="","",IF(COUNTIF(Emplacements!$A$2:$A$1001,A372)=0,"⚠ emplacement inconnu","OK"))</f>
        <v/>
      </c>
      <c r="K372" s="22" t="str">
        <f aca="false">IF(AND(B372&lt;&gt;"",ISNUMBER(SEARCH(Recherche!$C$3,C372&amp;" "&amp;B372&amp;" "&amp;A372&amp;" "&amp;D372))),MAX($K$1:K371)+1,"")</f>
        <v/>
      </c>
    </row>
    <row r="373" customFormat="false" ht="15" hidden="false" customHeight="false" outlineLevel="0" collapsed="false">
      <c r="A373" s="12"/>
      <c r="B373" s="12"/>
      <c r="C373" s="17" t="str">
        <f aca="false">IF(B373="","",IFERROR(INDEX(Produits!$F$2:$F$1001,MATCH(B373,Produits!$A$2:$A$1001,0)),"⚠ code article inconnu"))</f>
        <v/>
      </c>
      <c r="D373" s="12"/>
      <c r="E373" s="23"/>
      <c r="F373" s="24"/>
      <c r="G373" s="23"/>
      <c r="H373" s="21" t="str">
        <f aca="true">IF(E373="","",ROUND((E373-TODAY())/30.4,1))</f>
        <v/>
      </c>
      <c r="I373" s="17" t="str">
        <f aca="false">IF(E373="","",IF(H373&lt;0,IF(LEFT(A373,1)="Q","Périmé (en quarantaine)","PÉRIMÉ → déplacer en zone Q"),IF(H373&lt;3,"Péremption &lt; 3 mois",IF(H373&lt;6,"Péremption &lt; 6 mois",""))))</f>
        <v/>
      </c>
      <c r="J373" s="17" t="str">
        <f aca="false">IF(A373="","",IF(COUNTIF(Emplacements!$A$2:$A$1001,A373)=0,"⚠ emplacement inconnu","OK"))</f>
        <v/>
      </c>
      <c r="K373" s="22" t="str">
        <f aca="false">IF(AND(B373&lt;&gt;"",ISNUMBER(SEARCH(Recherche!$C$3,C373&amp;" "&amp;B373&amp;" "&amp;A373&amp;" "&amp;D373))),MAX($K$1:K372)+1,"")</f>
        <v/>
      </c>
    </row>
    <row r="374" customFormat="false" ht="15" hidden="false" customHeight="false" outlineLevel="0" collapsed="false">
      <c r="A374" s="12"/>
      <c r="B374" s="12"/>
      <c r="C374" s="17" t="str">
        <f aca="false">IF(B374="","",IFERROR(INDEX(Produits!$F$2:$F$1001,MATCH(B374,Produits!$A$2:$A$1001,0)),"⚠ code article inconnu"))</f>
        <v/>
      </c>
      <c r="D374" s="12"/>
      <c r="E374" s="23"/>
      <c r="F374" s="24"/>
      <c r="G374" s="23"/>
      <c r="H374" s="21" t="str">
        <f aca="true">IF(E374="","",ROUND((E374-TODAY())/30.4,1))</f>
        <v/>
      </c>
      <c r="I374" s="17" t="str">
        <f aca="false">IF(E374="","",IF(H374&lt;0,IF(LEFT(A374,1)="Q","Périmé (en quarantaine)","PÉRIMÉ → déplacer en zone Q"),IF(H374&lt;3,"Péremption &lt; 3 mois",IF(H374&lt;6,"Péremption &lt; 6 mois",""))))</f>
        <v/>
      </c>
      <c r="J374" s="17" t="str">
        <f aca="false">IF(A374="","",IF(COUNTIF(Emplacements!$A$2:$A$1001,A374)=0,"⚠ emplacement inconnu","OK"))</f>
        <v/>
      </c>
      <c r="K374" s="22" t="str">
        <f aca="false">IF(AND(B374&lt;&gt;"",ISNUMBER(SEARCH(Recherche!$C$3,C374&amp;" "&amp;B374&amp;" "&amp;A374&amp;" "&amp;D374))),MAX($K$1:K373)+1,"")</f>
        <v/>
      </c>
    </row>
    <row r="375" customFormat="false" ht="15" hidden="false" customHeight="false" outlineLevel="0" collapsed="false">
      <c r="A375" s="12"/>
      <c r="B375" s="12"/>
      <c r="C375" s="17" t="str">
        <f aca="false">IF(B375="","",IFERROR(INDEX(Produits!$F$2:$F$1001,MATCH(B375,Produits!$A$2:$A$1001,0)),"⚠ code article inconnu"))</f>
        <v/>
      </c>
      <c r="D375" s="12"/>
      <c r="E375" s="23"/>
      <c r="F375" s="24"/>
      <c r="G375" s="23"/>
      <c r="H375" s="21" t="str">
        <f aca="true">IF(E375="","",ROUND((E375-TODAY())/30.4,1))</f>
        <v/>
      </c>
      <c r="I375" s="17" t="str">
        <f aca="false">IF(E375="","",IF(H375&lt;0,IF(LEFT(A375,1)="Q","Périmé (en quarantaine)","PÉRIMÉ → déplacer en zone Q"),IF(H375&lt;3,"Péremption &lt; 3 mois",IF(H375&lt;6,"Péremption &lt; 6 mois",""))))</f>
        <v/>
      </c>
      <c r="J375" s="17" t="str">
        <f aca="false">IF(A375="","",IF(COUNTIF(Emplacements!$A$2:$A$1001,A375)=0,"⚠ emplacement inconnu","OK"))</f>
        <v/>
      </c>
      <c r="K375" s="22" t="str">
        <f aca="false">IF(AND(B375&lt;&gt;"",ISNUMBER(SEARCH(Recherche!$C$3,C375&amp;" "&amp;B375&amp;" "&amp;A375&amp;" "&amp;D375))),MAX($K$1:K374)+1,"")</f>
        <v/>
      </c>
    </row>
    <row r="376" customFormat="false" ht="15" hidden="false" customHeight="false" outlineLevel="0" collapsed="false">
      <c r="A376" s="12"/>
      <c r="B376" s="12"/>
      <c r="C376" s="17" t="str">
        <f aca="false">IF(B376="","",IFERROR(INDEX(Produits!$F$2:$F$1001,MATCH(B376,Produits!$A$2:$A$1001,0)),"⚠ code article inconnu"))</f>
        <v/>
      </c>
      <c r="D376" s="12"/>
      <c r="E376" s="23"/>
      <c r="F376" s="24"/>
      <c r="G376" s="23"/>
      <c r="H376" s="21" t="str">
        <f aca="true">IF(E376="","",ROUND((E376-TODAY())/30.4,1))</f>
        <v/>
      </c>
      <c r="I376" s="17" t="str">
        <f aca="false">IF(E376="","",IF(H376&lt;0,IF(LEFT(A376,1)="Q","Périmé (en quarantaine)","PÉRIMÉ → déplacer en zone Q"),IF(H376&lt;3,"Péremption &lt; 3 mois",IF(H376&lt;6,"Péremption &lt; 6 mois",""))))</f>
        <v/>
      </c>
      <c r="J376" s="17" t="str">
        <f aca="false">IF(A376="","",IF(COUNTIF(Emplacements!$A$2:$A$1001,A376)=0,"⚠ emplacement inconnu","OK"))</f>
        <v/>
      </c>
      <c r="K376" s="22" t="str">
        <f aca="false">IF(AND(B376&lt;&gt;"",ISNUMBER(SEARCH(Recherche!$C$3,C376&amp;" "&amp;B376&amp;" "&amp;A376&amp;" "&amp;D376))),MAX($K$1:K375)+1,"")</f>
        <v/>
      </c>
    </row>
    <row r="377" customFormat="false" ht="15" hidden="false" customHeight="false" outlineLevel="0" collapsed="false">
      <c r="A377" s="12"/>
      <c r="B377" s="12"/>
      <c r="C377" s="17" t="str">
        <f aca="false">IF(B377="","",IFERROR(INDEX(Produits!$F$2:$F$1001,MATCH(B377,Produits!$A$2:$A$1001,0)),"⚠ code article inconnu"))</f>
        <v/>
      </c>
      <c r="D377" s="12"/>
      <c r="E377" s="23"/>
      <c r="F377" s="24"/>
      <c r="G377" s="23"/>
      <c r="H377" s="21" t="str">
        <f aca="true">IF(E377="","",ROUND((E377-TODAY())/30.4,1))</f>
        <v/>
      </c>
      <c r="I377" s="17" t="str">
        <f aca="false">IF(E377="","",IF(H377&lt;0,IF(LEFT(A377,1)="Q","Périmé (en quarantaine)","PÉRIMÉ → déplacer en zone Q"),IF(H377&lt;3,"Péremption &lt; 3 mois",IF(H377&lt;6,"Péremption &lt; 6 mois",""))))</f>
        <v/>
      </c>
      <c r="J377" s="17" t="str">
        <f aca="false">IF(A377="","",IF(COUNTIF(Emplacements!$A$2:$A$1001,A377)=0,"⚠ emplacement inconnu","OK"))</f>
        <v/>
      </c>
      <c r="K377" s="22" t="str">
        <f aca="false">IF(AND(B377&lt;&gt;"",ISNUMBER(SEARCH(Recherche!$C$3,C377&amp;" "&amp;B377&amp;" "&amp;A377&amp;" "&amp;D377))),MAX($K$1:K376)+1,"")</f>
        <v/>
      </c>
    </row>
    <row r="378" customFormat="false" ht="15" hidden="false" customHeight="false" outlineLevel="0" collapsed="false">
      <c r="A378" s="12"/>
      <c r="B378" s="12"/>
      <c r="C378" s="17" t="str">
        <f aca="false">IF(B378="","",IFERROR(INDEX(Produits!$F$2:$F$1001,MATCH(B378,Produits!$A$2:$A$1001,0)),"⚠ code article inconnu"))</f>
        <v/>
      </c>
      <c r="D378" s="12"/>
      <c r="E378" s="23"/>
      <c r="F378" s="24"/>
      <c r="G378" s="23"/>
      <c r="H378" s="21" t="str">
        <f aca="true">IF(E378="","",ROUND((E378-TODAY())/30.4,1))</f>
        <v/>
      </c>
      <c r="I378" s="17" t="str">
        <f aca="false">IF(E378="","",IF(H378&lt;0,IF(LEFT(A378,1)="Q","Périmé (en quarantaine)","PÉRIMÉ → déplacer en zone Q"),IF(H378&lt;3,"Péremption &lt; 3 mois",IF(H378&lt;6,"Péremption &lt; 6 mois",""))))</f>
        <v/>
      </c>
      <c r="J378" s="17" t="str">
        <f aca="false">IF(A378="","",IF(COUNTIF(Emplacements!$A$2:$A$1001,A378)=0,"⚠ emplacement inconnu","OK"))</f>
        <v/>
      </c>
      <c r="K378" s="22" t="str">
        <f aca="false">IF(AND(B378&lt;&gt;"",ISNUMBER(SEARCH(Recherche!$C$3,C378&amp;" "&amp;B378&amp;" "&amp;A378&amp;" "&amp;D378))),MAX($K$1:K377)+1,"")</f>
        <v/>
      </c>
    </row>
    <row r="379" customFormat="false" ht="15" hidden="false" customHeight="false" outlineLevel="0" collapsed="false">
      <c r="A379" s="12"/>
      <c r="B379" s="12"/>
      <c r="C379" s="17" t="str">
        <f aca="false">IF(B379="","",IFERROR(INDEX(Produits!$F$2:$F$1001,MATCH(B379,Produits!$A$2:$A$1001,0)),"⚠ code article inconnu"))</f>
        <v/>
      </c>
      <c r="D379" s="12"/>
      <c r="E379" s="23"/>
      <c r="F379" s="24"/>
      <c r="G379" s="23"/>
      <c r="H379" s="21" t="str">
        <f aca="true">IF(E379="","",ROUND((E379-TODAY())/30.4,1))</f>
        <v/>
      </c>
      <c r="I379" s="17" t="str">
        <f aca="false">IF(E379="","",IF(H379&lt;0,IF(LEFT(A379,1)="Q","Périmé (en quarantaine)","PÉRIMÉ → déplacer en zone Q"),IF(H379&lt;3,"Péremption &lt; 3 mois",IF(H379&lt;6,"Péremption &lt; 6 mois",""))))</f>
        <v/>
      </c>
      <c r="J379" s="17" t="str">
        <f aca="false">IF(A379="","",IF(COUNTIF(Emplacements!$A$2:$A$1001,A379)=0,"⚠ emplacement inconnu","OK"))</f>
        <v/>
      </c>
      <c r="K379" s="22" t="str">
        <f aca="false">IF(AND(B379&lt;&gt;"",ISNUMBER(SEARCH(Recherche!$C$3,C379&amp;" "&amp;B379&amp;" "&amp;A379&amp;" "&amp;D379))),MAX($K$1:K378)+1,"")</f>
        <v/>
      </c>
    </row>
    <row r="380" customFormat="false" ht="15" hidden="false" customHeight="false" outlineLevel="0" collapsed="false">
      <c r="A380" s="12"/>
      <c r="B380" s="12"/>
      <c r="C380" s="17" t="str">
        <f aca="false">IF(B380="","",IFERROR(INDEX(Produits!$F$2:$F$1001,MATCH(B380,Produits!$A$2:$A$1001,0)),"⚠ code article inconnu"))</f>
        <v/>
      </c>
      <c r="D380" s="12"/>
      <c r="E380" s="23"/>
      <c r="F380" s="24"/>
      <c r="G380" s="23"/>
      <c r="H380" s="21" t="str">
        <f aca="true">IF(E380="","",ROUND((E380-TODAY())/30.4,1))</f>
        <v/>
      </c>
      <c r="I380" s="17" t="str">
        <f aca="false">IF(E380="","",IF(H380&lt;0,IF(LEFT(A380,1)="Q","Périmé (en quarantaine)","PÉRIMÉ → déplacer en zone Q"),IF(H380&lt;3,"Péremption &lt; 3 mois",IF(H380&lt;6,"Péremption &lt; 6 mois",""))))</f>
        <v/>
      </c>
      <c r="J380" s="17" t="str">
        <f aca="false">IF(A380="","",IF(COUNTIF(Emplacements!$A$2:$A$1001,A380)=0,"⚠ emplacement inconnu","OK"))</f>
        <v/>
      </c>
      <c r="K380" s="22" t="str">
        <f aca="false">IF(AND(B380&lt;&gt;"",ISNUMBER(SEARCH(Recherche!$C$3,C380&amp;" "&amp;B380&amp;" "&amp;A380&amp;" "&amp;D380))),MAX($K$1:K379)+1,"")</f>
        <v/>
      </c>
    </row>
    <row r="381" customFormat="false" ht="15" hidden="false" customHeight="false" outlineLevel="0" collapsed="false">
      <c r="A381" s="12"/>
      <c r="B381" s="12"/>
      <c r="C381" s="17" t="str">
        <f aca="false">IF(B381="","",IFERROR(INDEX(Produits!$F$2:$F$1001,MATCH(B381,Produits!$A$2:$A$1001,0)),"⚠ code article inconnu"))</f>
        <v/>
      </c>
      <c r="D381" s="12"/>
      <c r="E381" s="23"/>
      <c r="F381" s="24"/>
      <c r="G381" s="23"/>
      <c r="H381" s="21" t="str">
        <f aca="true">IF(E381="","",ROUND((E381-TODAY())/30.4,1))</f>
        <v/>
      </c>
      <c r="I381" s="17" t="str">
        <f aca="false">IF(E381="","",IF(H381&lt;0,IF(LEFT(A381,1)="Q","Périmé (en quarantaine)","PÉRIMÉ → déplacer en zone Q"),IF(H381&lt;3,"Péremption &lt; 3 mois",IF(H381&lt;6,"Péremption &lt; 6 mois",""))))</f>
        <v/>
      </c>
      <c r="J381" s="17" t="str">
        <f aca="false">IF(A381="","",IF(COUNTIF(Emplacements!$A$2:$A$1001,A381)=0,"⚠ emplacement inconnu","OK"))</f>
        <v/>
      </c>
      <c r="K381" s="22" t="str">
        <f aca="false">IF(AND(B381&lt;&gt;"",ISNUMBER(SEARCH(Recherche!$C$3,C381&amp;" "&amp;B381&amp;" "&amp;A381&amp;" "&amp;D381))),MAX($K$1:K380)+1,"")</f>
        <v/>
      </c>
    </row>
    <row r="382" customFormat="false" ht="15" hidden="false" customHeight="false" outlineLevel="0" collapsed="false">
      <c r="A382" s="12"/>
      <c r="B382" s="12"/>
      <c r="C382" s="17" t="str">
        <f aca="false">IF(B382="","",IFERROR(INDEX(Produits!$F$2:$F$1001,MATCH(B382,Produits!$A$2:$A$1001,0)),"⚠ code article inconnu"))</f>
        <v/>
      </c>
      <c r="D382" s="12"/>
      <c r="E382" s="23"/>
      <c r="F382" s="24"/>
      <c r="G382" s="23"/>
      <c r="H382" s="21" t="str">
        <f aca="true">IF(E382="","",ROUND((E382-TODAY())/30.4,1))</f>
        <v/>
      </c>
      <c r="I382" s="17" t="str">
        <f aca="false">IF(E382="","",IF(H382&lt;0,IF(LEFT(A382,1)="Q","Périmé (en quarantaine)","PÉRIMÉ → déplacer en zone Q"),IF(H382&lt;3,"Péremption &lt; 3 mois",IF(H382&lt;6,"Péremption &lt; 6 mois",""))))</f>
        <v/>
      </c>
      <c r="J382" s="17" t="str">
        <f aca="false">IF(A382="","",IF(COUNTIF(Emplacements!$A$2:$A$1001,A382)=0,"⚠ emplacement inconnu","OK"))</f>
        <v/>
      </c>
      <c r="K382" s="22" t="str">
        <f aca="false">IF(AND(B382&lt;&gt;"",ISNUMBER(SEARCH(Recherche!$C$3,C382&amp;" "&amp;B382&amp;" "&amp;A382&amp;" "&amp;D382))),MAX($K$1:K381)+1,"")</f>
        <v/>
      </c>
    </row>
    <row r="383" customFormat="false" ht="15" hidden="false" customHeight="false" outlineLevel="0" collapsed="false">
      <c r="A383" s="12"/>
      <c r="B383" s="12"/>
      <c r="C383" s="17" t="str">
        <f aca="false">IF(B383="","",IFERROR(INDEX(Produits!$F$2:$F$1001,MATCH(B383,Produits!$A$2:$A$1001,0)),"⚠ code article inconnu"))</f>
        <v/>
      </c>
      <c r="D383" s="12"/>
      <c r="E383" s="23"/>
      <c r="F383" s="24"/>
      <c r="G383" s="23"/>
      <c r="H383" s="21" t="str">
        <f aca="true">IF(E383="","",ROUND((E383-TODAY())/30.4,1))</f>
        <v/>
      </c>
      <c r="I383" s="17" t="str">
        <f aca="false">IF(E383="","",IF(H383&lt;0,IF(LEFT(A383,1)="Q","Périmé (en quarantaine)","PÉRIMÉ → déplacer en zone Q"),IF(H383&lt;3,"Péremption &lt; 3 mois",IF(H383&lt;6,"Péremption &lt; 6 mois",""))))</f>
        <v/>
      </c>
      <c r="J383" s="17" t="str">
        <f aca="false">IF(A383="","",IF(COUNTIF(Emplacements!$A$2:$A$1001,A383)=0,"⚠ emplacement inconnu","OK"))</f>
        <v/>
      </c>
      <c r="K383" s="22" t="str">
        <f aca="false">IF(AND(B383&lt;&gt;"",ISNUMBER(SEARCH(Recherche!$C$3,C383&amp;" "&amp;B383&amp;" "&amp;A383&amp;" "&amp;D383))),MAX($K$1:K382)+1,"")</f>
        <v/>
      </c>
    </row>
    <row r="384" customFormat="false" ht="15" hidden="false" customHeight="false" outlineLevel="0" collapsed="false">
      <c r="A384" s="12"/>
      <c r="B384" s="12"/>
      <c r="C384" s="17" t="str">
        <f aca="false">IF(B384="","",IFERROR(INDEX(Produits!$F$2:$F$1001,MATCH(B384,Produits!$A$2:$A$1001,0)),"⚠ code article inconnu"))</f>
        <v/>
      </c>
      <c r="D384" s="12"/>
      <c r="E384" s="23"/>
      <c r="F384" s="24"/>
      <c r="G384" s="23"/>
      <c r="H384" s="21" t="str">
        <f aca="true">IF(E384="","",ROUND((E384-TODAY())/30.4,1))</f>
        <v/>
      </c>
      <c r="I384" s="17" t="str">
        <f aca="false">IF(E384="","",IF(H384&lt;0,IF(LEFT(A384,1)="Q","Périmé (en quarantaine)","PÉRIMÉ → déplacer en zone Q"),IF(H384&lt;3,"Péremption &lt; 3 mois",IF(H384&lt;6,"Péremption &lt; 6 mois",""))))</f>
        <v/>
      </c>
      <c r="J384" s="17" t="str">
        <f aca="false">IF(A384="","",IF(COUNTIF(Emplacements!$A$2:$A$1001,A384)=0,"⚠ emplacement inconnu","OK"))</f>
        <v/>
      </c>
      <c r="K384" s="22" t="str">
        <f aca="false">IF(AND(B384&lt;&gt;"",ISNUMBER(SEARCH(Recherche!$C$3,C384&amp;" "&amp;B384&amp;" "&amp;A384&amp;" "&amp;D384))),MAX($K$1:K383)+1,"")</f>
        <v/>
      </c>
    </row>
    <row r="385" customFormat="false" ht="15" hidden="false" customHeight="false" outlineLevel="0" collapsed="false">
      <c r="A385" s="12"/>
      <c r="B385" s="12"/>
      <c r="C385" s="17" t="str">
        <f aca="false">IF(B385="","",IFERROR(INDEX(Produits!$F$2:$F$1001,MATCH(B385,Produits!$A$2:$A$1001,0)),"⚠ code article inconnu"))</f>
        <v/>
      </c>
      <c r="D385" s="12"/>
      <c r="E385" s="23"/>
      <c r="F385" s="24"/>
      <c r="G385" s="23"/>
      <c r="H385" s="21" t="str">
        <f aca="true">IF(E385="","",ROUND((E385-TODAY())/30.4,1))</f>
        <v/>
      </c>
      <c r="I385" s="17" t="str">
        <f aca="false">IF(E385="","",IF(H385&lt;0,IF(LEFT(A385,1)="Q","Périmé (en quarantaine)","PÉRIMÉ → déplacer en zone Q"),IF(H385&lt;3,"Péremption &lt; 3 mois",IF(H385&lt;6,"Péremption &lt; 6 mois",""))))</f>
        <v/>
      </c>
      <c r="J385" s="17" t="str">
        <f aca="false">IF(A385="","",IF(COUNTIF(Emplacements!$A$2:$A$1001,A385)=0,"⚠ emplacement inconnu","OK"))</f>
        <v/>
      </c>
      <c r="K385" s="22" t="str">
        <f aca="false">IF(AND(B385&lt;&gt;"",ISNUMBER(SEARCH(Recherche!$C$3,C385&amp;" "&amp;B385&amp;" "&amp;A385&amp;" "&amp;D385))),MAX($K$1:K384)+1,"")</f>
        <v/>
      </c>
    </row>
    <row r="386" customFormat="false" ht="15" hidden="false" customHeight="false" outlineLevel="0" collapsed="false">
      <c r="A386" s="12"/>
      <c r="B386" s="12"/>
      <c r="C386" s="17" t="str">
        <f aca="false">IF(B386="","",IFERROR(INDEX(Produits!$F$2:$F$1001,MATCH(B386,Produits!$A$2:$A$1001,0)),"⚠ code article inconnu"))</f>
        <v/>
      </c>
      <c r="D386" s="12"/>
      <c r="E386" s="23"/>
      <c r="F386" s="24"/>
      <c r="G386" s="23"/>
      <c r="H386" s="21" t="str">
        <f aca="true">IF(E386="","",ROUND((E386-TODAY())/30.4,1))</f>
        <v/>
      </c>
      <c r="I386" s="17" t="str">
        <f aca="false">IF(E386="","",IF(H386&lt;0,IF(LEFT(A386,1)="Q","Périmé (en quarantaine)","PÉRIMÉ → déplacer en zone Q"),IF(H386&lt;3,"Péremption &lt; 3 mois",IF(H386&lt;6,"Péremption &lt; 6 mois",""))))</f>
        <v/>
      </c>
      <c r="J386" s="17" t="str">
        <f aca="false">IF(A386="","",IF(COUNTIF(Emplacements!$A$2:$A$1001,A386)=0,"⚠ emplacement inconnu","OK"))</f>
        <v/>
      </c>
      <c r="K386" s="22" t="str">
        <f aca="false">IF(AND(B386&lt;&gt;"",ISNUMBER(SEARCH(Recherche!$C$3,C386&amp;" "&amp;B386&amp;" "&amp;A386&amp;" "&amp;D386))),MAX($K$1:K385)+1,"")</f>
        <v/>
      </c>
    </row>
    <row r="387" customFormat="false" ht="15" hidden="false" customHeight="false" outlineLevel="0" collapsed="false">
      <c r="A387" s="12"/>
      <c r="B387" s="12"/>
      <c r="C387" s="17" t="str">
        <f aca="false">IF(B387="","",IFERROR(INDEX(Produits!$F$2:$F$1001,MATCH(B387,Produits!$A$2:$A$1001,0)),"⚠ code article inconnu"))</f>
        <v/>
      </c>
      <c r="D387" s="12"/>
      <c r="E387" s="23"/>
      <c r="F387" s="24"/>
      <c r="G387" s="23"/>
      <c r="H387" s="21" t="str">
        <f aca="true">IF(E387="","",ROUND((E387-TODAY())/30.4,1))</f>
        <v/>
      </c>
      <c r="I387" s="17" t="str">
        <f aca="false">IF(E387="","",IF(H387&lt;0,IF(LEFT(A387,1)="Q","Périmé (en quarantaine)","PÉRIMÉ → déplacer en zone Q"),IF(H387&lt;3,"Péremption &lt; 3 mois",IF(H387&lt;6,"Péremption &lt; 6 mois",""))))</f>
        <v/>
      </c>
      <c r="J387" s="17" t="str">
        <f aca="false">IF(A387="","",IF(COUNTIF(Emplacements!$A$2:$A$1001,A387)=0,"⚠ emplacement inconnu","OK"))</f>
        <v/>
      </c>
      <c r="K387" s="22" t="str">
        <f aca="false">IF(AND(B387&lt;&gt;"",ISNUMBER(SEARCH(Recherche!$C$3,C387&amp;" "&amp;B387&amp;" "&amp;A387&amp;" "&amp;D387))),MAX($K$1:K386)+1,"")</f>
        <v/>
      </c>
    </row>
    <row r="388" customFormat="false" ht="15" hidden="false" customHeight="false" outlineLevel="0" collapsed="false">
      <c r="A388" s="12"/>
      <c r="B388" s="12"/>
      <c r="C388" s="17" t="str">
        <f aca="false">IF(B388="","",IFERROR(INDEX(Produits!$F$2:$F$1001,MATCH(B388,Produits!$A$2:$A$1001,0)),"⚠ code article inconnu"))</f>
        <v/>
      </c>
      <c r="D388" s="12"/>
      <c r="E388" s="23"/>
      <c r="F388" s="24"/>
      <c r="G388" s="23"/>
      <c r="H388" s="21" t="str">
        <f aca="true">IF(E388="","",ROUND((E388-TODAY())/30.4,1))</f>
        <v/>
      </c>
      <c r="I388" s="17" t="str">
        <f aca="false">IF(E388="","",IF(H388&lt;0,IF(LEFT(A388,1)="Q","Périmé (en quarantaine)","PÉRIMÉ → déplacer en zone Q"),IF(H388&lt;3,"Péremption &lt; 3 mois",IF(H388&lt;6,"Péremption &lt; 6 mois",""))))</f>
        <v/>
      </c>
      <c r="J388" s="17" t="str">
        <f aca="false">IF(A388="","",IF(COUNTIF(Emplacements!$A$2:$A$1001,A388)=0,"⚠ emplacement inconnu","OK"))</f>
        <v/>
      </c>
      <c r="K388" s="22" t="str">
        <f aca="false">IF(AND(B388&lt;&gt;"",ISNUMBER(SEARCH(Recherche!$C$3,C388&amp;" "&amp;B388&amp;" "&amp;A388&amp;" "&amp;D388))),MAX($K$1:K387)+1,"")</f>
        <v/>
      </c>
    </row>
    <row r="389" customFormat="false" ht="15" hidden="false" customHeight="false" outlineLevel="0" collapsed="false">
      <c r="A389" s="12"/>
      <c r="B389" s="12"/>
      <c r="C389" s="17" t="str">
        <f aca="false">IF(B389="","",IFERROR(INDEX(Produits!$F$2:$F$1001,MATCH(B389,Produits!$A$2:$A$1001,0)),"⚠ code article inconnu"))</f>
        <v/>
      </c>
      <c r="D389" s="12"/>
      <c r="E389" s="23"/>
      <c r="F389" s="24"/>
      <c r="G389" s="23"/>
      <c r="H389" s="21" t="str">
        <f aca="true">IF(E389="","",ROUND((E389-TODAY())/30.4,1))</f>
        <v/>
      </c>
      <c r="I389" s="17" t="str">
        <f aca="false">IF(E389="","",IF(H389&lt;0,IF(LEFT(A389,1)="Q","Périmé (en quarantaine)","PÉRIMÉ → déplacer en zone Q"),IF(H389&lt;3,"Péremption &lt; 3 mois",IF(H389&lt;6,"Péremption &lt; 6 mois",""))))</f>
        <v/>
      </c>
      <c r="J389" s="17" t="str">
        <f aca="false">IF(A389="","",IF(COUNTIF(Emplacements!$A$2:$A$1001,A389)=0,"⚠ emplacement inconnu","OK"))</f>
        <v/>
      </c>
      <c r="K389" s="22" t="str">
        <f aca="false">IF(AND(B389&lt;&gt;"",ISNUMBER(SEARCH(Recherche!$C$3,C389&amp;" "&amp;B389&amp;" "&amp;A389&amp;" "&amp;D389))),MAX($K$1:K388)+1,"")</f>
        <v/>
      </c>
    </row>
    <row r="390" customFormat="false" ht="15" hidden="false" customHeight="false" outlineLevel="0" collapsed="false">
      <c r="A390" s="12"/>
      <c r="B390" s="12"/>
      <c r="C390" s="17" t="str">
        <f aca="false">IF(B390="","",IFERROR(INDEX(Produits!$F$2:$F$1001,MATCH(B390,Produits!$A$2:$A$1001,0)),"⚠ code article inconnu"))</f>
        <v/>
      </c>
      <c r="D390" s="12"/>
      <c r="E390" s="23"/>
      <c r="F390" s="24"/>
      <c r="G390" s="23"/>
      <c r="H390" s="21" t="str">
        <f aca="true">IF(E390="","",ROUND((E390-TODAY())/30.4,1))</f>
        <v/>
      </c>
      <c r="I390" s="17" t="str">
        <f aca="false">IF(E390="","",IF(H390&lt;0,IF(LEFT(A390,1)="Q","Périmé (en quarantaine)","PÉRIMÉ → déplacer en zone Q"),IF(H390&lt;3,"Péremption &lt; 3 mois",IF(H390&lt;6,"Péremption &lt; 6 mois",""))))</f>
        <v/>
      </c>
      <c r="J390" s="17" t="str">
        <f aca="false">IF(A390="","",IF(COUNTIF(Emplacements!$A$2:$A$1001,A390)=0,"⚠ emplacement inconnu","OK"))</f>
        <v/>
      </c>
      <c r="K390" s="22" t="str">
        <f aca="false">IF(AND(B390&lt;&gt;"",ISNUMBER(SEARCH(Recherche!$C$3,C390&amp;" "&amp;B390&amp;" "&amp;A390&amp;" "&amp;D390))),MAX($K$1:K389)+1,"")</f>
        <v/>
      </c>
    </row>
    <row r="391" customFormat="false" ht="15" hidden="false" customHeight="false" outlineLevel="0" collapsed="false">
      <c r="A391" s="12"/>
      <c r="B391" s="12"/>
      <c r="C391" s="17" t="str">
        <f aca="false">IF(B391="","",IFERROR(INDEX(Produits!$F$2:$F$1001,MATCH(B391,Produits!$A$2:$A$1001,0)),"⚠ code article inconnu"))</f>
        <v/>
      </c>
      <c r="D391" s="12"/>
      <c r="E391" s="23"/>
      <c r="F391" s="24"/>
      <c r="G391" s="23"/>
      <c r="H391" s="21" t="str">
        <f aca="true">IF(E391="","",ROUND((E391-TODAY())/30.4,1))</f>
        <v/>
      </c>
      <c r="I391" s="17" t="str">
        <f aca="false">IF(E391="","",IF(H391&lt;0,IF(LEFT(A391,1)="Q","Périmé (en quarantaine)","PÉRIMÉ → déplacer en zone Q"),IF(H391&lt;3,"Péremption &lt; 3 mois",IF(H391&lt;6,"Péremption &lt; 6 mois",""))))</f>
        <v/>
      </c>
      <c r="J391" s="17" t="str">
        <f aca="false">IF(A391="","",IF(COUNTIF(Emplacements!$A$2:$A$1001,A391)=0,"⚠ emplacement inconnu","OK"))</f>
        <v/>
      </c>
      <c r="K391" s="22" t="str">
        <f aca="false">IF(AND(B391&lt;&gt;"",ISNUMBER(SEARCH(Recherche!$C$3,C391&amp;" "&amp;B391&amp;" "&amp;A391&amp;" "&amp;D391))),MAX($K$1:K390)+1,"")</f>
        <v/>
      </c>
    </row>
    <row r="392" customFormat="false" ht="15" hidden="false" customHeight="false" outlineLevel="0" collapsed="false">
      <c r="A392" s="12"/>
      <c r="B392" s="12"/>
      <c r="C392" s="17" t="str">
        <f aca="false">IF(B392="","",IFERROR(INDEX(Produits!$F$2:$F$1001,MATCH(B392,Produits!$A$2:$A$1001,0)),"⚠ code article inconnu"))</f>
        <v/>
      </c>
      <c r="D392" s="12"/>
      <c r="E392" s="23"/>
      <c r="F392" s="24"/>
      <c r="G392" s="23"/>
      <c r="H392" s="21" t="str">
        <f aca="true">IF(E392="","",ROUND((E392-TODAY())/30.4,1))</f>
        <v/>
      </c>
      <c r="I392" s="17" t="str">
        <f aca="false">IF(E392="","",IF(H392&lt;0,IF(LEFT(A392,1)="Q","Périmé (en quarantaine)","PÉRIMÉ → déplacer en zone Q"),IF(H392&lt;3,"Péremption &lt; 3 mois",IF(H392&lt;6,"Péremption &lt; 6 mois",""))))</f>
        <v/>
      </c>
      <c r="J392" s="17" t="str">
        <f aca="false">IF(A392="","",IF(COUNTIF(Emplacements!$A$2:$A$1001,A392)=0,"⚠ emplacement inconnu","OK"))</f>
        <v/>
      </c>
      <c r="K392" s="22" t="str">
        <f aca="false">IF(AND(B392&lt;&gt;"",ISNUMBER(SEARCH(Recherche!$C$3,C392&amp;" "&amp;B392&amp;" "&amp;A392&amp;" "&amp;D392))),MAX($K$1:K391)+1,"")</f>
        <v/>
      </c>
    </row>
    <row r="393" customFormat="false" ht="15" hidden="false" customHeight="false" outlineLevel="0" collapsed="false">
      <c r="A393" s="12"/>
      <c r="B393" s="12"/>
      <c r="C393" s="17" t="str">
        <f aca="false">IF(B393="","",IFERROR(INDEX(Produits!$F$2:$F$1001,MATCH(B393,Produits!$A$2:$A$1001,0)),"⚠ code article inconnu"))</f>
        <v/>
      </c>
      <c r="D393" s="12"/>
      <c r="E393" s="23"/>
      <c r="F393" s="24"/>
      <c r="G393" s="23"/>
      <c r="H393" s="21" t="str">
        <f aca="true">IF(E393="","",ROUND((E393-TODAY())/30.4,1))</f>
        <v/>
      </c>
      <c r="I393" s="17" t="str">
        <f aca="false">IF(E393="","",IF(H393&lt;0,IF(LEFT(A393,1)="Q","Périmé (en quarantaine)","PÉRIMÉ → déplacer en zone Q"),IF(H393&lt;3,"Péremption &lt; 3 mois",IF(H393&lt;6,"Péremption &lt; 6 mois",""))))</f>
        <v/>
      </c>
      <c r="J393" s="17" t="str">
        <f aca="false">IF(A393="","",IF(COUNTIF(Emplacements!$A$2:$A$1001,A393)=0,"⚠ emplacement inconnu","OK"))</f>
        <v/>
      </c>
      <c r="K393" s="22" t="str">
        <f aca="false">IF(AND(B393&lt;&gt;"",ISNUMBER(SEARCH(Recherche!$C$3,C393&amp;" "&amp;B393&amp;" "&amp;A393&amp;" "&amp;D393))),MAX($K$1:K392)+1,"")</f>
        <v/>
      </c>
    </row>
    <row r="394" customFormat="false" ht="15" hidden="false" customHeight="false" outlineLevel="0" collapsed="false">
      <c r="A394" s="12"/>
      <c r="B394" s="12"/>
      <c r="C394" s="17" t="str">
        <f aca="false">IF(B394="","",IFERROR(INDEX(Produits!$F$2:$F$1001,MATCH(B394,Produits!$A$2:$A$1001,0)),"⚠ code article inconnu"))</f>
        <v/>
      </c>
      <c r="D394" s="12"/>
      <c r="E394" s="23"/>
      <c r="F394" s="24"/>
      <c r="G394" s="23"/>
      <c r="H394" s="21" t="str">
        <f aca="true">IF(E394="","",ROUND((E394-TODAY())/30.4,1))</f>
        <v/>
      </c>
      <c r="I394" s="17" t="str">
        <f aca="false">IF(E394="","",IF(H394&lt;0,IF(LEFT(A394,1)="Q","Périmé (en quarantaine)","PÉRIMÉ → déplacer en zone Q"),IF(H394&lt;3,"Péremption &lt; 3 mois",IF(H394&lt;6,"Péremption &lt; 6 mois",""))))</f>
        <v/>
      </c>
      <c r="J394" s="17" t="str">
        <f aca="false">IF(A394="","",IF(COUNTIF(Emplacements!$A$2:$A$1001,A394)=0,"⚠ emplacement inconnu","OK"))</f>
        <v/>
      </c>
      <c r="K394" s="22" t="str">
        <f aca="false">IF(AND(B394&lt;&gt;"",ISNUMBER(SEARCH(Recherche!$C$3,C394&amp;" "&amp;B394&amp;" "&amp;A394&amp;" "&amp;D394))),MAX($K$1:K393)+1,"")</f>
        <v/>
      </c>
    </row>
    <row r="395" customFormat="false" ht="15" hidden="false" customHeight="false" outlineLevel="0" collapsed="false">
      <c r="A395" s="12"/>
      <c r="B395" s="12"/>
      <c r="C395" s="17" t="str">
        <f aca="false">IF(B395="","",IFERROR(INDEX(Produits!$F$2:$F$1001,MATCH(B395,Produits!$A$2:$A$1001,0)),"⚠ code article inconnu"))</f>
        <v/>
      </c>
      <c r="D395" s="12"/>
      <c r="E395" s="23"/>
      <c r="F395" s="24"/>
      <c r="G395" s="23"/>
      <c r="H395" s="21" t="str">
        <f aca="true">IF(E395="","",ROUND((E395-TODAY())/30.4,1))</f>
        <v/>
      </c>
      <c r="I395" s="17" t="str">
        <f aca="false">IF(E395="","",IF(H395&lt;0,IF(LEFT(A395,1)="Q","Périmé (en quarantaine)","PÉRIMÉ → déplacer en zone Q"),IF(H395&lt;3,"Péremption &lt; 3 mois",IF(H395&lt;6,"Péremption &lt; 6 mois",""))))</f>
        <v/>
      </c>
      <c r="J395" s="17" t="str">
        <f aca="false">IF(A395="","",IF(COUNTIF(Emplacements!$A$2:$A$1001,A395)=0,"⚠ emplacement inconnu","OK"))</f>
        <v/>
      </c>
      <c r="K395" s="22" t="str">
        <f aca="false">IF(AND(B395&lt;&gt;"",ISNUMBER(SEARCH(Recherche!$C$3,C395&amp;" "&amp;B395&amp;" "&amp;A395&amp;" "&amp;D395))),MAX($K$1:K394)+1,"")</f>
        <v/>
      </c>
    </row>
    <row r="396" customFormat="false" ht="15" hidden="false" customHeight="false" outlineLevel="0" collapsed="false">
      <c r="A396" s="12"/>
      <c r="B396" s="12"/>
      <c r="C396" s="17" t="str">
        <f aca="false">IF(B396="","",IFERROR(INDEX(Produits!$F$2:$F$1001,MATCH(B396,Produits!$A$2:$A$1001,0)),"⚠ code article inconnu"))</f>
        <v/>
      </c>
      <c r="D396" s="12"/>
      <c r="E396" s="23"/>
      <c r="F396" s="24"/>
      <c r="G396" s="23"/>
      <c r="H396" s="21" t="str">
        <f aca="true">IF(E396="","",ROUND((E396-TODAY())/30.4,1))</f>
        <v/>
      </c>
      <c r="I396" s="17" t="str">
        <f aca="false">IF(E396="","",IF(H396&lt;0,IF(LEFT(A396,1)="Q","Périmé (en quarantaine)","PÉRIMÉ → déplacer en zone Q"),IF(H396&lt;3,"Péremption &lt; 3 mois",IF(H396&lt;6,"Péremption &lt; 6 mois",""))))</f>
        <v/>
      </c>
      <c r="J396" s="17" t="str">
        <f aca="false">IF(A396="","",IF(COUNTIF(Emplacements!$A$2:$A$1001,A396)=0,"⚠ emplacement inconnu","OK"))</f>
        <v/>
      </c>
      <c r="K396" s="22" t="str">
        <f aca="false">IF(AND(B396&lt;&gt;"",ISNUMBER(SEARCH(Recherche!$C$3,C396&amp;" "&amp;B396&amp;" "&amp;A396&amp;" "&amp;D396))),MAX($K$1:K395)+1,"")</f>
        <v/>
      </c>
    </row>
    <row r="397" customFormat="false" ht="15" hidden="false" customHeight="false" outlineLevel="0" collapsed="false">
      <c r="A397" s="12"/>
      <c r="B397" s="12"/>
      <c r="C397" s="17" t="str">
        <f aca="false">IF(B397="","",IFERROR(INDEX(Produits!$F$2:$F$1001,MATCH(B397,Produits!$A$2:$A$1001,0)),"⚠ code article inconnu"))</f>
        <v/>
      </c>
      <c r="D397" s="12"/>
      <c r="E397" s="23"/>
      <c r="F397" s="24"/>
      <c r="G397" s="23"/>
      <c r="H397" s="21" t="str">
        <f aca="true">IF(E397="","",ROUND((E397-TODAY())/30.4,1))</f>
        <v/>
      </c>
      <c r="I397" s="17" t="str">
        <f aca="false">IF(E397="","",IF(H397&lt;0,IF(LEFT(A397,1)="Q","Périmé (en quarantaine)","PÉRIMÉ → déplacer en zone Q"),IF(H397&lt;3,"Péremption &lt; 3 mois",IF(H397&lt;6,"Péremption &lt; 6 mois",""))))</f>
        <v/>
      </c>
      <c r="J397" s="17" t="str">
        <f aca="false">IF(A397="","",IF(COUNTIF(Emplacements!$A$2:$A$1001,A397)=0,"⚠ emplacement inconnu","OK"))</f>
        <v/>
      </c>
      <c r="K397" s="22" t="str">
        <f aca="false">IF(AND(B397&lt;&gt;"",ISNUMBER(SEARCH(Recherche!$C$3,C397&amp;" "&amp;B397&amp;" "&amp;A397&amp;" "&amp;D397))),MAX($K$1:K396)+1,"")</f>
        <v/>
      </c>
    </row>
    <row r="398" customFormat="false" ht="15" hidden="false" customHeight="false" outlineLevel="0" collapsed="false">
      <c r="A398" s="12"/>
      <c r="B398" s="12"/>
      <c r="C398" s="17" t="str">
        <f aca="false">IF(B398="","",IFERROR(INDEX(Produits!$F$2:$F$1001,MATCH(B398,Produits!$A$2:$A$1001,0)),"⚠ code article inconnu"))</f>
        <v/>
      </c>
      <c r="D398" s="12"/>
      <c r="E398" s="23"/>
      <c r="F398" s="24"/>
      <c r="G398" s="23"/>
      <c r="H398" s="21" t="str">
        <f aca="true">IF(E398="","",ROUND((E398-TODAY())/30.4,1))</f>
        <v/>
      </c>
      <c r="I398" s="17" t="str">
        <f aca="false">IF(E398="","",IF(H398&lt;0,IF(LEFT(A398,1)="Q","Périmé (en quarantaine)","PÉRIMÉ → déplacer en zone Q"),IF(H398&lt;3,"Péremption &lt; 3 mois",IF(H398&lt;6,"Péremption &lt; 6 mois",""))))</f>
        <v/>
      </c>
      <c r="J398" s="17" t="str">
        <f aca="false">IF(A398="","",IF(COUNTIF(Emplacements!$A$2:$A$1001,A398)=0,"⚠ emplacement inconnu","OK"))</f>
        <v/>
      </c>
      <c r="K398" s="22" t="str">
        <f aca="false">IF(AND(B398&lt;&gt;"",ISNUMBER(SEARCH(Recherche!$C$3,C398&amp;" "&amp;B398&amp;" "&amp;A398&amp;" "&amp;D398))),MAX($K$1:K397)+1,"")</f>
        <v/>
      </c>
    </row>
    <row r="399" customFormat="false" ht="15" hidden="false" customHeight="false" outlineLevel="0" collapsed="false">
      <c r="A399" s="12"/>
      <c r="B399" s="12"/>
      <c r="C399" s="17" t="str">
        <f aca="false">IF(B399="","",IFERROR(INDEX(Produits!$F$2:$F$1001,MATCH(B399,Produits!$A$2:$A$1001,0)),"⚠ code article inconnu"))</f>
        <v/>
      </c>
      <c r="D399" s="12"/>
      <c r="E399" s="23"/>
      <c r="F399" s="24"/>
      <c r="G399" s="23"/>
      <c r="H399" s="21" t="str">
        <f aca="true">IF(E399="","",ROUND((E399-TODAY())/30.4,1))</f>
        <v/>
      </c>
      <c r="I399" s="17" t="str">
        <f aca="false">IF(E399="","",IF(H399&lt;0,IF(LEFT(A399,1)="Q","Périmé (en quarantaine)","PÉRIMÉ → déplacer en zone Q"),IF(H399&lt;3,"Péremption &lt; 3 mois",IF(H399&lt;6,"Péremption &lt; 6 mois",""))))</f>
        <v/>
      </c>
      <c r="J399" s="17" t="str">
        <f aca="false">IF(A399="","",IF(COUNTIF(Emplacements!$A$2:$A$1001,A399)=0,"⚠ emplacement inconnu","OK"))</f>
        <v/>
      </c>
      <c r="K399" s="22" t="str">
        <f aca="false">IF(AND(B399&lt;&gt;"",ISNUMBER(SEARCH(Recherche!$C$3,C399&amp;" "&amp;B399&amp;" "&amp;A399&amp;" "&amp;D399))),MAX($K$1:K398)+1,"")</f>
        <v/>
      </c>
    </row>
    <row r="400" customFormat="false" ht="15" hidden="false" customHeight="false" outlineLevel="0" collapsed="false">
      <c r="A400" s="12"/>
      <c r="B400" s="12"/>
      <c r="C400" s="17" t="str">
        <f aca="false">IF(B400="","",IFERROR(INDEX(Produits!$F$2:$F$1001,MATCH(B400,Produits!$A$2:$A$1001,0)),"⚠ code article inconnu"))</f>
        <v/>
      </c>
      <c r="D400" s="12"/>
      <c r="E400" s="23"/>
      <c r="F400" s="24"/>
      <c r="G400" s="23"/>
      <c r="H400" s="21" t="str">
        <f aca="true">IF(E400="","",ROUND((E400-TODAY())/30.4,1))</f>
        <v/>
      </c>
      <c r="I400" s="17" t="str">
        <f aca="false">IF(E400="","",IF(H400&lt;0,IF(LEFT(A400,1)="Q","Périmé (en quarantaine)","PÉRIMÉ → déplacer en zone Q"),IF(H400&lt;3,"Péremption &lt; 3 mois",IF(H400&lt;6,"Péremption &lt; 6 mois",""))))</f>
        <v/>
      </c>
      <c r="J400" s="17" t="str">
        <f aca="false">IF(A400="","",IF(COUNTIF(Emplacements!$A$2:$A$1001,A400)=0,"⚠ emplacement inconnu","OK"))</f>
        <v/>
      </c>
      <c r="K400" s="22" t="str">
        <f aca="false">IF(AND(B400&lt;&gt;"",ISNUMBER(SEARCH(Recherche!$C$3,C400&amp;" "&amp;B400&amp;" "&amp;A400&amp;" "&amp;D400))),MAX($K$1:K399)+1,"")</f>
        <v/>
      </c>
    </row>
    <row r="401" customFormat="false" ht="15" hidden="false" customHeight="false" outlineLevel="0" collapsed="false">
      <c r="A401" s="12"/>
      <c r="B401" s="12"/>
      <c r="C401" s="17" t="str">
        <f aca="false">IF(B401="","",IFERROR(INDEX(Produits!$F$2:$F$1001,MATCH(B401,Produits!$A$2:$A$1001,0)),"⚠ code article inconnu"))</f>
        <v/>
      </c>
      <c r="D401" s="12"/>
      <c r="E401" s="23"/>
      <c r="F401" s="24"/>
      <c r="G401" s="23"/>
      <c r="H401" s="21" t="str">
        <f aca="true">IF(E401="","",ROUND((E401-TODAY())/30.4,1))</f>
        <v/>
      </c>
      <c r="I401" s="17" t="str">
        <f aca="false">IF(E401="","",IF(H401&lt;0,IF(LEFT(A401,1)="Q","Périmé (en quarantaine)","PÉRIMÉ → déplacer en zone Q"),IF(H401&lt;3,"Péremption &lt; 3 mois",IF(H401&lt;6,"Péremption &lt; 6 mois",""))))</f>
        <v/>
      </c>
      <c r="J401" s="17" t="str">
        <f aca="false">IF(A401="","",IF(COUNTIF(Emplacements!$A$2:$A$1001,A401)=0,"⚠ emplacement inconnu","OK"))</f>
        <v/>
      </c>
      <c r="K401" s="22" t="str">
        <f aca="false">IF(AND(B401&lt;&gt;"",ISNUMBER(SEARCH(Recherche!$C$3,C401&amp;" "&amp;B401&amp;" "&amp;A401&amp;" "&amp;D401))),MAX($K$1:K400)+1,"")</f>
        <v/>
      </c>
    </row>
    <row r="402" customFormat="false" ht="15" hidden="false" customHeight="false" outlineLevel="0" collapsed="false">
      <c r="A402" s="12"/>
      <c r="B402" s="12"/>
      <c r="C402" s="17" t="str">
        <f aca="false">IF(B402="","",IFERROR(INDEX(Produits!$F$2:$F$1001,MATCH(B402,Produits!$A$2:$A$1001,0)),"⚠ code article inconnu"))</f>
        <v/>
      </c>
      <c r="D402" s="12"/>
      <c r="E402" s="23"/>
      <c r="F402" s="24"/>
      <c r="G402" s="23"/>
      <c r="H402" s="21" t="str">
        <f aca="true">IF(E402="","",ROUND((E402-TODAY())/30.4,1))</f>
        <v/>
      </c>
      <c r="I402" s="17" t="str">
        <f aca="false">IF(E402="","",IF(H402&lt;0,IF(LEFT(A402,1)="Q","Périmé (en quarantaine)","PÉRIMÉ → déplacer en zone Q"),IF(H402&lt;3,"Péremption &lt; 3 mois",IF(H402&lt;6,"Péremption &lt; 6 mois",""))))</f>
        <v/>
      </c>
      <c r="J402" s="17" t="str">
        <f aca="false">IF(A402="","",IF(COUNTIF(Emplacements!$A$2:$A$1001,A402)=0,"⚠ emplacement inconnu","OK"))</f>
        <v/>
      </c>
      <c r="K402" s="22" t="str">
        <f aca="false">IF(AND(B402&lt;&gt;"",ISNUMBER(SEARCH(Recherche!$C$3,C402&amp;" "&amp;B402&amp;" "&amp;A402&amp;" "&amp;D402))),MAX($K$1:K401)+1,"")</f>
        <v/>
      </c>
    </row>
    <row r="403" customFormat="false" ht="15" hidden="false" customHeight="false" outlineLevel="0" collapsed="false">
      <c r="A403" s="12"/>
      <c r="B403" s="12"/>
      <c r="C403" s="17" t="str">
        <f aca="false">IF(B403="","",IFERROR(INDEX(Produits!$F$2:$F$1001,MATCH(B403,Produits!$A$2:$A$1001,0)),"⚠ code article inconnu"))</f>
        <v/>
      </c>
      <c r="D403" s="12"/>
      <c r="E403" s="23"/>
      <c r="F403" s="24"/>
      <c r="G403" s="23"/>
      <c r="H403" s="21" t="str">
        <f aca="true">IF(E403="","",ROUND((E403-TODAY())/30.4,1))</f>
        <v/>
      </c>
      <c r="I403" s="17" t="str">
        <f aca="false">IF(E403="","",IF(H403&lt;0,IF(LEFT(A403,1)="Q","Périmé (en quarantaine)","PÉRIMÉ → déplacer en zone Q"),IF(H403&lt;3,"Péremption &lt; 3 mois",IF(H403&lt;6,"Péremption &lt; 6 mois",""))))</f>
        <v/>
      </c>
      <c r="J403" s="17" t="str">
        <f aca="false">IF(A403="","",IF(COUNTIF(Emplacements!$A$2:$A$1001,A403)=0,"⚠ emplacement inconnu","OK"))</f>
        <v/>
      </c>
      <c r="K403" s="22" t="str">
        <f aca="false">IF(AND(B403&lt;&gt;"",ISNUMBER(SEARCH(Recherche!$C$3,C403&amp;" "&amp;B403&amp;" "&amp;A403&amp;" "&amp;D403))),MAX($K$1:K402)+1,"")</f>
        <v/>
      </c>
    </row>
    <row r="404" customFormat="false" ht="15" hidden="false" customHeight="false" outlineLevel="0" collapsed="false">
      <c r="A404" s="12"/>
      <c r="B404" s="12"/>
      <c r="C404" s="17" t="str">
        <f aca="false">IF(B404="","",IFERROR(INDEX(Produits!$F$2:$F$1001,MATCH(B404,Produits!$A$2:$A$1001,0)),"⚠ code article inconnu"))</f>
        <v/>
      </c>
      <c r="D404" s="12"/>
      <c r="E404" s="23"/>
      <c r="F404" s="24"/>
      <c r="G404" s="23"/>
      <c r="H404" s="21" t="str">
        <f aca="true">IF(E404="","",ROUND((E404-TODAY())/30.4,1))</f>
        <v/>
      </c>
      <c r="I404" s="17" t="str">
        <f aca="false">IF(E404="","",IF(H404&lt;0,IF(LEFT(A404,1)="Q","Périmé (en quarantaine)","PÉRIMÉ → déplacer en zone Q"),IF(H404&lt;3,"Péremption &lt; 3 mois",IF(H404&lt;6,"Péremption &lt; 6 mois",""))))</f>
        <v/>
      </c>
      <c r="J404" s="17" t="str">
        <f aca="false">IF(A404="","",IF(COUNTIF(Emplacements!$A$2:$A$1001,A404)=0,"⚠ emplacement inconnu","OK"))</f>
        <v/>
      </c>
      <c r="K404" s="22" t="str">
        <f aca="false">IF(AND(B404&lt;&gt;"",ISNUMBER(SEARCH(Recherche!$C$3,C404&amp;" "&amp;B404&amp;" "&amp;A404&amp;" "&amp;D404))),MAX($K$1:K403)+1,"")</f>
        <v/>
      </c>
    </row>
    <row r="405" customFormat="false" ht="15" hidden="false" customHeight="false" outlineLevel="0" collapsed="false">
      <c r="A405" s="12"/>
      <c r="B405" s="12"/>
      <c r="C405" s="17" t="str">
        <f aca="false">IF(B405="","",IFERROR(INDEX(Produits!$F$2:$F$1001,MATCH(B405,Produits!$A$2:$A$1001,0)),"⚠ code article inconnu"))</f>
        <v/>
      </c>
      <c r="D405" s="12"/>
      <c r="E405" s="23"/>
      <c r="F405" s="24"/>
      <c r="G405" s="23"/>
      <c r="H405" s="21" t="str">
        <f aca="true">IF(E405="","",ROUND((E405-TODAY())/30.4,1))</f>
        <v/>
      </c>
      <c r="I405" s="17" t="str">
        <f aca="false">IF(E405="","",IF(H405&lt;0,IF(LEFT(A405,1)="Q","Périmé (en quarantaine)","PÉRIMÉ → déplacer en zone Q"),IF(H405&lt;3,"Péremption &lt; 3 mois",IF(H405&lt;6,"Péremption &lt; 6 mois",""))))</f>
        <v/>
      </c>
      <c r="J405" s="17" t="str">
        <f aca="false">IF(A405="","",IF(COUNTIF(Emplacements!$A$2:$A$1001,A405)=0,"⚠ emplacement inconnu","OK"))</f>
        <v/>
      </c>
      <c r="K405" s="22" t="str">
        <f aca="false">IF(AND(B405&lt;&gt;"",ISNUMBER(SEARCH(Recherche!$C$3,C405&amp;" "&amp;B405&amp;" "&amp;A405&amp;" "&amp;D405))),MAX($K$1:K404)+1,"")</f>
        <v/>
      </c>
    </row>
    <row r="406" customFormat="false" ht="15" hidden="false" customHeight="false" outlineLevel="0" collapsed="false">
      <c r="A406" s="12"/>
      <c r="B406" s="12"/>
      <c r="C406" s="17" t="str">
        <f aca="false">IF(B406="","",IFERROR(INDEX(Produits!$F$2:$F$1001,MATCH(B406,Produits!$A$2:$A$1001,0)),"⚠ code article inconnu"))</f>
        <v/>
      </c>
      <c r="D406" s="12"/>
      <c r="E406" s="23"/>
      <c r="F406" s="24"/>
      <c r="G406" s="23"/>
      <c r="H406" s="21" t="str">
        <f aca="true">IF(E406="","",ROUND((E406-TODAY())/30.4,1))</f>
        <v/>
      </c>
      <c r="I406" s="17" t="str">
        <f aca="false">IF(E406="","",IF(H406&lt;0,IF(LEFT(A406,1)="Q","Périmé (en quarantaine)","PÉRIMÉ → déplacer en zone Q"),IF(H406&lt;3,"Péremption &lt; 3 mois",IF(H406&lt;6,"Péremption &lt; 6 mois",""))))</f>
        <v/>
      </c>
      <c r="J406" s="17" t="str">
        <f aca="false">IF(A406="","",IF(COUNTIF(Emplacements!$A$2:$A$1001,A406)=0,"⚠ emplacement inconnu","OK"))</f>
        <v/>
      </c>
      <c r="K406" s="22" t="str">
        <f aca="false">IF(AND(B406&lt;&gt;"",ISNUMBER(SEARCH(Recherche!$C$3,C406&amp;" "&amp;B406&amp;" "&amp;A406&amp;" "&amp;D406))),MAX($K$1:K405)+1,"")</f>
        <v/>
      </c>
    </row>
    <row r="407" customFormat="false" ht="15" hidden="false" customHeight="false" outlineLevel="0" collapsed="false">
      <c r="A407" s="12"/>
      <c r="B407" s="12"/>
      <c r="C407" s="17" t="str">
        <f aca="false">IF(B407="","",IFERROR(INDEX(Produits!$F$2:$F$1001,MATCH(B407,Produits!$A$2:$A$1001,0)),"⚠ code article inconnu"))</f>
        <v/>
      </c>
      <c r="D407" s="12"/>
      <c r="E407" s="23"/>
      <c r="F407" s="24"/>
      <c r="G407" s="23"/>
      <c r="H407" s="21" t="str">
        <f aca="true">IF(E407="","",ROUND((E407-TODAY())/30.4,1))</f>
        <v/>
      </c>
      <c r="I407" s="17" t="str">
        <f aca="false">IF(E407="","",IF(H407&lt;0,IF(LEFT(A407,1)="Q","Périmé (en quarantaine)","PÉRIMÉ → déplacer en zone Q"),IF(H407&lt;3,"Péremption &lt; 3 mois",IF(H407&lt;6,"Péremption &lt; 6 mois",""))))</f>
        <v/>
      </c>
      <c r="J407" s="17" t="str">
        <f aca="false">IF(A407="","",IF(COUNTIF(Emplacements!$A$2:$A$1001,A407)=0,"⚠ emplacement inconnu","OK"))</f>
        <v/>
      </c>
      <c r="K407" s="22" t="str">
        <f aca="false">IF(AND(B407&lt;&gt;"",ISNUMBER(SEARCH(Recherche!$C$3,C407&amp;" "&amp;B407&amp;" "&amp;A407&amp;" "&amp;D407))),MAX($K$1:K406)+1,"")</f>
        <v/>
      </c>
    </row>
    <row r="408" customFormat="false" ht="15" hidden="false" customHeight="false" outlineLevel="0" collapsed="false">
      <c r="A408" s="12"/>
      <c r="B408" s="12"/>
      <c r="C408" s="17" t="str">
        <f aca="false">IF(B408="","",IFERROR(INDEX(Produits!$F$2:$F$1001,MATCH(B408,Produits!$A$2:$A$1001,0)),"⚠ code article inconnu"))</f>
        <v/>
      </c>
      <c r="D408" s="12"/>
      <c r="E408" s="23"/>
      <c r="F408" s="24"/>
      <c r="G408" s="23"/>
      <c r="H408" s="21" t="str">
        <f aca="true">IF(E408="","",ROUND((E408-TODAY())/30.4,1))</f>
        <v/>
      </c>
      <c r="I408" s="17" t="str">
        <f aca="false">IF(E408="","",IF(H408&lt;0,IF(LEFT(A408,1)="Q","Périmé (en quarantaine)","PÉRIMÉ → déplacer en zone Q"),IF(H408&lt;3,"Péremption &lt; 3 mois",IF(H408&lt;6,"Péremption &lt; 6 mois",""))))</f>
        <v/>
      </c>
      <c r="J408" s="17" t="str">
        <f aca="false">IF(A408="","",IF(COUNTIF(Emplacements!$A$2:$A$1001,A408)=0,"⚠ emplacement inconnu","OK"))</f>
        <v/>
      </c>
      <c r="K408" s="22" t="str">
        <f aca="false">IF(AND(B408&lt;&gt;"",ISNUMBER(SEARCH(Recherche!$C$3,C408&amp;" "&amp;B408&amp;" "&amp;A408&amp;" "&amp;D408))),MAX($K$1:K407)+1,"")</f>
        <v/>
      </c>
    </row>
    <row r="409" customFormat="false" ht="15" hidden="false" customHeight="false" outlineLevel="0" collapsed="false">
      <c r="A409" s="12"/>
      <c r="B409" s="12"/>
      <c r="C409" s="17" t="str">
        <f aca="false">IF(B409="","",IFERROR(INDEX(Produits!$F$2:$F$1001,MATCH(B409,Produits!$A$2:$A$1001,0)),"⚠ code article inconnu"))</f>
        <v/>
      </c>
      <c r="D409" s="12"/>
      <c r="E409" s="23"/>
      <c r="F409" s="24"/>
      <c r="G409" s="23"/>
      <c r="H409" s="21" t="str">
        <f aca="true">IF(E409="","",ROUND((E409-TODAY())/30.4,1))</f>
        <v/>
      </c>
      <c r="I409" s="17" t="str">
        <f aca="false">IF(E409="","",IF(H409&lt;0,IF(LEFT(A409,1)="Q","Périmé (en quarantaine)","PÉRIMÉ → déplacer en zone Q"),IF(H409&lt;3,"Péremption &lt; 3 mois",IF(H409&lt;6,"Péremption &lt; 6 mois",""))))</f>
        <v/>
      </c>
      <c r="J409" s="17" t="str">
        <f aca="false">IF(A409="","",IF(COUNTIF(Emplacements!$A$2:$A$1001,A409)=0,"⚠ emplacement inconnu","OK"))</f>
        <v/>
      </c>
      <c r="K409" s="22" t="str">
        <f aca="false">IF(AND(B409&lt;&gt;"",ISNUMBER(SEARCH(Recherche!$C$3,C409&amp;" "&amp;B409&amp;" "&amp;A409&amp;" "&amp;D409))),MAX($K$1:K408)+1,"")</f>
        <v/>
      </c>
    </row>
    <row r="410" customFormat="false" ht="15" hidden="false" customHeight="false" outlineLevel="0" collapsed="false">
      <c r="A410" s="12"/>
      <c r="B410" s="12"/>
      <c r="C410" s="17" t="str">
        <f aca="false">IF(B410="","",IFERROR(INDEX(Produits!$F$2:$F$1001,MATCH(B410,Produits!$A$2:$A$1001,0)),"⚠ code article inconnu"))</f>
        <v/>
      </c>
      <c r="D410" s="12"/>
      <c r="E410" s="23"/>
      <c r="F410" s="24"/>
      <c r="G410" s="23"/>
      <c r="H410" s="21" t="str">
        <f aca="true">IF(E410="","",ROUND((E410-TODAY())/30.4,1))</f>
        <v/>
      </c>
      <c r="I410" s="17" t="str">
        <f aca="false">IF(E410="","",IF(H410&lt;0,IF(LEFT(A410,1)="Q","Périmé (en quarantaine)","PÉRIMÉ → déplacer en zone Q"),IF(H410&lt;3,"Péremption &lt; 3 mois",IF(H410&lt;6,"Péremption &lt; 6 mois",""))))</f>
        <v/>
      </c>
      <c r="J410" s="17" t="str">
        <f aca="false">IF(A410="","",IF(COUNTIF(Emplacements!$A$2:$A$1001,A410)=0,"⚠ emplacement inconnu","OK"))</f>
        <v/>
      </c>
      <c r="K410" s="22" t="str">
        <f aca="false">IF(AND(B410&lt;&gt;"",ISNUMBER(SEARCH(Recherche!$C$3,C410&amp;" "&amp;B410&amp;" "&amp;A410&amp;" "&amp;D410))),MAX($K$1:K409)+1,"")</f>
        <v/>
      </c>
    </row>
    <row r="411" customFormat="false" ht="15" hidden="false" customHeight="false" outlineLevel="0" collapsed="false">
      <c r="A411" s="12"/>
      <c r="B411" s="12"/>
      <c r="C411" s="17" t="str">
        <f aca="false">IF(B411="","",IFERROR(INDEX(Produits!$F$2:$F$1001,MATCH(B411,Produits!$A$2:$A$1001,0)),"⚠ code article inconnu"))</f>
        <v/>
      </c>
      <c r="D411" s="12"/>
      <c r="E411" s="23"/>
      <c r="F411" s="24"/>
      <c r="G411" s="23"/>
      <c r="H411" s="21" t="str">
        <f aca="true">IF(E411="","",ROUND((E411-TODAY())/30.4,1))</f>
        <v/>
      </c>
      <c r="I411" s="17" t="str">
        <f aca="false">IF(E411="","",IF(H411&lt;0,IF(LEFT(A411,1)="Q","Périmé (en quarantaine)","PÉRIMÉ → déplacer en zone Q"),IF(H411&lt;3,"Péremption &lt; 3 mois",IF(H411&lt;6,"Péremption &lt; 6 mois",""))))</f>
        <v/>
      </c>
      <c r="J411" s="17" t="str">
        <f aca="false">IF(A411="","",IF(COUNTIF(Emplacements!$A$2:$A$1001,A411)=0,"⚠ emplacement inconnu","OK"))</f>
        <v/>
      </c>
      <c r="K411" s="22" t="str">
        <f aca="false">IF(AND(B411&lt;&gt;"",ISNUMBER(SEARCH(Recherche!$C$3,C411&amp;" "&amp;B411&amp;" "&amp;A411&amp;" "&amp;D411))),MAX($K$1:K410)+1,"")</f>
        <v/>
      </c>
    </row>
    <row r="412" customFormat="false" ht="15" hidden="false" customHeight="false" outlineLevel="0" collapsed="false">
      <c r="A412" s="12"/>
      <c r="B412" s="12"/>
      <c r="C412" s="17" t="str">
        <f aca="false">IF(B412="","",IFERROR(INDEX(Produits!$F$2:$F$1001,MATCH(B412,Produits!$A$2:$A$1001,0)),"⚠ code article inconnu"))</f>
        <v/>
      </c>
      <c r="D412" s="12"/>
      <c r="E412" s="23"/>
      <c r="F412" s="24"/>
      <c r="G412" s="23"/>
      <c r="H412" s="21" t="str">
        <f aca="true">IF(E412="","",ROUND((E412-TODAY())/30.4,1))</f>
        <v/>
      </c>
      <c r="I412" s="17" t="str">
        <f aca="false">IF(E412="","",IF(H412&lt;0,IF(LEFT(A412,1)="Q","Périmé (en quarantaine)","PÉRIMÉ → déplacer en zone Q"),IF(H412&lt;3,"Péremption &lt; 3 mois",IF(H412&lt;6,"Péremption &lt; 6 mois",""))))</f>
        <v/>
      </c>
      <c r="J412" s="17" t="str">
        <f aca="false">IF(A412="","",IF(COUNTIF(Emplacements!$A$2:$A$1001,A412)=0,"⚠ emplacement inconnu","OK"))</f>
        <v/>
      </c>
      <c r="K412" s="22" t="str">
        <f aca="false">IF(AND(B412&lt;&gt;"",ISNUMBER(SEARCH(Recherche!$C$3,C412&amp;" "&amp;B412&amp;" "&amp;A412&amp;" "&amp;D412))),MAX($K$1:K411)+1,"")</f>
        <v/>
      </c>
    </row>
    <row r="413" customFormat="false" ht="15" hidden="false" customHeight="false" outlineLevel="0" collapsed="false">
      <c r="A413" s="12"/>
      <c r="B413" s="12"/>
      <c r="C413" s="17" t="str">
        <f aca="false">IF(B413="","",IFERROR(INDEX(Produits!$F$2:$F$1001,MATCH(B413,Produits!$A$2:$A$1001,0)),"⚠ code article inconnu"))</f>
        <v/>
      </c>
      <c r="D413" s="12"/>
      <c r="E413" s="23"/>
      <c r="F413" s="24"/>
      <c r="G413" s="23"/>
      <c r="H413" s="21" t="str">
        <f aca="true">IF(E413="","",ROUND((E413-TODAY())/30.4,1))</f>
        <v/>
      </c>
      <c r="I413" s="17" t="str">
        <f aca="false">IF(E413="","",IF(H413&lt;0,IF(LEFT(A413,1)="Q","Périmé (en quarantaine)","PÉRIMÉ → déplacer en zone Q"),IF(H413&lt;3,"Péremption &lt; 3 mois",IF(H413&lt;6,"Péremption &lt; 6 mois",""))))</f>
        <v/>
      </c>
      <c r="J413" s="17" t="str">
        <f aca="false">IF(A413="","",IF(COUNTIF(Emplacements!$A$2:$A$1001,A413)=0,"⚠ emplacement inconnu","OK"))</f>
        <v/>
      </c>
      <c r="K413" s="22" t="str">
        <f aca="false">IF(AND(B413&lt;&gt;"",ISNUMBER(SEARCH(Recherche!$C$3,C413&amp;" "&amp;B413&amp;" "&amp;A413&amp;" "&amp;D413))),MAX($K$1:K412)+1,"")</f>
        <v/>
      </c>
    </row>
    <row r="414" customFormat="false" ht="15" hidden="false" customHeight="false" outlineLevel="0" collapsed="false">
      <c r="A414" s="12"/>
      <c r="B414" s="12"/>
      <c r="C414" s="17" t="str">
        <f aca="false">IF(B414="","",IFERROR(INDEX(Produits!$F$2:$F$1001,MATCH(B414,Produits!$A$2:$A$1001,0)),"⚠ code article inconnu"))</f>
        <v/>
      </c>
      <c r="D414" s="12"/>
      <c r="E414" s="23"/>
      <c r="F414" s="24"/>
      <c r="G414" s="23"/>
      <c r="H414" s="21" t="str">
        <f aca="true">IF(E414="","",ROUND((E414-TODAY())/30.4,1))</f>
        <v/>
      </c>
      <c r="I414" s="17" t="str">
        <f aca="false">IF(E414="","",IF(H414&lt;0,IF(LEFT(A414,1)="Q","Périmé (en quarantaine)","PÉRIMÉ → déplacer en zone Q"),IF(H414&lt;3,"Péremption &lt; 3 mois",IF(H414&lt;6,"Péremption &lt; 6 mois",""))))</f>
        <v/>
      </c>
      <c r="J414" s="17" t="str">
        <f aca="false">IF(A414="","",IF(COUNTIF(Emplacements!$A$2:$A$1001,A414)=0,"⚠ emplacement inconnu","OK"))</f>
        <v/>
      </c>
      <c r="K414" s="22" t="str">
        <f aca="false">IF(AND(B414&lt;&gt;"",ISNUMBER(SEARCH(Recherche!$C$3,C414&amp;" "&amp;B414&amp;" "&amp;A414&amp;" "&amp;D414))),MAX($K$1:K413)+1,"")</f>
        <v/>
      </c>
    </row>
    <row r="415" customFormat="false" ht="15" hidden="false" customHeight="false" outlineLevel="0" collapsed="false">
      <c r="A415" s="12"/>
      <c r="B415" s="12"/>
      <c r="C415" s="17" t="str">
        <f aca="false">IF(B415="","",IFERROR(INDEX(Produits!$F$2:$F$1001,MATCH(B415,Produits!$A$2:$A$1001,0)),"⚠ code article inconnu"))</f>
        <v/>
      </c>
      <c r="D415" s="12"/>
      <c r="E415" s="23"/>
      <c r="F415" s="24"/>
      <c r="G415" s="23"/>
      <c r="H415" s="21" t="str">
        <f aca="true">IF(E415="","",ROUND((E415-TODAY())/30.4,1))</f>
        <v/>
      </c>
      <c r="I415" s="17" t="str">
        <f aca="false">IF(E415="","",IF(H415&lt;0,IF(LEFT(A415,1)="Q","Périmé (en quarantaine)","PÉRIMÉ → déplacer en zone Q"),IF(H415&lt;3,"Péremption &lt; 3 mois",IF(H415&lt;6,"Péremption &lt; 6 mois",""))))</f>
        <v/>
      </c>
      <c r="J415" s="17" t="str">
        <f aca="false">IF(A415="","",IF(COUNTIF(Emplacements!$A$2:$A$1001,A415)=0,"⚠ emplacement inconnu","OK"))</f>
        <v/>
      </c>
      <c r="K415" s="22" t="str">
        <f aca="false">IF(AND(B415&lt;&gt;"",ISNUMBER(SEARCH(Recherche!$C$3,C415&amp;" "&amp;B415&amp;" "&amp;A415&amp;" "&amp;D415))),MAX($K$1:K414)+1,"")</f>
        <v/>
      </c>
    </row>
    <row r="416" customFormat="false" ht="15" hidden="false" customHeight="false" outlineLevel="0" collapsed="false">
      <c r="A416" s="12"/>
      <c r="B416" s="12"/>
      <c r="C416" s="17" t="str">
        <f aca="false">IF(B416="","",IFERROR(INDEX(Produits!$F$2:$F$1001,MATCH(B416,Produits!$A$2:$A$1001,0)),"⚠ code article inconnu"))</f>
        <v/>
      </c>
      <c r="D416" s="12"/>
      <c r="E416" s="23"/>
      <c r="F416" s="24"/>
      <c r="G416" s="23"/>
      <c r="H416" s="21" t="str">
        <f aca="true">IF(E416="","",ROUND((E416-TODAY())/30.4,1))</f>
        <v/>
      </c>
      <c r="I416" s="17" t="str">
        <f aca="false">IF(E416="","",IF(H416&lt;0,IF(LEFT(A416,1)="Q","Périmé (en quarantaine)","PÉRIMÉ → déplacer en zone Q"),IF(H416&lt;3,"Péremption &lt; 3 mois",IF(H416&lt;6,"Péremption &lt; 6 mois",""))))</f>
        <v/>
      </c>
      <c r="J416" s="17" t="str">
        <f aca="false">IF(A416="","",IF(COUNTIF(Emplacements!$A$2:$A$1001,A416)=0,"⚠ emplacement inconnu","OK"))</f>
        <v/>
      </c>
      <c r="K416" s="22" t="str">
        <f aca="false">IF(AND(B416&lt;&gt;"",ISNUMBER(SEARCH(Recherche!$C$3,C416&amp;" "&amp;B416&amp;" "&amp;A416&amp;" "&amp;D416))),MAX($K$1:K415)+1,"")</f>
        <v/>
      </c>
    </row>
    <row r="417" customFormat="false" ht="15" hidden="false" customHeight="false" outlineLevel="0" collapsed="false">
      <c r="A417" s="12"/>
      <c r="B417" s="12"/>
      <c r="C417" s="17" t="str">
        <f aca="false">IF(B417="","",IFERROR(INDEX(Produits!$F$2:$F$1001,MATCH(B417,Produits!$A$2:$A$1001,0)),"⚠ code article inconnu"))</f>
        <v/>
      </c>
      <c r="D417" s="12"/>
      <c r="E417" s="23"/>
      <c r="F417" s="24"/>
      <c r="G417" s="23"/>
      <c r="H417" s="21" t="str">
        <f aca="true">IF(E417="","",ROUND((E417-TODAY())/30.4,1))</f>
        <v/>
      </c>
      <c r="I417" s="17" t="str">
        <f aca="false">IF(E417="","",IF(H417&lt;0,IF(LEFT(A417,1)="Q","Périmé (en quarantaine)","PÉRIMÉ → déplacer en zone Q"),IF(H417&lt;3,"Péremption &lt; 3 mois",IF(H417&lt;6,"Péremption &lt; 6 mois",""))))</f>
        <v/>
      </c>
      <c r="J417" s="17" t="str">
        <f aca="false">IF(A417="","",IF(COUNTIF(Emplacements!$A$2:$A$1001,A417)=0,"⚠ emplacement inconnu","OK"))</f>
        <v/>
      </c>
      <c r="K417" s="22" t="str">
        <f aca="false">IF(AND(B417&lt;&gt;"",ISNUMBER(SEARCH(Recherche!$C$3,C417&amp;" "&amp;B417&amp;" "&amp;A417&amp;" "&amp;D417))),MAX($K$1:K416)+1,"")</f>
        <v/>
      </c>
    </row>
    <row r="418" customFormat="false" ht="15" hidden="false" customHeight="false" outlineLevel="0" collapsed="false">
      <c r="A418" s="12"/>
      <c r="B418" s="12"/>
      <c r="C418" s="17" t="str">
        <f aca="false">IF(B418="","",IFERROR(INDEX(Produits!$F$2:$F$1001,MATCH(B418,Produits!$A$2:$A$1001,0)),"⚠ code article inconnu"))</f>
        <v/>
      </c>
      <c r="D418" s="12"/>
      <c r="E418" s="23"/>
      <c r="F418" s="24"/>
      <c r="G418" s="23"/>
      <c r="H418" s="21" t="str">
        <f aca="true">IF(E418="","",ROUND((E418-TODAY())/30.4,1))</f>
        <v/>
      </c>
      <c r="I418" s="17" t="str">
        <f aca="false">IF(E418="","",IF(H418&lt;0,IF(LEFT(A418,1)="Q","Périmé (en quarantaine)","PÉRIMÉ → déplacer en zone Q"),IF(H418&lt;3,"Péremption &lt; 3 mois",IF(H418&lt;6,"Péremption &lt; 6 mois",""))))</f>
        <v/>
      </c>
      <c r="J418" s="17" t="str">
        <f aca="false">IF(A418="","",IF(COUNTIF(Emplacements!$A$2:$A$1001,A418)=0,"⚠ emplacement inconnu","OK"))</f>
        <v/>
      </c>
      <c r="K418" s="22" t="str">
        <f aca="false">IF(AND(B418&lt;&gt;"",ISNUMBER(SEARCH(Recherche!$C$3,C418&amp;" "&amp;B418&amp;" "&amp;A418&amp;" "&amp;D418))),MAX($K$1:K417)+1,"")</f>
        <v/>
      </c>
    </row>
    <row r="419" customFormat="false" ht="15" hidden="false" customHeight="false" outlineLevel="0" collapsed="false">
      <c r="A419" s="12"/>
      <c r="B419" s="12"/>
      <c r="C419" s="17" t="str">
        <f aca="false">IF(B419="","",IFERROR(INDEX(Produits!$F$2:$F$1001,MATCH(B419,Produits!$A$2:$A$1001,0)),"⚠ code article inconnu"))</f>
        <v/>
      </c>
      <c r="D419" s="12"/>
      <c r="E419" s="23"/>
      <c r="F419" s="24"/>
      <c r="G419" s="23"/>
      <c r="H419" s="21" t="str">
        <f aca="true">IF(E419="","",ROUND((E419-TODAY())/30.4,1))</f>
        <v/>
      </c>
      <c r="I419" s="17" t="str">
        <f aca="false">IF(E419="","",IF(H419&lt;0,IF(LEFT(A419,1)="Q","Périmé (en quarantaine)","PÉRIMÉ → déplacer en zone Q"),IF(H419&lt;3,"Péremption &lt; 3 mois",IF(H419&lt;6,"Péremption &lt; 6 mois",""))))</f>
        <v/>
      </c>
      <c r="J419" s="17" t="str">
        <f aca="false">IF(A419="","",IF(COUNTIF(Emplacements!$A$2:$A$1001,A419)=0,"⚠ emplacement inconnu","OK"))</f>
        <v/>
      </c>
      <c r="K419" s="22" t="str">
        <f aca="false">IF(AND(B419&lt;&gt;"",ISNUMBER(SEARCH(Recherche!$C$3,C419&amp;" "&amp;B419&amp;" "&amp;A419&amp;" "&amp;D419))),MAX($K$1:K418)+1,"")</f>
        <v/>
      </c>
    </row>
    <row r="420" customFormat="false" ht="15" hidden="false" customHeight="false" outlineLevel="0" collapsed="false">
      <c r="A420" s="12"/>
      <c r="B420" s="12"/>
      <c r="C420" s="17" t="str">
        <f aca="false">IF(B420="","",IFERROR(INDEX(Produits!$F$2:$F$1001,MATCH(B420,Produits!$A$2:$A$1001,0)),"⚠ code article inconnu"))</f>
        <v/>
      </c>
      <c r="D420" s="12"/>
      <c r="E420" s="23"/>
      <c r="F420" s="24"/>
      <c r="G420" s="23"/>
      <c r="H420" s="21" t="str">
        <f aca="true">IF(E420="","",ROUND((E420-TODAY())/30.4,1))</f>
        <v/>
      </c>
      <c r="I420" s="17" t="str">
        <f aca="false">IF(E420="","",IF(H420&lt;0,IF(LEFT(A420,1)="Q","Périmé (en quarantaine)","PÉRIMÉ → déplacer en zone Q"),IF(H420&lt;3,"Péremption &lt; 3 mois",IF(H420&lt;6,"Péremption &lt; 6 mois",""))))</f>
        <v/>
      </c>
      <c r="J420" s="17" t="str">
        <f aca="false">IF(A420="","",IF(COUNTIF(Emplacements!$A$2:$A$1001,A420)=0,"⚠ emplacement inconnu","OK"))</f>
        <v/>
      </c>
      <c r="K420" s="22" t="str">
        <f aca="false">IF(AND(B420&lt;&gt;"",ISNUMBER(SEARCH(Recherche!$C$3,C420&amp;" "&amp;B420&amp;" "&amp;A420&amp;" "&amp;D420))),MAX($K$1:K419)+1,"")</f>
        <v/>
      </c>
    </row>
    <row r="421" customFormat="false" ht="15" hidden="false" customHeight="false" outlineLevel="0" collapsed="false">
      <c r="A421" s="12"/>
      <c r="B421" s="12"/>
      <c r="C421" s="17" t="str">
        <f aca="false">IF(B421="","",IFERROR(INDEX(Produits!$F$2:$F$1001,MATCH(B421,Produits!$A$2:$A$1001,0)),"⚠ code article inconnu"))</f>
        <v/>
      </c>
      <c r="D421" s="12"/>
      <c r="E421" s="23"/>
      <c r="F421" s="24"/>
      <c r="G421" s="23"/>
      <c r="H421" s="21" t="str">
        <f aca="true">IF(E421="","",ROUND((E421-TODAY())/30.4,1))</f>
        <v/>
      </c>
      <c r="I421" s="17" t="str">
        <f aca="false">IF(E421="","",IF(H421&lt;0,IF(LEFT(A421,1)="Q","Périmé (en quarantaine)","PÉRIMÉ → déplacer en zone Q"),IF(H421&lt;3,"Péremption &lt; 3 mois",IF(H421&lt;6,"Péremption &lt; 6 mois",""))))</f>
        <v/>
      </c>
      <c r="J421" s="17" t="str">
        <f aca="false">IF(A421="","",IF(COUNTIF(Emplacements!$A$2:$A$1001,A421)=0,"⚠ emplacement inconnu","OK"))</f>
        <v/>
      </c>
      <c r="K421" s="22" t="str">
        <f aca="false">IF(AND(B421&lt;&gt;"",ISNUMBER(SEARCH(Recherche!$C$3,C421&amp;" "&amp;B421&amp;" "&amp;A421&amp;" "&amp;D421))),MAX($K$1:K420)+1,"")</f>
        <v/>
      </c>
    </row>
    <row r="422" customFormat="false" ht="15" hidden="false" customHeight="false" outlineLevel="0" collapsed="false">
      <c r="A422" s="12"/>
      <c r="B422" s="12"/>
      <c r="C422" s="17" t="str">
        <f aca="false">IF(B422="","",IFERROR(INDEX(Produits!$F$2:$F$1001,MATCH(B422,Produits!$A$2:$A$1001,0)),"⚠ code article inconnu"))</f>
        <v/>
      </c>
      <c r="D422" s="12"/>
      <c r="E422" s="23"/>
      <c r="F422" s="24"/>
      <c r="G422" s="23"/>
      <c r="H422" s="21" t="str">
        <f aca="true">IF(E422="","",ROUND((E422-TODAY())/30.4,1))</f>
        <v/>
      </c>
      <c r="I422" s="17" t="str">
        <f aca="false">IF(E422="","",IF(H422&lt;0,IF(LEFT(A422,1)="Q","Périmé (en quarantaine)","PÉRIMÉ → déplacer en zone Q"),IF(H422&lt;3,"Péremption &lt; 3 mois",IF(H422&lt;6,"Péremption &lt; 6 mois",""))))</f>
        <v/>
      </c>
      <c r="J422" s="17" t="str">
        <f aca="false">IF(A422="","",IF(COUNTIF(Emplacements!$A$2:$A$1001,A422)=0,"⚠ emplacement inconnu","OK"))</f>
        <v/>
      </c>
      <c r="K422" s="22" t="str">
        <f aca="false">IF(AND(B422&lt;&gt;"",ISNUMBER(SEARCH(Recherche!$C$3,C422&amp;" "&amp;B422&amp;" "&amp;A422&amp;" "&amp;D422))),MAX($K$1:K421)+1,"")</f>
        <v/>
      </c>
    </row>
    <row r="423" customFormat="false" ht="15" hidden="false" customHeight="false" outlineLevel="0" collapsed="false">
      <c r="A423" s="12"/>
      <c r="B423" s="12"/>
      <c r="C423" s="17" t="str">
        <f aca="false">IF(B423="","",IFERROR(INDEX(Produits!$F$2:$F$1001,MATCH(B423,Produits!$A$2:$A$1001,0)),"⚠ code article inconnu"))</f>
        <v/>
      </c>
      <c r="D423" s="12"/>
      <c r="E423" s="23"/>
      <c r="F423" s="24"/>
      <c r="G423" s="23"/>
      <c r="H423" s="21" t="str">
        <f aca="true">IF(E423="","",ROUND((E423-TODAY())/30.4,1))</f>
        <v/>
      </c>
      <c r="I423" s="17" t="str">
        <f aca="false">IF(E423="","",IF(H423&lt;0,IF(LEFT(A423,1)="Q","Périmé (en quarantaine)","PÉRIMÉ → déplacer en zone Q"),IF(H423&lt;3,"Péremption &lt; 3 mois",IF(H423&lt;6,"Péremption &lt; 6 mois",""))))</f>
        <v/>
      </c>
      <c r="J423" s="17" t="str">
        <f aca="false">IF(A423="","",IF(COUNTIF(Emplacements!$A$2:$A$1001,A423)=0,"⚠ emplacement inconnu","OK"))</f>
        <v/>
      </c>
      <c r="K423" s="22" t="str">
        <f aca="false">IF(AND(B423&lt;&gt;"",ISNUMBER(SEARCH(Recherche!$C$3,C423&amp;" "&amp;B423&amp;" "&amp;A423&amp;" "&amp;D423))),MAX($K$1:K422)+1,"")</f>
        <v/>
      </c>
    </row>
    <row r="424" customFormat="false" ht="15" hidden="false" customHeight="false" outlineLevel="0" collapsed="false">
      <c r="A424" s="12"/>
      <c r="B424" s="12"/>
      <c r="C424" s="17" t="str">
        <f aca="false">IF(B424="","",IFERROR(INDEX(Produits!$F$2:$F$1001,MATCH(B424,Produits!$A$2:$A$1001,0)),"⚠ code article inconnu"))</f>
        <v/>
      </c>
      <c r="D424" s="12"/>
      <c r="E424" s="23"/>
      <c r="F424" s="24"/>
      <c r="G424" s="23"/>
      <c r="H424" s="21" t="str">
        <f aca="true">IF(E424="","",ROUND((E424-TODAY())/30.4,1))</f>
        <v/>
      </c>
      <c r="I424" s="17" t="str">
        <f aca="false">IF(E424="","",IF(H424&lt;0,IF(LEFT(A424,1)="Q","Périmé (en quarantaine)","PÉRIMÉ → déplacer en zone Q"),IF(H424&lt;3,"Péremption &lt; 3 mois",IF(H424&lt;6,"Péremption &lt; 6 mois",""))))</f>
        <v/>
      </c>
      <c r="J424" s="17" t="str">
        <f aca="false">IF(A424="","",IF(COUNTIF(Emplacements!$A$2:$A$1001,A424)=0,"⚠ emplacement inconnu","OK"))</f>
        <v/>
      </c>
      <c r="K424" s="22" t="str">
        <f aca="false">IF(AND(B424&lt;&gt;"",ISNUMBER(SEARCH(Recherche!$C$3,C424&amp;" "&amp;B424&amp;" "&amp;A424&amp;" "&amp;D424))),MAX($K$1:K423)+1,"")</f>
        <v/>
      </c>
    </row>
    <row r="425" customFormat="false" ht="15" hidden="false" customHeight="false" outlineLevel="0" collapsed="false">
      <c r="A425" s="12"/>
      <c r="B425" s="12"/>
      <c r="C425" s="17" t="str">
        <f aca="false">IF(B425="","",IFERROR(INDEX(Produits!$F$2:$F$1001,MATCH(B425,Produits!$A$2:$A$1001,0)),"⚠ code article inconnu"))</f>
        <v/>
      </c>
      <c r="D425" s="12"/>
      <c r="E425" s="23"/>
      <c r="F425" s="24"/>
      <c r="G425" s="23"/>
      <c r="H425" s="21" t="str">
        <f aca="true">IF(E425="","",ROUND((E425-TODAY())/30.4,1))</f>
        <v/>
      </c>
      <c r="I425" s="17" t="str">
        <f aca="false">IF(E425="","",IF(H425&lt;0,IF(LEFT(A425,1)="Q","Périmé (en quarantaine)","PÉRIMÉ → déplacer en zone Q"),IF(H425&lt;3,"Péremption &lt; 3 mois",IF(H425&lt;6,"Péremption &lt; 6 mois",""))))</f>
        <v/>
      </c>
      <c r="J425" s="17" t="str">
        <f aca="false">IF(A425="","",IF(COUNTIF(Emplacements!$A$2:$A$1001,A425)=0,"⚠ emplacement inconnu","OK"))</f>
        <v/>
      </c>
      <c r="K425" s="22" t="str">
        <f aca="false">IF(AND(B425&lt;&gt;"",ISNUMBER(SEARCH(Recherche!$C$3,C425&amp;" "&amp;B425&amp;" "&amp;A425&amp;" "&amp;D425))),MAX($K$1:K424)+1,"")</f>
        <v/>
      </c>
    </row>
    <row r="426" customFormat="false" ht="15" hidden="false" customHeight="false" outlineLevel="0" collapsed="false">
      <c r="A426" s="12"/>
      <c r="B426" s="12"/>
      <c r="C426" s="17" t="str">
        <f aca="false">IF(B426="","",IFERROR(INDEX(Produits!$F$2:$F$1001,MATCH(B426,Produits!$A$2:$A$1001,0)),"⚠ code article inconnu"))</f>
        <v/>
      </c>
      <c r="D426" s="12"/>
      <c r="E426" s="23"/>
      <c r="F426" s="24"/>
      <c r="G426" s="23"/>
      <c r="H426" s="21" t="str">
        <f aca="true">IF(E426="","",ROUND((E426-TODAY())/30.4,1))</f>
        <v/>
      </c>
      <c r="I426" s="17" t="str">
        <f aca="false">IF(E426="","",IF(H426&lt;0,IF(LEFT(A426,1)="Q","Périmé (en quarantaine)","PÉRIMÉ → déplacer en zone Q"),IF(H426&lt;3,"Péremption &lt; 3 mois",IF(H426&lt;6,"Péremption &lt; 6 mois",""))))</f>
        <v/>
      </c>
      <c r="J426" s="17" t="str">
        <f aca="false">IF(A426="","",IF(COUNTIF(Emplacements!$A$2:$A$1001,A426)=0,"⚠ emplacement inconnu","OK"))</f>
        <v/>
      </c>
      <c r="K426" s="22" t="str">
        <f aca="false">IF(AND(B426&lt;&gt;"",ISNUMBER(SEARCH(Recherche!$C$3,C426&amp;" "&amp;B426&amp;" "&amp;A426&amp;" "&amp;D426))),MAX($K$1:K425)+1,"")</f>
        <v/>
      </c>
    </row>
    <row r="427" customFormat="false" ht="15" hidden="false" customHeight="false" outlineLevel="0" collapsed="false">
      <c r="A427" s="12"/>
      <c r="B427" s="12"/>
      <c r="C427" s="17" t="str">
        <f aca="false">IF(B427="","",IFERROR(INDEX(Produits!$F$2:$F$1001,MATCH(B427,Produits!$A$2:$A$1001,0)),"⚠ code article inconnu"))</f>
        <v/>
      </c>
      <c r="D427" s="12"/>
      <c r="E427" s="23"/>
      <c r="F427" s="24"/>
      <c r="G427" s="23"/>
      <c r="H427" s="21" t="str">
        <f aca="true">IF(E427="","",ROUND((E427-TODAY())/30.4,1))</f>
        <v/>
      </c>
      <c r="I427" s="17" t="str">
        <f aca="false">IF(E427="","",IF(H427&lt;0,IF(LEFT(A427,1)="Q","Périmé (en quarantaine)","PÉRIMÉ → déplacer en zone Q"),IF(H427&lt;3,"Péremption &lt; 3 mois",IF(H427&lt;6,"Péremption &lt; 6 mois",""))))</f>
        <v/>
      </c>
      <c r="J427" s="17" t="str">
        <f aca="false">IF(A427="","",IF(COUNTIF(Emplacements!$A$2:$A$1001,A427)=0,"⚠ emplacement inconnu","OK"))</f>
        <v/>
      </c>
      <c r="K427" s="22" t="str">
        <f aca="false">IF(AND(B427&lt;&gt;"",ISNUMBER(SEARCH(Recherche!$C$3,C427&amp;" "&amp;B427&amp;" "&amp;A427&amp;" "&amp;D427))),MAX($K$1:K426)+1,"")</f>
        <v/>
      </c>
    </row>
    <row r="428" customFormat="false" ht="15" hidden="false" customHeight="false" outlineLevel="0" collapsed="false">
      <c r="A428" s="12"/>
      <c r="B428" s="12"/>
      <c r="C428" s="17" t="str">
        <f aca="false">IF(B428="","",IFERROR(INDEX(Produits!$F$2:$F$1001,MATCH(B428,Produits!$A$2:$A$1001,0)),"⚠ code article inconnu"))</f>
        <v/>
      </c>
      <c r="D428" s="12"/>
      <c r="E428" s="23"/>
      <c r="F428" s="24"/>
      <c r="G428" s="23"/>
      <c r="H428" s="21" t="str">
        <f aca="true">IF(E428="","",ROUND((E428-TODAY())/30.4,1))</f>
        <v/>
      </c>
      <c r="I428" s="17" t="str">
        <f aca="false">IF(E428="","",IF(H428&lt;0,IF(LEFT(A428,1)="Q","Périmé (en quarantaine)","PÉRIMÉ → déplacer en zone Q"),IF(H428&lt;3,"Péremption &lt; 3 mois",IF(H428&lt;6,"Péremption &lt; 6 mois",""))))</f>
        <v/>
      </c>
      <c r="J428" s="17" t="str">
        <f aca="false">IF(A428="","",IF(COUNTIF(Emplacements!$A$2:$A$1001,A428)=0,"⚠ emplacement inconnu","OK"))</f>
        <v/>
      </c>
      <c r="K428" s="22" t="str">
        <f aca="false">IF(AND(B428&lt;&gt;"",ISNUMBER(SEARCH(Recherche!$C$3,C428&amp;" "&amp;B428&amp;" "&amp;A428&amp;" "&amp;D428))),MAX($K$1:K427)+1,"")</f>
        <v/>
      </c>
    </row>
    <row r="429" customFormat="false" ht="15" hidden="false" customHeight="false" outlineLevel="0" collapsed="false">
      <c r="A429" s="12"/>
      <c r="B429" s="12"/>
      <c r="C429" s="17" t="str">
        <f aca="false">IF(B429="","",IFERROR(INDEX(Produits!$F$2:$F$1001,MATCH(B429,Produits!$A$2:$A$1001,0)),"⚠ code article inconnu"))</f>
        <v/>
      </c>
      <c r="D429" s="12"/>
      <c r="E429" s="23"/>
      <c r="F429" s="24"/>
      <c r="G429" s="23"/>
      <c r="H429" s="21" t="str">
        <f aca="true">IF(E429="","",ROUND((E429-TODAY())/30.4,1))</f>
        <v/>
      </c>
      <c r="I429" s="17" t="str">
        <f aca="false">IF(E429="","",IF(H429&lt;0,IF(LEFT(A429,1)="Q","Périmé (en quarantaine)","PÉRIMÉ → déplacer en zone Q"),IF(H429&lt;3,"Péremption &lt; 3 mois",IF(H429&lt;6,"Péremption &lt; 6 mois",""))))</f>
        <v/>
      </c>
      <c r="J429" s="17" t="str">
        <f aca="false">IF(A429="","",IF(COUNTIF(Emplacements!$A$2:$A$1001,A429)=0,"⚠ emplacement inconnu","OK"))</f>
        <v/>
      </c>
      <c r="K429" s="22" t="str">
        <f aca="false">IF(AND(B429&lt;&gt;"",ISNUMBER(SEARCH(Recherche!$C$3,C429&amp;" "&amp;B429&amp;" "&amp;A429&amp;" "&amp;D429))),MAX($K$1:K428)+1,"")</f>
        <v/>
      </c>
    </row>
    <row r="430" customFormat="false" ht="15" hidden="false" customHeight="false" outlineLevel="0" collapsed="false">
      <c r="A430" s="12"/>
      <c r="B430" s="12"/>
      <c r="C430" s="17" t="str">
        <f aca="false">IF(B430="","",IFERROR(INDEX(Produits!$F$2:$F$1001,MATCH(B430,Produits!$A$2:$A$1001,0)),"⚠ code article inconnu"))</f>
        <v/>
      </c>
      <c r="D430" s="12"/>
      <c r="E430" s="23"/>
      <c r="F430" s="24"/>
      <c r="G430" s="23"/>
      <c r="H430" s="21" t="str">
        <f aca="true">IF(E430="","",ROUND((E430-TODAY())/30.4,1))</f>
        <v/>
      </c>
      <c r="I430" s="17" t="str">
        <f aca="false">IF(E430="","",IF(H430&lt;0,IF(LEFT(A430,1)="Q","Périmé (en quarantaine)","PÉRIMÉ → déplacer en zone Q"),IF(H430&lt;3,"Péremption &lt; 3 mois",IF(H430&lt;6,"Péremption &lt; 6 mois",""))))</f>
        <v/>
      </c>
      <c r="J430" s="17" t="str">
        <f aca="false">IF(A430="","",IF(COUNTIF(Emplacements!$A$2:$A$1001,A430)=0,"⚠ emplacement inconnu","OK"))</f>
        <v/>
      </c>
      <c r="K430" s="22" t="str">
        <f aca="false">IF(AND(B430&lt;&gt;"",ISNUMBER(SEARCH(Recherche!$C$3,C430&amp;" "&amp;B430&amp;" "&amp;A430&amp;" "&amp;D430))),MAX($K$1:K429)+1,"")</f>
        <v/>
      </c>
    </row>
    <row r="431" customFormat="false" ht="15" hidden="false" customHeight="false" outlineLevel="0" collapsed="false">
      <c r="A431" s="12"/>
      <c r="B431" s="12"/>
      <c r="C431" s="17" t="str">
        <f aca="false">IF(B431="","",IFERROR(INDEX(Produits!$F$2:$F$1001,MATCH(B431,Produits!$A$2:$A$1001,0)),"⚠ code article inconnu"))</f>
        <v/>
      </c>
      <c r="D431" s="12"/>
      <c r="E431" s="23"/>
      <c r="F431" s="24"/>
      <c r="G431" s="23"/>
      <c r="H431" s="21" t="str">
        <f aca="true">IF(E431="","",ROUND((E431-TODAY())/30.4,1))</f>
        <v/>
      </c>
      <c r="I431" s="17" t="str">
        <f aca="false">IF(E431="","",IF(H431&lt;0,IF(LEFT(A431,1)="Q","Périmé (en quarantaine)","PÉRIMÉ → déplacer en zone Q"),IF(H431&lt;3,"Péremption &lt; 3 mois",IF(H431&lt;6,"Péremption &lt; 6 mois",""))))</f>
        <v/>
      </c>
      <c r="J431" s="17" t="str">
        <f aca="false">IF(A431="","",IF(COUNTIF(Emplacements!$A$2:$A$1001,A431)=0,"⚠ emplacement inconnu","OK"))</f>
        <v/>
      </c>
      <c r="K431" s="22" t="str">
        <f aca="false">IF(AND(B431&lt;&gt;"",ISNUMBER(SEARCH(Recherche!$C$3,C431&amp;" "&amp;B431&amp;" "&amp;A431&amp;" "&amp;D431))),MAX($K$1:K430)+1,"")</f>
        <v/>
      </c>
    </row>
    <row r="432" customFormat="false" ht="15" hidden="false" customHeight="false" outlineLevel="0" collapsed="false">
      <c r="A432" s="12"/>
      <c r="B432" s="12"/>
      <c r="C432" s="17" t="str">
        <f aca="false">IF(B432="","",IFERROR(INDEX(Produits!$F$2:$F$1001,MATCH(B432,Produits!$A$2:$A$1001,0)),"⚠ code article inconnu"))</f>
        <v/>
      </c>
      <c r="D432" s="12"/>
      <c r="E432" s="23"/>
      <c r="F432" s="24"/>
      <c r="G432" s="23"/>
      <c r="H432" s="21" t="str">
        <f aca="true">IF(E432="","",ROUND((E432-TODAY())/30.4,1))</f>
        <v/>
      </c>
      <c r="I432" s="17" t="str">
        <f aca="false">IF(E432="","",IF(H432&lt;0,IF(LEFT(A432,1)="Q","Périmé (en quarantaine)","PÉRIMÉ → déplacer en zone Q"),IF(H432&lt;3,"Péremption &lt; 3 mois",IF(H432&lt;6,"Péremption &lt; 6 mois",""))))</f>
        <v/>
      </c>
      <c r="J432" s="17" t="str">
        <f aca="false">IF(A432="","",IF(COUNTIF(Emplacements!$A$2:$A$1001,A432)=0,"⚠ emplacement inconnu","OK"))</f>
        <v/>
      </c>
      <c r="K432" s="22" t="str">
        <f aca="false">IF(AND(B432&lt;&gt;"",ISNUMBER(SEARCH(Recherche!$C$3,C432&amp;" "&amp;B432&amp;" "&amp;A432&amp;" "&amp;D432))),MAX($K$1:K431)+1,"")</f>
        <v/>
      </c>
    </row>
    <row r="433" customFormat="false" ht="15" hidden="false" customHeight="false" outlineLevel="0" collapsed="false">
      <c r="A433" s="12"/>
      <c r="B433" s="12"/>
      <c r="C433" s="17" t="str">
        <f aca="false">IF(B433="","",IFERROR(INDEX(Produits!$F$2:$F$1001,MATCH(B433,Produits!$A$2:$A$1001,0)),"⚠ code article inconnu"))</f>
        <v/>
      </c>
      <c r="D433" s="12"/>
      <c r="E433" s="23"/>
      <c r="F433" s="24"/>
      <c r="G433" s="23"/>
      <c r="H433" s="21" t="str">
        <f aca="true">IF(E433="","",ROUND((E433-TODAY())/30.4,1))</f>
        <v/>
      </c>
      <c r="I433" s="17" t="str">
        <f aca="false">IF(E433="","",IF(H433&lt;0,IF(LEFT(A433,1)="Q","Périmé (en quarantaine)","PÉRIMÉ → déplacer en zone Q"),IF(H433&lt;3,"Péremption &lt; 3 mois",IF(H433&lt;6,"Péremption &lt; 6 mois",""))))</f>
        <v/>
      </c>
      <c r="J433" s="17" t="str">
        <f aca="false">IF(A433="","",IF(COUNTIF(Emplacements!$A$2:$A$1001,A433)=0,"⚠ emplacement inconnu","OK"))</f>
        <v/>
      </c>
      <c r="K433" s="22" t="str">
        <f aca="false">IF(AND(B433&lt;&gt;"",ISNUMBER(SEARCH(Recherche!$C$3,C433&amp;" "&amp;B433&amp;" "&amp;A433&amp;" "&amp;D433))),MAX($K$1:K432)+1,"")</f>
        <v/>
      </c>
    </row>
    <row r="434" customFormat="false" ht="15" hidden="false" customHeight="false" outlineLevel="0" collapsed="false">
      <c r="A434" s="12"/>
      <c r="B434" s="12"/>
      <c r="C434" s="17" t="str">
        <f aca="false">IF(B434="","",IFERROR(INDEX(Produits!$F$2:$F$1001,MATCH(B434,Produits!$A$2:$A$1001,0)),"⚠ code article inconnu"))</f>
        <v/>
      </c>
      <c r="D434" s="12"/>
      <c r="E434" s="23"/>
      <c r="F434" s="24"/>
      <c r="G434" s="23"/>
      <c r="H434" s="21" t="str">
        <f aca="true">IF(E434="","",ROUND((E434-TODAY())/30.4,1))</f>
        <v/>
      </c>
      <c r="I434" s="17" t="str">
        <f aca="false">IF(E434="","",IF(H434&lt;0,IF(LEFT(A434,1)="Q","Périmé (en quarantaine)","PÉRIMÉ → déplacer en zone Q"),IF(H434&lt;3,"Péremption &lt; 3 mois",IF(H434&lt;6,"Péremption &lt; 6 mois",""))))</f>
        <v/>
      </c>
      <c r="J434" s="17" t="str">
        <f aca="false">IF(A434="","",IF(COUNTIF(Emplacements!$A$2:$A$1001,A434)=0,"⚠ emplacement inconnu","OK"))</f>
        <v/>
      </c>
      <c r="K434" s="22" t="str">
        <f aca="false">IF(AND(B434&lt;&gt;"",ISNUMBER(SEARCH(Recherche!$C$3,C434&amp;" "&amp;B434&amp;" "&amp;A434&amp;" "&amp;D434))),MAX($K$1:K433)+1,"")</f>
        <v/>
      </c>
    </row>
    <row r="435" customFormat="false" ht="15" hidden="false" customHeight="false" outlineLevel="0" collapsed="false">
      <c r="A435" s="12"/>
      <c r="B435" s="12"/>
      <c r="C435" s="17" t="str">
        <f aca="false">IF(B435="","",IFERROR(INDEX(Produits!$F$2:$F$1001,MATCH(B435,Produits!$A$2:$A$1001,0)),"⚠ code article inconnu"))</f>
        <v/>
      </c>
      <c r="D435" s="12"/>
      <c r="E435" s="23"/>
      <c r="F435" s="24"/>
      <c r="G435" s="23"/>
      <c r="H435" s="21" t="str">
        <f aca="true">IF(E435="","",ROUND((E435-TODAY())/30.4,1))</f>
        <v/>
      </c>
      <c r="I435" s="17" t="str">
        <f aca="false">IF(E435="","",IF(H435&lt;0,IF(LEFT(A435,1)="Q","Périmé (en quarantaine)","PÉRIMÉ → déplacer en zone Q"),IF(H435&lt;3,"Péremption &lt; 3 mois",IF(H435&lt;6,"Péremption &lt; 6 mois",""))))</f>
        <v/>
      </c>
      <c r="J435" s="17" t="str">
        <f aca="false">IF(A435="","",IF(COUNTIF(Emplacements!$A$2:$A$1001,A435)=0,"⚠ emplacement inconnu","OK"))</f>
        <v/>
      </c>
      <c r="K435" s="22" t="str">
        <f aca="false">IF(AND(B435&lt;&gt;"",ISNUMBER(SEARCH(Recherche!$C$3,C435&amp;" "&amp;B435&amp;" "&amp;A435&amp;" "&amp;D435))),MAX($K$1:K434)+1,"")</f>
        <v/>
      </c>
    </row>
    <row r="436" customFormat="false" ht="15" hidden="false" customHeight="false" outlineLevel="0" collapsed="false">
      <c r="A436" s="12"/>
      <c r="B436" s="12"/>
      <c r="C436" s="17" t="str">
        <f aca="false">IF(B436="","",IFERROR(INDEX(Produits!$F$2:$F$1001,MATCH(B436,Produits!$A$2:$A$1001,0)),"⚠ code article inconnu"))</f>
        <v/>
      </c>
      <c r="D436" s="12"/>
      <c r="E436" s="23"/>
      <c r="F436" s="24"/>
      <c r="G436" s="23"/>
      <c r="H436" s="21" t="str">
        <f aca="true">IF(E436="","",ROUND((E436-TODAY())/30.4,1))</f>
        <v/>
      </c>
      <c r="I436" s="17" t="str">
        <f aca="false">IF(E436="","",IF(H436&lt;0,IF(LEFT(A436,1)="Q","Périmé (en quarantaine)","PÉRIMÉ → déplacer en zone Q"),IF(H436&lt;3,"Péremption &lt; 3 mois",IF(H436&lt;6,"Péremption &lt; 6 mois",""))))</f>
        <v/>
      </c>
      <c r="J436" s="17" t="str">
        <f aca="false">IF(A436="","",IF(COUNTIF(Emplacements!$A$2:$A$1001,A436)=0,"⚠ emplacement inconnu","OK"))</f>
        <v/>
      </c>
      <c r="K436" s="22" t="str">
        <f aca="false">IF(AND(B436&lt;&gt;"",ISNUMBER(SEARCH(Recherche!$C$3,C436&amp;" "&amp;B436&amp;" "&amp;A436&amp;" "&amp;D436))),MAX($K$1:K435)+1,"")</f>
        <v/>
      </c>
    </row>
    <row r="437" customFormat="false" ht="15" hidden="false" customHeight="false" outlineLevel="0" collapsed="false">
      <c r="A437" s="12"/>
      <c r="B437" s="12"/>
      <c r="C437" s="17" t="str">
        <f aca="false">IF(B437="","",IFERROR(INDEX(Produits!$F$2:$F$1001,MATCH(B437,Produits!$A$2:$A$1001,0)),"⚠ code article inconnu"))</f>
        <v/>
      </c>
      <c r="D437" s="12"/>
      <c r="E437" s="23"/>
      <c r="F437" s="24"/>
      <c r="G437" s="23"/>
      <c r="H437" s="21" t="str">
        <f aca="true">IF(E437="","",ROUND((E437-TODAY())/30.4,1))</f>
        <v/>
      </c>
      <c r="I437" s="17" t="str">
        <f aca="false">IF(E437="","",IF(H437&lt;0,IF(LEFT(A437,1)="Q","Périmé (en quarantaine)","PÉRIMÉ → déplacer en zone Q"),IF(H437&lt;3,"Péremption &lt; 3 mois",IF(H437&lt;6,"Péremption &lt; 6 mois",""))))</f>
        <v/>
      </c>
      <c r="J437" s="17" t="str">
        <f aca="false">IF(A437="","",IF(COUNTIF(Emplacements!$A$2:$A$1001,A437)=0,"⚠ emplacement inconnu","OK"))</f>
        <v/>
      </c>
      <c r="K437" s="22" t="str">
        <f aca="false">IF(AND(B437&lt;&gt;"",ISNUMBER(SEARCH(Recherche!$C$3,C437&amp;" "&amp;B437&amp;" "&amp;A437&amp;" "&amp;D437))),MAX($K$1:K436)+1,"")</f>
        <v/>
      </c>
    </row>
    <row r="438" customFormat="false" ht="15" hidden="false" customHeight="false" outlineLevel="0" collapsed="false">
      <c r="A438" s="12"/>
      <c r="B438" s="12"/>
      <c r="C438" s="17" t="str">
        <f aca="false">IF(B438="","",IFERROR(INDEX(Produits!$F$2:$F$1001,MATCH(B438,Produits!$A$2:$A$1001,0)),"⚠ code article inconnu"))</f>
        <v/>
      </c>
      <c r="D438" s="12"/>
      <c r="E438" s="23"/>
      <c r="F438" s="24"/>
      <c r="G438" s="23"/>
      <c r="H438" s="21" t="str">
        <f aca="true">IF(E438="","",ROUND((E438-TODAY())/30.4,1))</f>
        <v/>
      </c>
      <c r="I438" s="17" t="str">
        <f aca="false">IF(E438="","",IF(H438&lt;0,IF(LEFT(A438,1)="Q","Périmé (en quarantaine)","PÉRIMÉ → déplacer en zone Q"),IF(H438&lt;3,"Péremption &lt; 3 mois",IF(H438&lt;6,"Péremption &lt; 6 mois",""))))</f>
        <v/>
      </c>
      <c r="J438" s="17" t="str">
        <f aca="false">IF(A438="","",IF(COUNTIF(Emplacements!$A$2:$A$1001,A438)=0,"⚠ emplacement inconnu","OK"))</f>
        <v/>
      </c>
      <c r="K438" s="22" t="str">
        <f aca="false">IF(AND(B438&lt;&gt;"",ISNUMBER(SEARCH(Recherche!$C$3,C438&amp;" "&amp;B438&amp;" "&amp;A438&amp;" "&amp;D438))),MAX($K$1:K437)+1,"")</f>
        <v/>
      </c>
    </row>
    <row r="439" customFormat="false" ht="15" hidden="false" customHeight="false" outlineLevel="0" collapsed="false">
      <c r="A439" s="12"/>
      <c r="B439" s="12"/>
      <c r="C439" s="17" t="str">
        <f aca="false">IF(B439="","",IFERROR(INDEX(Produits!$F$2:$F$1001,MATCH(B439,Produits!$A$2:$A$1001,0)),"⚠ code article inconnu"))</f>
        <v/>
      </c>
      <c r="D439" s="12"/>
      <c r="E439" s="23"/>
      <c r="F439" s="24"/>
      <c r="G439" s="23"/>
      <c r="H439" s="21" t="str">
        <f aca="true">IF(E439="","",ROUND((E439-TODAY())/30.4,1))</f>
        <v/>
      </c>
      <c r="I439" s="17" t="str">
        <f aca="false">IF(E439="","",IF(H439&lt;0,IF(LEFT(A439,1)="Q","Périmé (en quarantaine)","PÉRIMÉ → déplacer en zone Q"),IF(H439&lt;3,"Péremption &lt; 3 mois",IF(H439&lt;6,"Péremption &lt; 6 mois",""))))</f>
        <v/>
      </c>
      <c r="J439" s="17" t="str">
        <f aca="false">IF(A439="","",IF(COUNTIF(Emplacements!$A$2:$A$1001,A439)=0,"⚠ emplacement inconnu","OK"))</f>
        <v/>
      </c>
      <c r="K439" s="22" t="str">
        <f aca="false">IF(AND(B439&lt;&gt;"",ISNUMBER(SEARCH(Recherche!$C$3,C439&amp;" "&amp;B439&amp;" "&amp;A439&amp;" "&amp;D439))),MAX($K$1:K438)+1,"")</f>
        <v/>
      </c>
    </row>
    <row r="440" customFormat="false" ht="15" hidden="false" customHeight="false" outlineLevel="0" collapsed="false">
      <c r="A440" s="12"/>
      <c r="B440" s="12"/>
      <c r="C440" s="17" t="str">
        <f aca="false">IF(B440="","",IFERROR(INDEX(Produits!$F$2:$F$1001,MATCH(B440,Produits!$A$2:$A$1001,0)),"⚠ code article inconnu"))</f>
        <v/>
      </c>
      <c r="D440" s="12"/>
      <c r="E440" s="23"/>
      <c r="F440" s="24"/>
      <c r="G440" s="23"/>
      <c r="H440" s="21" t="str">
        <f aca="true">IF(E440="","",ROUND((E440-TODAY())/30.4,1))</f>
        <v/>
      </c>
      <c r="I440" s="17" t="str">
        <f aca="false">IF(E440="","",IF(H440&lt;0,IF(LEFT(A440,1)="Q","Périmé (en quarantaine)","PÉRIMÉ → déplacer en zone Q"),IF(H440&lt;3,"Péremption &lt; 3 mois",IF(H440&lt;6,"Péremption &lt; 6 mois",""))))</f>
        <v/>
      </c>
      <c r="J440" s="17" t="str">
        <f aca="false">IF(A440="","",IF(COUNTIF(Emplacements!$A$2:$A$1001,A440)=0,"⚠ emplacement inconnu","OK"))</f>
        <v/>
      </c>
      <c r="K440" s="22" t="str">
        <f aca="false">IF(AND(B440&lt;&gt;"",ISNUMBER(SEARCH(Recherche!$C$3,C440&amp;" "&amp;B440&amp;" "&amp;A440&amp;" "&amp;D440))),MAX($K$1:K439)+1,"")</f>
        <v/>
      </c>
    </row>
    <row r="441" customFormat="false" ht="15" hidden="false" customHeight="false" outlineLevel="0" collapsed="false">
      <c r="A441" s="12"/>
      <c r="B441" s="12"/>
      <c r="C441" s="17" t="str">
        <f aca="false">IF(B441="","",IFERROR(INDEX(Produits!$F$2:$F$1001,MATCH(B441,Produits!$A$2:$A$1001,0)),"⚠ code article inconnu"))</f>
        <v/>
      </c>
      <c r="D441" s="12"/>
      <c r="E441" s="23"/>
      <c r="F441" s="24"/>
      <c r="G441" s="23"/>
      <c r="H441" s="21" t="str">
        <f aca="true">IF(E441="","",ROUND((E441-TODAY())/30.4,1))</f>
        <v/>
      </c>
      <c r="I441" s="17" t="str">
        <f aca="false">IF(E441="","",IF(H441&lt;0,IF(LEFT(A441,1)="Q","Périmé (en quarantaine)","PÉRIMÉ → déplacer en zone Q"),IF(H441&lt;3,"Péremption &lt; 3 mois",IF(H441&lt;6,"Péremption &lt; 6 mois",""))))</f>
        <v/>
      </c>
      <c r="J441" s="17" t="str">
        <f aca="false">IF(A441="","",IF(COUNTIF(Emplacements!$A$2:$A$1001,A441)=0,"⚠ emplacement inconnu","OK"))</f>
        <v/>
      </c>
      <c r="K441" s="22" t="str">
        <f aca="false">IF(AND(B441&lt;&gt;"",ISNUMBER(SEARCH(Recherche!$C$3,C441&amp;" "&amp;B441&amp;" "&amp;A441&amp;" "&amp;D441))),MAX($K$1:K440)+1,"")</f>
        <v/>
      </c>
    </row>
    <row r="442" customFormat="false" ht="15" hidden="false" customHeight="false" outlineLevel="0" collapsed="false">
      <c r="A442" s="12"/>
      <c r="B442" s="12"/>
      <c r="C442" s="17" t="str">
        <f aca="false">IF(B442="","",IFERROR(INDEX(Produits!$F$2:$F$1001,MATCH(B442,Produits!$A$2:$A$1001,0)),"⚠ code article inconnu"))</f>
        <v/>
      </c>
      <c r="D442" s="12"/>
      <c r="E442" s="23"/>
      <c r="F442" s="24"/>
      <c r="G442" s="23"/>
      <c r="H442" s="21" t="str">
        <f aca="true">IF(E442="","",ROUND((E442-TODAY())/30.4,1))</f>
        <v/>
      </c>
      <c r="I442" s="17" t="str">
        <f aca="false">IF(E442="","",IF(H442&lt;0,IF(LEFT(A442,1)="Q","Périmé (en quarantaine)","PÉRIMÉ → déplacer en zone Q"),IF(H442&lt;3,"Péremption &lt; 3 mois",IF(H442&lt;6,"Péremption &lt; 6 mois",""))))</f>
        <v/>
      </c>
      <c r="J442" s="17" t="str">
        <f aca="false">IF(A442="","",IF(COUNTIF(Emplacements!$A$2:$A$1001,A442)=0,"⚠ emplacement inconnu","OK"))</f>
        <v/>
      </c>
      <c r="K442" s="22" t="str">
        <f aca="false">IF(AND(B442&lt;&gt;"",ISNUMBER(SEARCH(Recherche!$C$3,C442&amp;" "&amp;B442&amp;" "&amp;A442&amp;" "&amp;D442))),MAX($K$1:K441)+1,"")</f>
        <v/>
      </c>
    </row>
    <row r="443" customFormat="false" ht="15" hidden="false" customHeight="false" outlineLevel="0" collapsed="false">
      <c r="A443" s="12"/>
      <c r="B443" s="12"/>
      <c r="C443" s="17" t="str">
        <f aca="false">IF(B443="","",IFERROR(INDEX(Produits!$F$2:$F$1001,MATCH(B443,Produits!$A$2:$A$1001,0)),"⚠ code article inconnu"))</f>
        <v/>
      </c>
      <c r="D443" s="12"/>
      <c r="E443" s="23"/>
      <c r="F443" s="24"/>
      <c r="G443" s="23"/>
      <c r="H443" s="21" t="str">
        <f aca="true">IF(E443="","",ROUND((E443-TODAY())/30.4,1))</f>
        <v/>
      </c>
      <c r="I443" s="17" t="str">
        <f aca="false">IF(E443="","",IF(H443&lt;0,IF(LEFT(A443,1)="Q","Périmé (en quarantaine)","PÉRIMÉ → déplacer en zone Q"),IF(H443&lt;3,"Péremption &lt; 3 mois",IF(H443&lt;6,"Péremption &lt; 6 mois",""))))</f>
        <v/>
      </c>
      <c r="J443" s="17" t="str">
        <f aca="false">IF(A443="","",IF(COUNTIF(Emplacements!$A$2:$A$1001,A443)=0,"⚠ emplacement inconnu","OK"))</f>
        <v/>
      </c>
      <c r="K443" s="22" t="str">
        <f aca="false">IF(AND(B443&lt;&gt;"",ISNUMBER(SEARCH(Recherche!$C$3,C443&amp;" "&amp;B443&amp;" "&amp;A443&amp;" "&amp;D443))),MAX($K$1:K442)+1,"")</f>
        <v/>
      </c>
    </row>
    <row r="444" customFormat="false" ht="15" hidden="false" customHeight="false" outlineLevel="0" collapsed="false">
      <c r="A444" s="12"/>
      <c r="B444" s="12"/>
      <c r="C444" s="17" t="str">
        <f aca="false">IF(B444="","",IFERROR(INDEX(Produits!$F$2:$F$1001,MATCH(B444,Produits!$A$2:$A$1001,0)),"⚠ code article inconnu"))</f>
        <v/>
      </c>
      <c r="D444" s="12"/>
      <c r="E444" s="23"/>
      <c r="F444" s="24"/>
      <c r="G444" s="23"/>
      <c r="H444" s="21" t="str">
        <f aca="true">IF(E444="","",ROUND((E444-TODAY())/30.4,1))</f>
        <v/>
      </c>
      <c r="I444" s="17" t="str">
        <f aca="false">IF(E444="","",IF(H444&lt;0,IF(LEFT(A444,1)="Q","Périmé (en quarantaine)","PÉRIMÉ → déplacer en zone Q"),IF(H444&lt;3,"Péremption &lt; 3 mois",IF(H444&lt;6,"Péremption &lt; 6 mois",""))))</f>
        <v/>
      </c>
      <c r="J444" s="17" t="str">
        <f aca="false">IF(A444="","",IF(COUNTIF(Emplacements!$A$2:$A$1001,A444)=0,"⚠ emplacement inconnu","OK"))</f>
        <v/>
      </c>
      <c r="K444" s="22" t="str">
        <f aca="false">IF(AND(B444&lt;&gt;"",ISNUMBER(SEARCH(Recherche!$C$3,C444&amp;" "&amp;B444&amp;" "&amp;A444&amp;" "&amp;D444))),MAX($K$1:K443)+1,"")</f>
        <v/>
      </c>
    </row>
    <row r="445" customFormat="false" ht="15" hidden="false" customHeight="false" outlineLevel="0" collapsed="false">
      <c r="A445" s="12"/>
      <c r="B445" s="12"/>
      <c r="C445" s="17" t="str">
        <f aca="false">IF(B445="","",IFERROR(INDEX(Produits!$F$2:$F$1001,MATCH(B445,Produits!$A$2:$A$1001,0)),"⚠ code article inconnu"))</f>
        <v/>
      </c>
      <c r="D445" s="12"/>
      <c r="E445" s="23"/>
      <c r="F445" s="24"/>
      <c r="G445" s="23"/>
      <c r="H445" s="21" t="str">
        <f aca="true">IF(E445="","",ROUND((E445-TODAY())/30.4,1))</f>
        <v/>
      </c>
      <c r="I445" s="17" t="str">
        <f aca="false">IF(E445="","",IF(H445&lt;0,IF(LEFT(A445,1)="Q","Périmé (en quarantaine)","PÉRIMÉ → déplacer en zone Q"),IF(H445&lt;3,"Péremption &lt; 3 mois",IF(H445&lt;6,"Péremption &lt; 6 mois",""))))</f>
        <v/>
      </c>
      <c r="J445" s="17" t="str">
        <f aca="false">IF(A445="","",IF(COUNTIF(Emplacements!$A$2:$A$1001,A445)=0,"⚠ emplacement inconnu","OK"))</f>
        <v/>
      </c>
      <c r="K445" s="22" t="str">
        <f aca="false">IF(AND(B445&lt;&gt;"",ISNUMBER(SEARCH(Recherche!$C$3,C445&amp;" "&amp;B445&amp;" "&amp;A445&amp;" "&amp;D445))),MAX($K$1:K444)+1,"")</f>
        <v/>
      </c>
    </row>
    <row r="446" customFormat="false" ht="15" hidden="false" customHeight="false" outlineLevel="0" collapsed="false">
      <c r="A446" s="12"/>
      <c r="B446" s="12"/>
      <c r="C446" s="17" t="str">
        <f aca="false">IF(B446="","",IFERROR(INDEX(Produits!$F$2:$F$1001,MATCH(B446,Produits!$A$2:$A$1001,0)),"⚠ code article inconnu"))</f>
        <v/>
      </c>
      <c r="D446" s="12"/>
      <c r="E446" s="23"/>
      <c r="F446" s="24"/>
      <c r="G446" s="23"/>
      <c r="H446" s="21" t="str">
        <f aca="true">IF(E446="","",ROUND((E446-TODAY())/30.4,1))</f>
        <v/>
      </c>
      <c r="I446" s="17" t="str">
        <f aca="false">IF(E446="","",IF(H446&lt;0,IF(LEFT(A446,1)="Q","Périmé (en quarantaine)","PÉRIMÉ → déplacer en zone Q"),IF(H446&lt;3,"Péremption &lt; 3 mois",IF(H446&lt;6,"Péremption &lt; 6 mois",""))))</f>
        <v/>
      </c>
      <c r="J446" s="17" t="str">
        <f aca="false">IF(A446="","",IF(COUNTIF(Emplacements!$A$2:$A$1001,A446)=0,"⚠ emplacement inconnu","OK"))</f>
        <v/>
      </c>
      <c r="K446" s="22" t="str">
        <f aca="false">IF(AND(B446&lt;&gt;"",ISNUMBER(SEARCH(Recherche!$C$3,C446&amp;" "&amp;B446&amp;" "&amp;A446&amp;" "&amp;D446))),MAX($K$1:K445)+1,"")</f>
        <v/>
      </c>
    </row>
    <row r="447" customFormat="false" ht="15" hidden="false" customHeight="false" outlineLevel="0" collapsed="false">
      <c r="A447" s="12"/>
      <c r="B447" s="12"/>
      <c r="C447" s="17" t="str">
        <f aca="false">IF(B447="","",IFERROR(INDEX(Produits!$F$2:$F$1001,MATCH(B447,Produits!$A$2:$A$1001,0)),"⚠ code article inconnu"))</f>
        <v/>
      </c>
      <c r="D447" s="12"/>
      <c r="E447" s="23"/>
      <c r="F447" s="24"/>
      <c r="G447" s="23"/>
      <c r="H447" s="21" t="str">
        <f aca="true">IF(E447="","",ROUND((E447-TODAY())/30.4,1))</f>
        <v/>
      </c>
      <c r="I447" s="17" t="str">
        <f aca="false">IF(E447="","",IF(H447&lt;0,IF(LEFT(A447,1)="Q","Périmé (en quarantaine)","PÉRIMÉ → déplacer en zone Q"),IF(H447&lt;3,"Péremption &lt; 3 mois",IF(H447&lt;6,"Péremption &lt; 6 mois",""))))</f>
        <v/>
      </c>
      <c r="J447" s="17" t="str">
        <f aca="false">IF(A447="","",IF(COUNTIF(Emplacements!$A$2:$A$1001,A447)=0,"⚠ emplacement inconnu","OK"))</f>
        <v/>
      </c>
      <c r="K447" s="22" t="str">
        <f aca="false">IF(AND(B447&lt;&gt;"",ISNUMBER(SEARCH(Recherche!$C$3,C447&amp;" "&amp;B447&amp;" "&amp;A447&amp;" "&amp;D447))),MAX($K$1:K446)+1,"")</f>
        <v/>
      </c>
    </row>
    <row r="448" customFormat="false" ht="15" hidden="false" customHeight="false" outlineLevel="0" collapsed="false">
      <c r="A448" s="12"/>
      <c r="B448" s="12"/>
      <c r="C448" s="17" t="str">
        <f aca="false">IF(B448="","",IFERROR(INDEX(Produits!$F$2:$F$1001,MATCH(B448,Produits!$A$2:$A$1001,0)),"⚠ code article inconnu"))</f>
        <v/>
      </c>
      <c r="D448" s="12"/>
      <c r="E448" s="23"/>
      <c r="F448" s="24"/>
      <c r="G448" s="23"/>
      <c r="H448" s="21" t="str">
        <f aca="true">IF(E448="","",ROUND((E448-TODAY())/30.4,1))</f>
        <v/>
      </c>
      <c r="I448" s="17" t="str">
        <f aca="false">IF(E448="","",IF(H448&lt;0,IF(LEFT(A448,1)="Q","Périmé (en quarantaine)","PÉRIMÉ → déplacer en zone Q"),IF(H448&lt;3,"Péremption &lt; 3 mois",IF(H448&lt;6,"Péremption &lt; 6 mois",""))))</f>
        <v/>
      </c>
      <c r="J448" s="17" t="str">
        <f aca="false">IF(A448="","",IF(COUNTIF(Emplacements!$A$2:$A$1001,A448)=0,"⚠ emplacement inconnu","OK"))</f>
        <v/>
      </c>
      <c r="K448" s="22" t="str">
        <f aca="false">IF(AND(B448&lt;&gt;"",ISNUMBER(SEARCH(Recherche!$C$3,C448&amp;" "&amp;B448&amp;" "&amp;A448&amp;" "&amp;D448))),MAX($K$1:K447)+1,"")</f>
        <v/>
      </c>
    </row>
    <row r="449" customFormat="false" ht="15" hidden="false" customHeight="false" outlineLevel="0" collapsed="false">
      <c r="A449" s="12"/>
      <c r="B449" s="12"/>
      <c r="C449" s="17" t="str">
        <f aca="false">IF(B449="","",IFERROR(INDEX(Produits!$F$2:$F$1001,MATCH(B449,Produits!$A$2:$A$1001,0)),"⚠ code article inconnu"))</f>
        <v/>
      </c>
      <c r="D449" s="12"/>
      <c r="E449" s="23"/>
      <c r="F449" s="24"/>
      <c r="G449" s="23"/>
      <c r="H449" s="21" t="str">
        <f aca="true">IF(E449="","",ROUND((E449-TODAY())/30.4,1))</f>
        <v/>
      </c>
      <c r="I449" s="17" t="str">
        <f aca="false">IF(E449="","",IF(H449&lt;0,IF(LEFT(A449,1)="Q","Périmé (en quarantaine)","PÉRIMÉ → déplacer en zone Q"),IF(H449&lt;3,"Péremption &lt; 3 mois",IF(H449&lt;6,"Péremption &lt; 6 mois",""))))</f>
        <v/>
      </c>
      <c r="J449" s="17" t="str">
        <f aca="false">IF(A449="","",IF(COUNTIF(Emplacements!$A$2:$A$1001,A449)=0,"⚠ emplacement inconnu","OK"))</f>
        <v/>
      </c>
      <c r="K449" s="22" t="str">
        <f aca="false">IF(AND(B449&lt;&gt;"",ISNUMBER(SEARCH(Recherche!$C$3,C449&amp;" "&amp;B449&amp;" "&amp;A449&amp;" "&amp;D449))),MAX($K$1:K448)+1,"")</f>
        <v/>
      </c>
    </row>
    <row r="450" customFormat="false" ht="15" hidden="false" customHeight="false" outlineLevel="0" collapsed="false">
      <c r="A450" s="12"/>
      <c r="B450" s="12"/>
      <c r="C450" s="17" t="str">
        <f aca="false">IF(B450="","",IFERROR(INDEX(Produits!$F$2:$F$1001,MATCH(B450,Produits!$A$2:$A$1001,0)),"⚠ code article inconnu"))</f>
        <v/>
      </c>
      <c r="D450" s="12"/>
      <c r="E450" s="23"/>
      <c r="F450" s="24"/>
      <c r="G450" s="23"/>
      <c r="H450" s="21" t="str">
        <f aca="true">IF(E450="","",ROUND((E450-TODAY())/30.4,1))</f>
        <v/>
      </c>
      <c r="I450" s="17" t="str">
        <f aca="false">IF(E450="","",IF(H450&lt;0,IF(LEFT(A450,1)="Q","Périmé (en quarantaine)","PÉRIMÉ → déplacer en zone Q"),IF(H450&lt;3,"Péremption &lt; 3 mois",IF(H450&lt;6,"Péremption &lt; 6 mois",""))))</f>
        <v/>
      </c>
      <c r="J450" s="17" t="str">
        <f aca="false">IF(A450="","",IF(COUNTIF(Emplacements!$A$2:$A$1001,A450)=0,"⚠ emplacement inconnu","OK"))</f>
        <v/>
      </c>
      <c r="K450" s="22" t="str">
        <f aca="false">IF(AND(B450&lt;&gt;"",ISNUMBER(SEARCH(Recherche!$C$3,C450&amp;" "&amp;B450&amp;" "&amp;A450&amp;" "&amp;D450))),MAX($K$1:K449)+1,"")</f>
        <v/>
      </c>
    </row>
    <row r="451" customFormat="false" ht="15" hidden="false" customHeight="false" outlineLevel="0" collapsed="false">
      <c r="A451" s="12"/>
      <c r="B451" s="12"/>
      <c r="C451" s="17" t="str">
        <f aca="false">IF(B451="","",IFERROR(INDEX(Produits!$F$2:$F$1001,MATCH(B451,Produits!$A$2:$A$1001,0)),"⚠ code article inconnu"))</f>
        <v/>
      </c>
      <c r="D451" s="12"/>
      <c r="E451" s="23"/>
      <c r="F451" s="24"/>
      <c r="G451" s="23"/>
      <c r="H451" s="21" t="str">
        <f aca="true">IF(E451="","",ROUND((E451-TODAY())/30.4,1))</f>
        <v/>
      </c>
      <c r="I451" s="17" t="str">
        <f aca="false">IF(E451="","",IF(H451&lt;0,IF(LEFT(A451,1)="Q","Périmé (en quarantaine)","PÉRIMÉ → déplacer en zone Q"),IF(H451&lt;3,"Péremption &lt; 3 mois",IF(H451&lt;6,"Péremption &lt; 6 mois",""))))</f>
        <v/>
      </c>
      <c r="J451" s="17" t="str">
        <f aca="false">IF(A451="","",IF(COUNTIF(Emplacements!$A$2:$A$1001,A451)=0,"⚠ emplacement inconnu","OK"))</f>
        <v/>
      </c>
      <c r="K451" s="22" t="str">
        <f aca="false">IF(AND(B451&lt;&gt;"",ISNUMBER(SEARCH(Recherche!$C$3,C451&amp;" "&amp;B451&amp;" "&amp;A451&amp;" "&amp;D451))),MAX($K$1:K450)+1,"")</f>
        <v/>
      </c>
    </row>
    <row r="452" customFormat="false" ht="15" hidden="false" customHeight="false" outlineLevel="0" collapsed="false">
      <c r="A452" s="12"/>
      <c r="B452" s="12"/>
      <c r="C452" s="17" t="str">
        <f aca="false">IF(B452="","",IFERROR(INDEX(Produits!$F$2:$F$1001,MATCH(B452,Produits!$A$2:$A$1001,0)),"⚠ code article inconnu"))</f>
        <v/>
      </c>
      <c r="D452" s="12"/>
      <c r="E452" s="23"/>
      <c r="F452" s="24"/>
      <c r="G452" s="23"/>
      <c r="H452" s="21" t="str">
        <f aca="true">IF(E452="","",ROUND((E452-TODAY())/30.4,1))</f>
        <v/>
      </c>
      <c r="I452" s="17" t="str">
        <f aca="false">IF(E452="","",IF(H452&lt;0,IF(LEFT(A452,1)="Q","Périmé (en quarantaine)","PÉRIMÉ → déplacer en zone Q"),IF(H452&lt;3,"Péremption &lt; 3 mois",IF(H452&lt;6,"Péremption &lt; 6 mois",""))))</f>
        <v/>
      </c>
      <c r="J452" s="17" t="str">
        <f aca="false">IF(A452="","",IF(COUNTIF(Emplacements!$A$2:$A$1001,A452)=0,"⚠ emplacement inconnu","OK"))</f>
        <v/>
      </c>
      <c r="K452" s="22" t="str">
        <f aca="false">IF(AND(B452&lt;&gt;"",ISNUMBER(SEARCH(Recherche!$C$3,C452&amp;" "&amp;B452&amp;" "&amp;A452&amp;" "&amp;D452))),MAX($K$1:K451)+1,"")</f>
        <v/>
      </c>
    </row>
    <row r="453" customFormat="false" ht="15" hidden="false" customHeight="false" outlineLevel="0" collapsed="false">
      <c r="A453" s="12"/>
      <c r="B453" s="12"/>
      <c r="C453" s="17" t="str">
        <f aca="false">IF(B453="","",IFERROR(INDEX(Produits!$F$2:$F$1001,MATCH(B453,Produits!$A$2:$A$1001,0)),"⚠ code article inconnu"))</f>
        <v/>
      </c>
      <c r="D453" s="12"/>
      <c r="E453" s="23"/>
      <c r="F453" s="24"/>
      <c r="G453" s="23"/>
      <c r="H453" s="21" t="str">
        <f aca="true">IF(E453="","",ROUND((E453-TODAY())/30.4,1))</f>
        <v/>
      </c>
      <c r="I453" s="17" t="str">
        <f aca="false">IF(E453="","",IF(H453&lt;0,IF(LEFT(A453,1)="Q","Périmé (en quarantaine)","PÉRIMÉ → déplacer en zone Q"),IF(H453&lt;3,"Péremption &lt; 3 mois",IF(H453&lt;6,"Péremption &lt; 6 mois",""))))</f>
        <v/>
      </c>
      <c r="J453" s="17" t="str">
        <f aca="false">IF(A453="","",IF(COUNTIF(Emplacements!$A$2:$A$1001,A453)=0,"⚠ emplacement inconnu","OK"))</f>
        <v/>
      </c>
      <c r="K453" s="22" t="str">
        <f aca="false">IF(AND(B453&lt;&gt;"",ISNUMBER(SEARCH(Recherche!$C$3,C453&amp;" "&amp;B453&amp;" "&amp;A453&amp;" "&amp;D453))),MAX($K$1:K452)+1,"")</f>
        <v/>
      </c>
    </row>
    <row r="454" customFormat="false" ht="15" hidden="false" customHeight="false" outlineLevel="0" collapsed="false">
      <c r="A454" s="12"/>
      <c r="B454" s="12"/>
      <c r="C454" s="17" t="str">
        <f aca="false">IF(B454="","",IFERROR(INDEX(Produits!$F$2:$F$1001,MATCH(B454,Produits!$A$2:$A$1001,0)),"⚠ code article inconnu"))</f>
        <v/>
      </c>
      <c r="D454" s="12"/>
      <c r="E454" s="23"/>
      <c r="F454" s="24"/>
      <c r="G454" s="23"/>
      <c r="H454" s="21" t="str">
        <f aca="true">IF(E454="","",ROUND((E454-TODAY())/30.4,1))</f>
        <v/>
      </c>
      <c r="I454" s="17" t="str">
        <f aca="false">IF(E454="","",IF(H454&lt;0,IF(LEFT(A454,1)="Q","Périmé (en quarantaine)","PÉRIMÉ → déplacer en zone Q"),IF(H454&lt;3,"Péremption &lt; 3 mois",IF(H454&lt;6,"Péremption &lt; 6 mois",""))))</f>
        <v/>
      </c>
      <c r="J454" s="17" t="str">
        <f aca="false">IF(A454="","",IF(COUNTIF(Emplacements!$A$2:$A$1001,A454)=0,"⚠ emplacement inconnu","OK"))</f>
        <v/>
      </c>
      <c r="K454" s="22" t="str">
        <f aca="false">IF(AND(B454&lt;&gt;"",ISNUMBER(SEARCH(Recherche!$C$3,C454&amp;" "&amp;B454&amp;" "&amp;A454&amp;" "&amp;D454))),MAX($K$1:K453)+1,"")</f>
        <v/>
      </c>
    </row>
    <row r="455" customFormat="false" ht="15" hidden="false" customHeight="false" outlineLevel="0" collapsed="false">
      <c r="A455" s="12"/>
      <c r="B455" s="12"/>
      <c r="C455" s="17" t="str">
        <f aca="false">IF(B455="","",IFERROR(INDEX(Produits!$F$2:$F$1001,MATCH(B455,Produits!$A$2:$A$1001,0)),"⚠ code article inconnu"))</f>
        <v/>
      </c>
      <c r="D455" s="12"/>
      <c r="E455" s="23"/>
      <c r="F455" s="24"/>
      <c r="G455" s="23"/>
      <c r="H455" s="21" t="str">
        <f aca="true">IF(E455="","",ROUND((E455-TODAY())/30.4,1))</f>
        <v/>
      </c>
      <c r="I455" s="17" t="str">
        <f aca="false">IF(E455="","",IF(H455&lt;0,IF(LEFT(A455,1)="Q","Périmé (en quarantaine)","PÉRIMÉ → déplacer en zone Q"),IF(H455&lt;3,"Péremption &lt; 3 mois",IF(H455&lt;6,"Péremption &lt; 6 mois",""))))</f>
        <v/>
      </c>
      <c r="J455" s="17" t="str">
        <f aca="false">IF(A455="","",IF(COUNTIF(Emplacements!$A$2:$A$1001,A455)=0,"⚠ emplacement inconnu","OK"))</f>
        <v/>
      </c>
      <c r="K455" s="22" t="str">
        <f aca="false">IF(AND(B455&lt;&gt;"",ISNUMBER(SEARCH(Recherche!$C$3,C455&amp;" "&amp;B455&amp;" "&amp;A455&amp;" "&amp;D455))),MAX($K$1:K454)+1,"")</f>
        <v/>
      </c>
    </row>
    <row r="456" customFormat="false" ht="15" hidden="false" customHeight="false" outlineLevel="0" collapsed="false">
      <c r="A456" s="12"/>
      <c r="B456" s="12"/>
      <c r="C456" s="17" t="str">
        <f aca="false">IF(B456="","",IFERROR(INDEX(Produits!$F$2:$F$1001,MATCH(B456,Produits!$A$2:$A$1001,0)),"⚠ code article inconnu"))</f>
        <v/>
      </c>
      <c r="D456" s="12"/>
      <c r="E456" s="23"/>
      <c r="F456" s="24"/>
      <c r="G456" s="23"/>
      <c r="H456" s="21" t="str">
        <f aca="true">IF(E456="","",ROUND((E456-TODAY())/30.4,1))</f>
        <v/>
      </c>
      <c r="I456" s="17" t="str">
        <f aca="false">IF(E456="","",IF(H456&lt;0,IF(LEFT(A456,1)="Q","Périmé (en quarantaine)","PÉRIMÉ → déplacer en zone Q"),IF(H456&lt;3,"Péremption &lt; 3 mois",IF(H456&lt;6,"Péremption &lt; 6 mois",""))))</f>
        <v/>
      </c>
      <c r="J456" s="17" t="str">
        <f aca="false">IF(A456="","",IF(COUNTIF(Emplacements!$A$2:$A$1001,A456)=0,"⚠ emplacement inconnu","OK"))</f>
        <v/>
      </c>
      <c r="K456" s="22" t="str">
        <f aca="false">IF(AND(B456&lt;&gt;"",ISNUMBER(SEARCH(Recherche!$C$3,C456&amp;" "&amp;B456&amp;" "&amp;A456&amp;" "&amp;D456))),MAX($K$1:K455)+1,"")</f>
        <v/>
      </c>
    </row>
    <row r="457" customFormat="false" ht="15" hidden="false" customHeight="false" outlineLevel="0" collapsed="false">
      <c r="A457" s="12"/>
      <c r="B457" s="12"/>
      <c r="C457" s="17" t="str">
        <f aca="false">IF(B457="","",IFERROR(INDEX(Produits!$F$2:$F$1001,MATCH(B457,Produits!$A$2:$A$1001,0)),"⚠ code article inconnu"))</f>
        <v/>
      </c>
      <c r="D457" s="12"/>
      <c r="E457" s="23"/>
      <c r="F457" s="24"/>
      <c r="G457" s="23"/>
      <c r="H457" s="21" t="str">
        <f aca="true">IF(E457="","",ROUND((E457-TODAY())/30.4,1))</f>
        <v/>
      </c>
      <c r="I457" s="17" t="str">
        <f aca="false">IF(E457="","",IF(H457&lt;0,IF(LEFT(A457,1)="Q","Périmé (en quarantaine)","PÉRIMÉ → déplacer en zone Q"),IF(H457&lt;3,"Péremption &lt; 3 mois",IF(H457&lt;6,"Péremption &lt; 6 mois",""))))</f>
        <v/>
      </c>
      <c r="J457" s="17" t="str">
        <f aca="false">IF(A457="","",IF(COUNTIF(Emplacements!$A$2:$A$1001,A457)=0,"⚠ emplacement inconnu","OK"))</f>
        <v/>
      </c>
      <c r="K457" s="22" t="str">
        <f aca="false">IF(AND(B457&lt;&gt;"",ISNUMBER(SEARCH(Recherche!$C$3,C457&amp;" "&amp;B457&amp;" "&amp;A457&amp;" "&amp;D457))),MAX($K$1:K456)+1,"")</f>
        <v/>
      </c>
    </row>
    <row r="458" customFormat="false" ht="15" hidden="false" customHeight="false" outlineLevel="0" collapsed="false">
      <c r="A458" s="12"/>
      <c r="B458" s="12"/>
      <c r="C458" s="17" t="str">
        <f aca="false">IF(B458="","",IFERROR(INDEX(Produits!$F$2:$F$1001,MATCH(B458,Produits!$A$2:$A$1001,0)),"⚠ code article inconnu"))</f>
        <v/>
      </c>
      <c r="D458" s="12"/>
      <c r="E458" s="23"/>
      <c r="F458" s="24"/>
      <c r="G458" s="23"/>
      <c r="H458" s="21" t="str">
        <f aca="true">IF(E458="","",ROUND((E458-TODAY())/30.4,1))</f>
        <v/>
      </c>
      <c r="I458" s="17" t="str">
        <f aca="false">IF(E458="","",IF(H458&lt;0,IF(LEFT(A458,1)="Q","Périmé (en quarantaine)","PÉRIMÉ → déplacer en zone Q"),IF(H458&lt;3,"Péremption &lt; 3 mois",IF(H458&lt;6,"Péremption &lt; 6 mois",""))))</f>
        <v/>
      </c>
      <c r="J458" s="17" t="str">
        <f aca="false">IF(A458="","",IF(COUNTIF(Emplacements!$A$2:$A$1001,A458)=0,"⚠ emplacement inconnu","OK"))</f>
        <v/>
      </c>
      <c r="K458" s="22" t="str">
        <f aca="false">IF(AND(B458&lt;&gt;"",ISNUMBER(SEARCH(Recherche!$C$3,C458&amp;" "&amp;B458&amp;" "&amp;A458&amp;" "&amp;D458))),MAX($K$1:K457)+1,"")</f>
        <v/>
      </c>
    </row>
    <row r="459" customFormat="false" ht="15" hidden="false" customHeight="false" outlineLevel="0" collapsed="false">
      <c r="A459" s="12"/>
      <c r="B459" s="12"/>
      <c r="C459" s="17" t="str">
        <f aca="false">IF(B459="","",IFERROR(INDEX(Produits!$F$2:$F$1001,MATCH(B459,Produits!$A$2:$A$1001,0)),"⚠ code article inconnu"))</f>
        <v/>
      </c>
      <c r="D459" s="12"/>
      <c r="E459" s="23"/>
      <c r="F459" s="24"/>
      <c r="G459" s="23"/>
      <c r="H459" s="21" t="str">
        <f aca="true">IF(E459="","",ROUND((E459-TODAY())/30.4,1))</f>
        <v/>
      </c>
      <c r="I459" s="17" t="str">
        <f aca="false">IF(E459="","",IF(H459&lt;0,IF(LEFT(A459,1)="Q","Périmé (en quarantaine)","PÉRIMÉ → déplacer en zone Q"),IF(H459&lt;3,"Péremption &lt; 3 mois",IF(H459&lt;6,"Péremption &lt; 6 mois",""))))</f>
        <v/>
      </c>
      <c r="J459" s="17" t="str">
        <f aca="false">IF(A459="","",IF(COUNTIF(Emplacements!$A$2:$A$1001,A459)=0,"⚠ emplacement inconnu","OK"))</f>
        <v/>
      </c>
      <c r="K459" s="22" t="str">
        <f aca="false">IF(AND(B459&lt;&gt;"",ISNUMBER(SEARCH(Recherche!$C$3,C459&amp;" "&amp;B459&amp;" "&amp;A459&amp;" "&amp;D459))),MAX($K$1:K458)+1,"")</f>
        <v/>
      </c>
    </row>
    <row r="460" customFormat="false" ht="15" hidden="false" customHeight="false" outlineLevel="0" collapsed="false">
      <c r="A460" s="12"/>
      <c r="B460" s="12"/>
      <c r="C460" s="17" t="str">
        <f aca="false">IF(B460="","",IFERROR(INDEX(Produits!$F$2:$F$1001,MATCH(B460,Produits!$A$2:$A$1001,0)),"⚠ code article inconnu"))</f>
        <v/>
      </c>
      <c r="D460" s="12"/>
      <c r="E460" s="23"/>
      <c r="F460" s="24"/>
      <c r="G460" s="23"/>
      <c r="H460" s="21" t="str">
        <f aca="true">IF(E460="","",ROUND((E460-TODAY())/30.4,1))</f>
        <v/>
      </c>
      <c r="I460" s="17" t="str">
        <f aca="false">IF(E460="","",IF(H460&lt;0,IF(LEFT(A460,1)="Q","Périmé (en quarantaine)","PÉRIMÉ → déplacer en zone Q"),IF(H460&lt;3,"Péremption &lt; 3 mois",IF(H460&lt;6,"Péremption &lt; 6 mois",""))))</f>
        <v/>
      </c>
      <c r="J460" s="17" t="str">
        <f aca="false">IF(A460="","",IF(COUNTIF(Emplacements!$A$2:$A$1001,A460)=0,"⚠ emplacement inconnu","OK"))</f>
        <v/>
      </c>
      <c r="K460" s="22" t="str">
        <f aca="false">IF(AND(B460&lt;&gt;"",ISNUMBER(SEARCH(Recherche!$C$3,C460&amp;" "&amp;B460&amp;" "&amp;A460&amp;" "&amp;D460))),MAX($K$1:K459)+1,"")</f>
        <v/>
      </c>
    </row>
    <row r="461" customFormat="false" ht="15" hidden="false" customHeight="false" outlineLevel="0" collapsed="false">
      <c r="A461" s="12"/>
      <c r="B461" s="12"/>
      <c r="C461" s="17" t="str">
        <f aca="false">IF(B461="","",IFERROR(INDEX(Produits!$F$2:$F$1001,MATCH(B461,Produits!$A$2:$A$1001,0)),"⚠ code article inconnu"))</f>
        <v/>
      </c>
      <c r="D461" s="12"/>
      <c r="E461" s="23"/>
      <c r="F461" s="24"/>
      <c r="G461" s="23"/>
      <c r="H461" s="21" t="str">
        <f aca="true">IF(E461="","",ROUND((E461-TODAY())/30.4,1))</f>
        <v/>
      </c>
      <c r="I461" s="17" t="str">
        <f aca="false">IF(E461="","",IF(H461&lt;0,IF(LEFT(A461,1)="Q","Périmé (en quarantaine)","PÉRIMÉ → déplacer en zone Q"),IF(H461&lt;3,"Péremption &lt; 3 mois",IF(H461&lt;6,"Péremption &lt; 6 mois",""))))</f>
        <v/>
      </c>
      <c r="J461" s="17" t="str">
        <f aca="false">IF(A461="","",IF(COUNTIF(Emplacements!$A$2:$A$1001,A461)=0,"⚠ emplacement inconnu","OK"))</f>
        <v/>
      </c>
      <c r="K461" s="22" t="str">
        <f aca="false">IF(AND(B461&lt;&gt;"",ISNUMBER(SEARCH(Recherche!$C$3,C461&amp;" "&amp;B461&amp;" "&amp;A461&amp;" "&amp;D461))),MAX($K$1:K460)+1,"")</f>
        <v/>
      </c>
    </row>
    <row r="462" customFormat="false" ht="15" hidden="false" customHeight="false" outlineLevel="0" collapsed="false">
      <c r="A462" s="12"/>
      <c r="B462" s="12"/>
      <c r="C462" s="17" t="str">
        <f aca="false">IF(B462="","",IFERROR(INDEX(Produits!$F$2:$F$1001,MATCH(B462,Produits!$A$2:$A$1001,0)),"⚠ code article inconnu"))</f>
        <v/>
      </c>
      <c r="D462" s="12"/>
      <c r="E462" s="23"/>
      <c r="F462" s="24"/>
      <c r="G462" s="23"/>
      <c r="H462" s="21" t="str">
        <f aca="true">IF(E462="","",ROUND((E462-TODAY())/30.4,1))</f>
        <v/>
      </c>
      <c r="I462" s="17" t="str">
        <f aca="false">IF(E462="","",IF(H462&lt;0,IF(LEFT(A462,1)="Q","Périmé (en quarantaine)","PÉRIMÉ → déplacer en zone Q"),IF(H462&lt;3,"Péremption &lt; 3 mois",IF(H462&lt;6,"Péremption &lt; 6 mois",""))))</f>
        <v/>
      </c>
      <c r="J462" s="17" t="str">
        <f aca="false">IF(A462="","",IF(COUNTIF(Emplacements!$A$2:$A$1001,A462)=0,"⚠ emplacement inconnu","OK"))</f>
        <v/>
      </c>
      <c r="K462" s="22" t="str">
        <f aca="false">IF(AND(B462&lt;&gt;"",ISNUMBER(SEARCH(Recherche!$C$3,C462&amp;" "&amp;B462&amp;" "&amp;A462&amp;" "&amp;D462))),MAX($K$1:K461)+1,"")</f>
        <v/>
      </c>
    </row>
    <row r="463" customFormat="false" ht="15" hidden="false" customHeight="false" outlineLevel="0" collapsed="false">
      <c r="A463" s="12"/>
      <c r="B463" s="12"/>
      <c r="C463" s="17" t="str">
        <f aca="false">IF(B463="","",IFERROR(INDEX(Produits!$F$2:$F$1001,MATCH(B463,Produits!$A$2:$A$1001,0)),"⚠ code article inconnu"))</f>
        <v/>
      </c>
      <c r="D463" s="12"/>
      <c r="E463" s="23"/>
      <c r="F463" s="24"/>
      <c r="G463" s="23"/>
      <c r="H463" s="21" t="str">
        <f aca="true">IF(E463="","",ROUND((E463-TODAY())/30.4,1))</f>
        <v/>
      </c>
      <c r="I463" s="17" t="str">
        <f aca="false">IF(E463="","",IF(H463&lt;0,IF(LEFT(A463,1)="Q","Périmé (en quarantaine)","PÉRIMÉ → déplacer en zone Q"),IF(H463&lt;3,"Péremption &lt; 3 mois",IF(H463&lt;6,"Péremption &lt; 6 mois",""))))</f>
        <v/>
      </c>
      <c r="J463" s="17" t="str">
        <f aca="false">IF(A463="","",IF(COUNTIF(Emplacements!$A$2:$A$1001,A463)=0,"⚠ emplacement inconnu","OK"))</f>
        <v/>
      </c>
      <c r="K463" s="22" t="str">
        <f aca="false">IF(AND(B463&lt;&gt;"",ISNUMBER(SEARCH(Recherche!$C$3,C463&amp;" "&amp;B463&amp;" "&amp;A463&amp;" "&amp;D463))),MAX($K$1:K462)+1,"")</f>
        <v/>
      </c>
    </row>
    <row r="464" customFormat="false" ht="15" hidden="false" customHeight="false" outlineLevel="0" collapsed="false">
      <c r="A464" s="12"/>
      <c r="B464" s="12"/>
      <c r="C464" s="17" t="str">
        <f aca="false">IF(B464="","",IFERROR(INDEX(Produits!$F$2:$F$1001,MATCH(B464,Produits!$A$2:$A$1001,0)),"⚠ code article inconnu"))</f>
        <v/>
      </c>
      <c r="D464" s="12"/>
      <c r="E464" s="23"/>
      <c r="F464" s="24"/>
      <c r="G464" s="23"/>
      <c r="H464" s="21" t="str">
        <f aca="true">IF(E464="","",ROUND((E464-TODAY())/30.4,1))</f>
        <v/>
      </c>
      <c r="I464" s="17" t="str">
        <f aca="false">IF(E464="","",IF(H464&lt;0,IF(LEFT(A464,1)="Q","Périmé (en quarantaine)","PÉRIMÉ → déplacer en zone Q"),IF(H464&lt;3,"Péremption &lt; 3 mois",IF(H464&lt;6,"Péremption &lt; 6 mois",""))))</f>
        <v/>
      </c>
      <c r="J464" s="17" t="str">
        <f aca="false">IF(A464="","",IF(COUNTIF(Emplacements!$A$2:$A$1001,A464)=0,"⚠ emplacement inconnu","OK"))</f>
        <v/>
      </c>
      <c r="K464" s="22" t="str">
        <f aca="false">IF(AND(B464&lt;&gt;"",ISNUMBER(SEARCH(Recherche!$C$3,C464&amp;" "&amp;B464&amp;" "&amp;A464&amp;" "&amp;D464))),MAX($K$1:K463)+1,"")</f>
        <v/>
      </c>
    </row>
    <row r="465" customFormat="false" ht="15" hidden="false" customHeight="false" outlineLevel="0" collapsed="false">
      <c r="A465" s="12"/>
      <c r="B465" s="12"/>
      <c r="C465" s="17" t="str">
        <f aca="false">IF(B465="","",IFERROR(INDEX(Produits!$F$2:$F$1001,MATCH(B465,Produits!$A$2:$A$1001,0)),"⚠ code article inconnu"))</f>
        <v/>
      </c>
      <c r="D465" s="12"/>
      <c r="E465" s="23"/>
      <c r="F465" s="24"/>
      <c r="G465" s="23"/>
      <c r="H465" s="21" t="str">
        <f aca="true">IF(E465="","",ROUND((E465-TODAY())/30.4,1))</f>
        <v/>
      </c>
      <c r="I465" s="17" t="str">
        <f aca="false">IF(E465="","",IF(H465&lt;0,IF(LEFT(A465,1)="Q","Périmé (en quarantaine)","PÉRIMÉ → déplacer en zone Q"),IF(H465&lt;3,"Péremption &lt; 3 mois",IF(H465&lt;6,"Péremption &lt; 6 mois",""))))</f>
        <v/>
      </c>
      <c r="J465" s="17" t="str">
        <f aca="false">IF(A465="","",IF(COUNTIF(Emplacements!$A$2:$A$1001,A465)=0,"⚠ emplacement inconnu","OK"))</f>
        <v/>
      </c>
      <c r="K465" s="22" t="str">
        <f aca="false">IF(AND(B465&lt;&gt;"",ISNUMBER(SEARCH(Recherche!$C$3,C465&amp;" "&amp;B465&amp;" "&amp;A465&amp;" "&amp;D465))),MAX($K$1:K464)+1,"")</f>
        <v/>
      </c>
    </row>
    <row r="466" customFormat="false" ht="15" hidden="false" customHeight="false" outlineLevel="0" collapsed="false">
      <c r="A466" s="12"/>
      <c r="B466" s="12"/>
      <c r="C466" s="17" t="str">
        <f aca="false">IF(B466="","",IFERROR(INDEX(Produits!$F$2:$F$1001,MATCH(B466,Produits!$A$2:$A$1001,0)),"⚠ code article inconnu"))</f>
        <v/>
      </c>
      <c r="D466" s="12"/>
      <c r="E466" s="23"/>
      <c r="F466" s="24"/>
      <c r="G466" s="23"/>
      <c r="H466" s="21" t="str">
        <f aca="true">IF(E466="","",ROUND((E466-TODAY())/30.4,1))</f>
        <v/>
      </c>
      <c r="I466" s="17" t="str">
        <f aca="false">IF(E466="","",IF(H466&lt;0,IF(LEFT(A466,1)="Q","Périmé (en quarantaine)","PÉRIMÉ → déplacer en zone Q"),IF(H466&lt;3,"Péremption &lt; 3 mois",IF(H466&lt;6,"Péremption &lt; 6 mois",""))))</f>
        <v/>
      </c>
      <c r="J466" s="17" t="str">
        <f aca="false">IF(A466="","",IF(COUNTIF(Emplacements!$A$2:$A$1001,A466)=0,"⚠ emplacement inconnu","OK"))</f>
        <v/>
      </c>
      <c r="K466" s="22" t="str">
        <f aca="false">IF(AND(B466&lt;&gt;"",ISNUMBER(SEARCH(Recherche!$C$3,C466&amp;" "&amp;B466&amp;" "&amp;A466&amp;" "&amp;D466))),MAX($K$1:K465)+1,"")</f>
        <v/>
      </c>
    </row>
    <row r="467" customFormat="false" ht="15" hidden="false" customHeight="false" outlineLevel="0" collapsed="false">
      <c r="A467" s="12"/>
      <c r="B467" s="12"/>
      <c r="C467" s="17" t="str">
        <f aca="false">IF(B467="","",IFERROR(INDEX(Produits!$F$2:$F$1001,MATCH(B467,Produits!$A$2:$A$1001,0)),"⚠ code article inconnu"))</f>
        <v/>
      </c>
      <c r="D467" s="12"/>
      <c r="E467" s="23"/>
      <c r="F467" s="24"/>
      <c r="G467" s="23"/>
      <c r="H467" s="21" t="str">
        <f aca="true">IF(E467="","",ROUND((E467-TODAY())/30.4,1))</f>
        <v/>
      </c>
      <c r="I467" s="17" t="str">
        <f aca="false">IF(E467="","",IF(H467&lt;0,IF(LEFT(A467,1)="Q","Périmé (en quarantaine)","PÉRIMÉ → déplacer en zone Q"),IF(H467&lt;3,"Péremption &lt; 3 mois",IF(H467&lt;6,"Péremption &lt; 6 mois",""))))</f>
        <v/>
      </c>
      <c r="J467" s="17" t="str">
        <f aca="false">IF(A467="","",IF(COUNTIF(Emplacements!$A$2:$A$1001,A467)=0,"⚠ emplacement inconnu","OK"))</f>
        <v/>
      </c>
      <c r="K467" s="22" t="str">
        <f aca="false">IF(AND(B467&lt;&gt;"",ISNUMBER(SEARCH(Recherche!$C$3,C467&amp;" "&amp;B467&amp;" "&amp;A467&amp;" "&amp;D467))),MAX($K$1:K466)+1,"")</f>
        <v/>
      </c>
    </row>
    <row r="468" customFormat="false" ht="15" hidden="false" customHeight="false" outlineLevel="0" collapsed="false">
      <c r="A468" s="12"/>
      <c r="B468" s="12"/>
      <c r="C468" s="17" t="str">
        <f aca="false">IF(B468="","",IFERROR(INDEX(Produits!$F$2:$F$1001,MATCH(B468,Produits!$A$2:$A$1001,0)),"⚠ code article inconnu"))</f>
        <v/>
      </c>
      <c r="D468" s="12"/>
      <c r="E468" s="23"/>
      <c r="F468" s="24"/>
      <c r="G468" s="23"/>
      <c r="H468" s="21" t="str">
        <f aca="true">IF(E468="","",ROUND((E468-TODAY())/30.4,1))</f>
        <v/>
      </c>
      <c r="I468" s="17" t="str">
        <f aca="false">IF(E468="","",IF(H468&lt;0,IF(LEFT(A468,1)="Q","Périmé (en quarantaine)","PÉRIMÉ → déplacer en zone Q"),IF(H468&lt;3,"Péremption &lt; 3 mois",IF(H468&lt;6,"Péremption &lt; 6 mois",""))))</f>
        <v/>
      </c>
      <c r="J468" s="17" t="str">
        <f aca="false">IF(A468="","",IF(COUNTIF(Emplacements!$A$2:$A$1001,A468)=0,"⚠ emplacement inconnu","OK"))</f>
        <v/>
      </c>
      <c r="K468" s="22" t="str">
        <f aca="false">IF(AND(B468&lt;&gt;"",ISNUMBER(SEARCH(Recherche!$C$3,C468&amp;" "&amp;B468&amp;" "&amp;A468&amp;" "&amp;D468))),MAX($K$1:K467)+1,"")</f>
        <v/>
      </c>
    </row>
    <row r="469" customFormat="false" ht="15" hidden="false" customHeight="false" outlineLevel="0" collapsed="false">
      <c r="A469" s="12"/>
      <c r="B469" s="12"/>
      <c r="C469" s="17" t="str">
        <f aca="false">IF(B469="","",IFERROR(INDEX(Produits!$F$2:$F$1001,MATCH(B469,Produits!$A$2:$A$1001,0)),"⚠ code article inconnu"))</f>
        <v/>
      </c>
      <c r="D469" s="12"/>
      <c r="E469" s="23"/>
      <c r="F469" s="24"/>
      <c r="G469" s="23"/>
      <c r="H469" s="21" t="str">
        <f aca="true">IF(E469="","",ROUND((E469-TODAY())/30.4,1))</f>
        <v/>
      </c>
      <c r="I469" s="17" t="str">
        <f aca="false">IF(E469="","",IF(H469&lt;0,IF(LEFT(A469,1)="Q","Périmé (en quarantaine)","PÉRIMÉ → déplacer en zone Q"),IF(H469&lt;3,"Péremption &lt; 3 mois",IF(H469&lt;6,"Péremption &lt; 6 mois",""))))</f>
        <v/>
      </c>
      <c r="J469" s="17" t="str">
        <f aca="false">IF(A469="","",IF(COUNTIF(Emplacements!$A$2:$A$1001,A469)=0,"⚠ emplacement inconnu","OK"))</f>
        <v/>
      </c>
      <c r="K469" s="22" t="str">
        <f aca="false">IF(AND(B469&lt;&gt;"",ISNUMBER(SEARCH(Recherche!$C$3,C469&amp;" "&amp;B469&amp;" "&amp;A469&amp;" "&amp;D469))),MAX($K$1:K468)+1,"")</f>
        <v/>
      </c>
    </row>
    <row r="470" customFormat="false" ht="15" hidden="false" customHeight="false" outlineLevel="0" collapsed="false">
      <c r="A470" s="12"/>
      <c r="B470" s="12"/>
      <c r="C470" s="17" t="str">
        <f aca="false">IF(B470="","",IFERROR(INDEX(Produits!$F$2:$F$1001,MATCH(B470,Produits!$A$2:$A$1001,0)),"⚠ code article inconnu"))</f>
        <v/>
      </c>
      <c r="D470" s="12"/>
      <c r="E470" s="23"/>
      <c r="F470" s="24"/>
      <c r="G470" s="23"/>
      <c r="H470" s="21" t="str">
        <f aca="true">IF(E470="","",ROUND((E470-TODAY())/30.4,1))</f>
        <v/>
      </c>
      <c r="I470" s="17" t="str">
        <f aca="false">IF(E470="","",IF(H470&lt;0,IF(LEFT(A470,1)="Q","Périmé (en quarantaine)","PÉRIMÉ → déplacer en zone Q"),IF(H470&lt;3,"Péremption &lt; 3 mois",IF(H470&lt;6,"Péremption &lt; 6 mois",""))))</f>
        <v/>
      </c>
      <c r="J470" s="17" t="str">
        <f aca="false">IF(A470="","",IF(COUNTIF(Emplacements!$A$2:$A$1001,A470)=0,"⚠ emplacement inconnu","OK"))</f>
        <v/>
      </c>
      <c r="K470" s="22" t="str">
        <f aca="false">IF(AND(B470&lt;&gt;"",ISNUMBER(SEARCH(Recherche!$C$3,C470&amp;" "&amp;B470&amp;" "&amp;A470&amp;" "&amp;D470))),MAX($K$1:K469)+1,"")</f>
        <v/>
      </c>
    </row>
    <row r="471" customFormat="false" ht="15" hidden="false" customHeight="false" outlineLevel="0" collapsed="false">
      <c r="A471" s="12"/>
      <c r="B471" s="12"/>
      <c r="C471" s="17" t="str">
        <f aca="false">IF(B471="","",IFERROR(INDEX(Produits!$F$2:$F$1001,MATCH(B471,Produits!$A$2:$A$1001,0)),"⚠ code article inconnu"))</f>
        <v/>
      </c>
      <c r="D471" s="12"/>
      <c r="E471" s="23"/>
      <c r="F471" s="24"/>
      <c r="G471" s="23"/>
      <c r="H471" s="21" t="str">
        <f aca="true">IF(E471="","",ROUND((E471-TODAY())/30.4,1))</f>
        <v/>
      </c>
      <c r="I471" s="17" t="str">
        <f aca="false">IF(E471="","",IF(H471&lt;0,IF(LEFT(A471,1)="Q","Périmé (en quarantaine)","PÉRIMÉ → déplacer en zone Q"),IF(H471&lt;3,"Péremption &lt; 3 mois",IF(H471&lt;6,"Péremption &lt; 6 mois",""))))</f>
        <v/>
      </c>
      <c r="J471" s="17" t="str">
        <f aca="false">IF(A471="","",IF(COUNTIF(Emplacements!$A$2:$A$1001,A471)=0,"⚠ emplacement inconnu","OK"))</f>
        <v/>
      </c>
      <c r="K471" s="22" t="str">
        <f aca="false">IF(AND(B471&lt;&gt;"",ISNUMBER(SEARCH(Recherche!$C$3,C471&amp;" "&amp;B471&amp;" "&amp;A471&amp;" "&amp;D471))),MAX($K$1:K470)+1,"")</f>
        <v/>
      </c>
    </row>
    <row r="472" customFormat="false" ht="15" hidden="false" customHeight="false" outlineLevel="0" collapsed="false">
      <c r="A472" s="12"/>
      <c r="B472" s="12"/>
      <c r="C472" s="17" t="str">
        <f aca="false">IF(B472="","",IFERROR(INDEX(Produits!$F$2:$F$1001,MATCH(B472,Produits!$A$2:$A$1001,0)),"⚠ code article inconnu"))</f>
        <v/>
      </c>
      <c r="D472" s="12"/>
      <c r="E472" s="23"/>
      <c r="F472" s="24"/>
      <c r="G472" s="23"/>
      <c r="H472" s="21" t="str">
        <f aca="true">IF(E472="","",ROUND((E472-TODAY())/30.4,1))</f>
        <v/>
      </c>
      <c r="I472" s="17" t="str">
        <f aca="false">IF(E472="","",IF(H472&lt;0,IF(LEFT(A472,1)="Q","Périmé (en quarantaine)","PÉRIMÉ → déplacer en zone Q"),IF(H472&lt;3,"Péremption &lt; 3 mois",IF(H472&lt;6,"Péremption &lt; 6 mois",""))))</f>
        <v/>
      </c>
      <c r="J472" s="17" t="str">
        <f aca="false">IF(A472="","",IF(COUNTIF(Emplacements!$A$2:$A$1001,A472)=0,"⚠ emplacement inconnu","OK"))</f>
        <v/>
      </c>
      <c r="K472" s="22" t="str">
        <f aca="false">IF(AND(B472&lt;&gt;"",ISNUMBER(SEARCH(Recherche!$C$3,C472&amp;" "&amp;B472&amp;" "&amp;A472&amp;" "&amp;D472))),MAX($K$1:K471)+1,"")</f>
        <v/>
      </c>
    </row>
    <row r="473" customFormat="false" ht="15" hidden="false" customHeight="false" outlineLevel="0" collapsed="false">
      <c r="A473" s="12"/>
      <c r="B473" s="12"/>
      <c r="C473" s="17" t="str">
        <f aca="false">IF(B473="","",IFERROR(INDEX(Produits!$F$2:$F$1001,MATCH(B473,Produits!$A$2:$A$1001,0)),"⚠ code article inconnu"))</f>
        <v/>
      </c>
      <c r="D473" s="12"/>
      <c r="E473" s="23"/>
      <c r="F473" s="24"/>
      <c r="G473" s="23"/>
      <c r="H473" s="21" t="str">
        <f aca="true">IF(E473="","",ROUND((E473-TODAY())/30.4,1))</f>
        <v/>
      </c>
      <c r="I473" s="17" t="str">
        <f aca="false">IF(E473="","",IF(H473&lt;0,IF(LEFT(A473,1)="Q","Périmé (en quarantaine)","PÉRIMÉ → déplacer en zone Q"),IF(H473&lt;3,"Péremption &lt; 3 mois",IF(H473&lt;6,"Péremption &lt; 6 mois",""))))</f>
        <v/>
      </c>
      <c r="J473" s="17" t="str">
        <f aca="false">IF(A473="","",IF(COUNTIF(Emplacements!$A$2:$A$1001,A473)=0,"⚠ emplacement inconnu","OK"))</f>
        <v/>
      </c>
      <c r="K473" s="22" t="str">
        <f aca="false">IF(AND(B473&lt;&gt;"",ISNUMBER(SEARCH(Recherche!$C$3,C473&amp;" "&amp;B473&amp;" "&amp;A473&amp;" "&amp;D473))),MAX($K$1:K472)+1,"")</f>
        <v/>
      </c>
    </row>
    <row r="474" customFormat="false" ht="15" hidden="false" customHeight="false" outlineLevel="0" collapsed="false">
      <c r="A474" s="12"/>
      <c r="B474" s="12"/>
      <c r="C474" s="17" t="str">
        <f aca="false">IF(B474="","",IFERROR(INDEX(Produits!$F$2:$F$1001,MATCH(B474,Produits!$A$2:$A$1001,0)),"⚠ code article inconnu"))</f>
        <v/>
      </c>
      <c r="D474" s="12"/>
      <c r="E474" s="23"/>
      <c r="F474" s="24"/>
      <c r="G474" s="23"/>
      <c r="H474" s="21" t="str">
        <f aca="true">IF(E474="","",ROUND((E474-TODAY())/30.4,1))</f>
        <v/>
      </c>
      <c r="I474" s="17" t="str">
        <f aca="false">IF(E474="","",IF(H474&lt;0,IF(LEFT(A474,1)="Q","Périmé (en quarantaine)","PÉRIMÉ → déplacer en zone Q"),IF(H474&lt;3,"Péremption &lt; 3 mois",IF(H474&lt;6,"Péremption &lt; 6 mois",""))))</f>
        <v/>
      </c>
      <c r="J474" s="17" t="str">
        <f aca="false">IF(A474="","",IF(COUNTIF(Emplacements!$A$2:$A$1001,A474)=0,"⚠ emplacement inconnu","OK"))</f>
        <v/>
      </c>
      <c r="K474" s="22" t="str">
        <f aca="false">IF(AND(B474&lt;&gt;"",ISNUMBER(SEARCH(Recherche!$C$3,C474&amp;" "&amp;B474&amp;" "&amp;A474&amp;" "&amp;D474))),MAX($K$1:K473)+1,"")</f>
        <v/>
      </c>
    </row>
    <row r="475" customFormat="false" ht="15" hidden="false" customHeight="false" outlineLevel="0" collapsed="false">
      <c r="A475" s="12"/>
      <c r="B475" s="12"/>
      <c r="C475" s="17" t="str">
        <f aca="false">IF(B475="","",IFERROR(INDEX(Produits!$F$2:$F$1001,MATCH(B475,Produits!$A$2:$A$1001,0)),"⚠ code article inconnu"))</f>
        <v/>
      </c>
      <c r="D475" s="12"/>
      <c r="E475" s="23"/>
      <c r="F475" s="24"/>
      <c r="G475" s="23"/>
      <c r="H475" s="21" t="str">
        <f aca="true">IF(E475="","",ROUND((E475-TODAY())/30.4,1))</f>
        <v/>
      </c>
      <c r="I475" s="17" t="str">
        <f aca="false">IF(E475="","",IF(H475&lt;0,IF(LEFT(A475,1)="Q","Périmé (en quarantaine)","PÉRIMÉ → déplacer en zone Q"),IF(H475&lt;3,"Péremption &lt; 3 mois",IF(H475&lt;6,"Péremption &lt; 6 mois",""))))</f>
        <v/>
      </c>
      <c r="J475" s="17" t="str">
        <f aca="false">IF(A475="","",IF(COUNTIF(Emplacements!$A$2:$A$1001,A475)=0,"⚠ emplacement inconnu","OK"))</f>
        <v/>
      </c>
      <c r="K475" s="22" t="str">
        <f aca="false">IF(AND(B475&lt;&gt;"",ISNUMBER(SEARCH(Recherche!$C$3,C475&amp;" "&amp;B475&amp;" "&amp;A475&amp;" "&amp;D475))),MAX($K$1:K474)+1,"")</f>
        <v/>
      </c>
    </row>
    <row r="476" customFormat="false" ht="15" hidden="false" customHeight="false" outlineLevel="0" collapsed="false">
      <c r="A476" s="12"/>
      <c r="B476" s="12"/>
      <c r="C476" s="17" t="str">
        <f aca="false">IF(B476="","",IFERROR(INDEX(Produits!$F$2:$F$1001,MATCH(B476,Produits!$A$2:$A$1001,0)),"⚠ code article inconnu"))</f>
        <v/>
      </c>
      <c r="D476" s="12"/>
      <c r="E476" s="23"/>
      <c r="F476" s="24"/>
      <c r="G476" s="23"/>
      <c r="H476" s="21" t="str">
        <f aca="true">IF(E476="","",ROUND((E476-TODAY())/30.4,1))</f>
        <v/>
      </c>
      <c r="I476" s="17" t="str">
        <f aca="false">IF(E476="","",IF(H476&lt;0,IF(LEFT(A476,1)="Q","Périmé (en quarantaine)","PÉRIMÉ → déplacer en zone Q"),IF(H476&lt;3,"Péremption &lt; 3 mois",IF(H476&lt;6,"Péremption &lt; 6 mois",""))))</f>
        <v/>
      </c>
      <c r="J476" s="17" t="str">
        <f aca="false">IF(A476="","",IF(COUNTIF(Emplacements!$A$2:$A$1001,A476)=0,"⚠ emplacement inconnu","OK"))</f>
        <v/>
      </c>
      <c r="K476" s="22" t="str">
        <f aca="false">IF(AND(B476&lt;&gt;"",ISNUMBER(SEARCH(Recherche!$C$3,C476&amp;" "&amp;B476&amp;" "&amp;A476&amp;" "&amp;D476))),MAX($K$1:K475)+1,"")</f>
        <v/>
      </c>
    </row>
    <row r="477" customFormat="false" ht="15" hidden="false" customHeight="false" outlineLevel="0" collapsed="false">
      <c r="A477" s="12"/>
      <c r="B477" s="12"/>
      <c r="C477" s="17" t="str">
        <f aca="false">IF(B477="","",IFERROR(INDEX(Produits!$F$2:$F$1001,MATCH(B477,Produits!$A$2:$A$1001,0)),"⚠ code article inconnu"))</f>
        <v/>
      </c>
      <c r="D477" s="12"/>
      <c r="E477" s="23"/>
      <c r="F477" s="24"/>
      <c r="G477" s="23"/>
      <c r="H477" s="21" t="str">
        <f aca="true">IF(E477="","",ROUND((E477-TODAY())/30.4,1))</f>
        <v/>
      </c>
      <c r="I477" s="17" t="str">
        <f aca="false">IF(E477="","",IF(H477&lt;0,IF(LEFT(A477,1)="Q","Périmé (en quarantaine)","PÉRIMÉ → déplacer en zone Q"),IF(H477&lt;3,"Péremption &lt; 3 mois",IF(H477&lt;6,"Péremption &lt; 6 mois",""))))</f>
        <v/>
      </c>
      <c r="J477" s="17" t="str">
        <f aca="false">IF(A477="","",IF(COUNTIF(Emplacements!$A$2:$A$1001,A477)=0,"⚠ emplacement inconnu","OK"))</f>
        <v/>
      </c>
      <c r="K477" s="22" t="str">
        <f aca="false">IF(AND(B477&lt;&gt;"",ISNUMBER(SEARCH(Recherche!$C$3,C477&amp;" "&amp;B477&amp;" "&amp;A477&amp;" "&amp;D477))),MAX($K$1:K476)+1,"")</f>
        <v/>
      </c>
    </row>
    <row r="478" customFormat="false" ht="15" hidden="false" customHeight="false" outlineLevel="0" collapsed="false">
      <c r="A478" s="12"/>
      <c r="B478" s="12"/>
      <c r="C478" s="17" t="str">
        <f aca="false">IF(B478="","",IFERROR(INDEX(Produits!$F$2:$F$1001,MATCH(B478,Produits!$A$2:$A$1001,0)),"⚠ code article inconnu"))</f>
        <v/>
      </c>
      <c r="D478" s="12"/>
      <c r="E478" s="23"/>
      <c r="F478" s="24"/>
      <c r="G478" s="23"/>
      <c r="H478" s="21" t="str">
        <f aca="true">IF(E478="","",ROUND((E478-TODAY())/30.4,1))</f>
        <v/>
      </c>
      <c r="I478" s="17" t="str">
        <f aca="false">IF(E478="","",IF(H478&lt;0,IF(LEFT(A478,1)="Q","Périmé (en quarantaine)","PÉRIMÉ → déplacer en zone Q"),IF(H478&lt;3,"Péremption &lt; 3 mois",IF(H478&lt;6,"Péremption &lt; 6 mois",""))))</f>
        <v/>
      </c>
      <c r="J478" s="17" t="str">
        <f aca="false">IF(A478="","",IF(COUNTIF(Emplacements!$A$2:$A$1001,A478)=0,"⚠ emplacement inconnu","OK"))</f>
        <v/>
      </c>
      <c r="K478" s="22" t="str">
        <f aca="false">IF(AND(B478&lt;&gt;"",ISNUMBER(SEARCH(Recherche!$C$3,C478&amp;" "&amp;B478&amp;" "&amp;A478&amp;" "&amp;D478))),MAX($K$1:K477)+1,"")</f>
        <v/>
      </c>
    </row>
    <row r="479" customFormat="false" ht="15" hidden="false" customHeight="false" outlineLevel="0" collapsed="false">
      <c r="A479" s="12"/>
      <c r="B479" s="12"/>
      <c r="C479" s="17" t="str">
        <f aca="false">IF(B479="","",IFERROR(INDEX(Produits!$F$2:$F$1001,MATCH(B479,Produits!$A$2:$A$1001,0)),"⚠ code article inconnu"))</f>
        <v/>
      </c>
      <c r="D479" s="12"/>
      <c r="E479" s="23"/>
      <c r="F479" s="24"/>
      <c r="G479" s="23"/>
      <c r="H479" s="21" t="str">
        <f aca="true">IF(E479="","",ROUND((E479-TODAY())/30.4,1))</f>
        <v/>
      </c>
      <c r="I479" s="17" t="str">
        <f aca="false">IF(E479="","",IF(H479&lt;0,IF(LEFT(A479,1)="Q","Périmé (en quarantaine)","PÉRIMÉ → déplacer en zone Q"),IF(H479&lt;3,"Péremption &lt; 3 mois",IF(H479&lt;6,"Péremption &lt; 6 mois",""))))</f>
        <v/>
      </c>
      <c r="J479" s="17" t="str">
        <f aca="false">IF(A479="","",IF(COUNTIF(Emplacements!$A$2:$A$1001,A479)=0,"⚠ emplacement inconnu","OK"))</f>
        <v/>
      </c>
      <c r="K479" s="22" t="str">
        <f aca="false">IF(AND(B479&lt;&gt;"",ISNUMBER(SEARCH(Recherche!$C$3,C479&amp;" "&amp;B479&amp;" "&amp;A479&amp;" "&amp;D479))),MAX($K$1:K478)+1,"")</f>
        <v/>
      </c>
    </row>
    <row r="480" customFormat="false" ht="15" hidden="false" customHeight="false" outlineLevel="0" collapsed="false">
      <c r="A480" s="12"/>
      <c r="B480" s="12"/>
      <c r="C480" s="17" t="str">
        <f aca="false">IF(B480="","",IFERROR(INDEX(Produits!$F$2:$F$1001,MATCH(B480,Produits!$A$2:$A$1001,0)),"⚠ code article inconnu"))</f>
        <v/>
      </c>
      <c r="D480" s="12"/>
      <c r="E480" s="23"/>
      <c r="F480" s="24"/>
      <c r="G480" s="23"/>
      <c r="H480" s="21" t="str">
        <f aca="true">IF(E480="","",ROUND((E480-TODAY())/30.4,1))</f>
        <v/>
      </c>
      <c r="I480" s="17" t="str">
        <f aca="false">IF(E480="","",IF(H480&lt;0,IF(LEFT(A480,1)="Q","Périmé (en quarantaine)","PÉRIMÉ → déplacer en zone Q"),IF(H480&lt;3,"Péremption &lt; 3 mois",IF(H480&lt;6,"Péremption &lt; 6 mois",""))))</f>
        <v/>
      </c>
      <c r="J480" s="17" t="str">
        <f aca="false">IF(A480="","",IF(COUNTIF(Emplacements!$A$2:$A$1001,A480)=0,"⚠ emplacement inconnu","OK"))</f>
        <v/>
      </c>
      <c r="K480" s="22" t="str">
        <f aca="false">IF(AND(B480&lt;&gt;"",ISNUMBER(SEARCH(Recherche!$C$3,C480&amp;" "&amp;B480&amp;" "&amp;A480&amp;" "&amp;D480))),MAX($K$1:K479)+1,"")</f>
        <v/>
      </c>
    </row>
    <row r="481" customFormat="false" ht="15" hidden="false" customHeight="false" outlineLevel="0" collapsed="false">
      <c r="A481" s="12"/>
      <c r="B481" s="12"/>
      <c r="C481" s="17" t="str">
        <f aca="false">IF(B481="","",IFERROR(INDEX(Produits!$F$2:$F$1001,MATCH(B481,Produits!$A$2:$A$1001,0)),"⚠ code article inconnu"))</f>
        <v/>
      </c>
      <c r="D481" s="12"/>
      <c r="E481" s="23"/>
      <c r="F481" s="24"/>
      <c r="G481" s="23"/>
      <c r="H481" s="21" t="str">
        <f aca="true">IF(E481="","",ROUND((E481-TODAY())/30.4,1))</f>
        <v/>
      </c>
      <c r="I481" s="17" t="str">
        <f aca="false">IF(E481="","",IF(H481&lt;0,IF(LEFT(A481,1)="Q","Périmé (en quarantaine)","PÉRIMÉ → déplacer en zone Q"),IF(H481&lt;3,"Péremption &lt; 3 mois",IF(H481&lt;6,"Péremption &lt; 6 mois",""))))</f>
        <v/>
      </c>
      <c r="J481" s="17" t="str">
        <f aca="false">IF(A481="","",IF(COUNTIF(Emplacements!$A$2:$A$1001,A481)=0,"⚠ emplacement inconnu","OK"))</f>
        <v/>
      </c>
      <c r="K481" s="22" t="str">
        <f aca="false">IF(AND(B481&lt;&gt;"",ISNUMBER(SEARCH(Recherche!$C$3,C481&amp;" "&amp;B481&amp;" "&amp;A481&amp;" "&amp;D481))),MAX($K$1:K480)+1,"")</f>
        <v/>
      </c>
    </row>
    <row r="482" customFormat="false" ht="15" hidden="false" customHeight="false" outlineLevel="0" collapsed="false">
      <c r="A482" s="12"/>
      <c r="B482" s="12"/>
      <c r="C482" s="17" t="str">
        <f aca="false">IF(B482="","",IFERROR(INDEX(Produits!$F$2:$F$1001,MATCH(B482,Produits!$A$2:$A$1001,0)),"⚠ code article inconnu"))</f>
        <v/>
      </c>
      <c r="D482" s="12"/>
      <c r="E482" s="23"/>
      <c r="F482" s="24"/>
      <c r="G482" s="23"/>
      <c r="H482" s="21" t="str">
        <f aca="true">IF(E482="","",ROUND((E482-TODAY())/30.4,1))</f>
        <v/>
      </c>
      <c r="I482" s="17" t="str">
        <f aca="false">IF(E482="","",IF(H482&lt;0,IF(LEFT(A482,1)="Q","Périmé (en quarantaine)","PÉRIMÉ → déplacer en zone Q"),IF(H482&lt;3,"Péremption &lt; 3 mois",IF(H482&lt;6,"Péremption &lt; 6 mois",""))))</f>
        <v/>
      </c>
      <c r="J482" s="17" t="str">
        <f aca="false">IF(A482="","",IF(COUNTIF(Emplacements!$A$2:$A$1001,A482)=0,"⚠ emplacement inconnu","OK"))</f>
        <v/>
      </c>
      <c r="K482" s="22" t="str">
        <f aca="false">IF(AND(B482&lt;&gt;"",ISNUMBER(SEARCH(Recherche!$C$3,C482&amp;" "&amp;B482&amp;" "&amp;A482&amp;" "&amp;D482))),MAX($K$1:K481)+1,"")</f>
        <v/>
      </c>
    </row>
    <row r="483" customFormat="false" ht="15" hidden="false" customHeight="false" outlineLevel="0" collapsed="false">
      <c r="A483" s="12"/>
      <c r="B483" s="12"/>
      <c r="C483" s="17" t="str">
        <f aca="false">IF(B483="","",IFERROR(INDEX(Produits!$F$2:$F$1001,MATCH(B483,Produits!$A$2:$A$1001,0)),"⚠ code article inconnu"))</f>
        <v/>
      </c>
      <c r="D483" s="12"/>
      <c r="E483" s="23"/>
      <c r="F483" s="24"/>
      <c r="G483" s="23"/>
      <c r="H483" s="21" t="str">
        <f aca="true">IF(E483="","",ROUND((E483-TODAY())/30.4,1))</f>
        <v/>
      </c>
      <c r="I483" s="17" t="str">
        <f aca="false">IF(E483="","",IF(H483&lt;0,IF(LEFT(A483,1)="Q","Périmé (en quarantaine)","PÉRIMÉ → déplacer en zone Q"),IF(H483&lt;3,"Péremption &lt; 3 mois",IF(H483&lt;6,"Péremption &lt; 6 mois",""))))</f>
        <v/>
      </c>
      <c r="J483" s="17" t="str">
        <f aca="false">IF(A483="","",IF(COUNTIF(Emplacements!$A$2:$A$1001,A483)=0,"⚠ emplacement inconnu","OK"))</f>
        <v/>
      </c>
      <c r="K483" s="22" t="str">
        <f aca="false">IF(AND(B483&lt;&gt;"",ISNUMBER(SEARCH(Recherche!$C$3,C483&amp;" "&amp;B483&amp;" "&amp;A483&amp;" "&amp;D483))),MAX($K$1:K482)+1,"")</f>
        <v/>
      </c>
    </row>
    <row r="484" customFormat="false" ht="15" hidden="false" customHeight="false" outlineLevel="0" collapsed="false">
      <c r="A484" s="12"/>
      <c r="B484" s="12"/>
      <c r="C484" s="17" t="str">
        <f aca="false">IF(B484="","",IFERROR(INDEX(Produits!$F$2:$F$1001,MATCH(B484,Produits!$A$2:$A$1001,0)),"⚠ code article inconnu"))</f>
        <v/>
      </c>
      <c r="D484" s="12"/>
      <c r="E484" s="23"/>
      <c r="F484" s="24"/>
      <c r="G484" s="23"/>
      <c r="H484" s="21" t="str">
        <f aca="true">IF(E484="","",ROUND((E484-TODAY())/30.4,1))</f>
        <v/>
      </c>
      <c r="I484" s="17" t="str">
        <f aca="false">IF(E484="","",IF(H484&lt;0,IF(LEFT(A484,1)="Q","Périmé (en quarantaine)","PÉRIMÉ → déplacer en zone Q"),IF(H484&lt;3,"Péremption &lt; 3 mois",IF(H484&lt;6,"Péremption &lt; 6 mois",""))))</f>
        <v/>
      </c>
      <c r="J484" s="17" t="str">
        <f aca="false">IF(A484="","",IF(COUNTIF(Emplacements!$A$2:$A$1001,A484)=0,"⚠ emplacement inconnu","OK"))</f>
        <v/>
      </c>
      <c r="K484" s="22" t="str">
        <f aca="false">IF(AND(B484&lt;&gt;"",ISNUMBER(SEARCH(Recherche!$C$3,C484&amp;" "&amp;B484&amp;" "&amp;A484&amp;" "&amp;D484))),MAX($K$1:K483)+1,"")</f>
        <v/>
      </c>
    </row>
    <row r="485" customFormat="false" ht="15" hidden="false" customHeight="false" outlineLevel="0" collapsed="false">
      <c r="A485" s="12"/>
      <c r="B485" s="12"/>
      <c r="C485" s="17" t="str">
        <f aca="false">IF(B485="","",IFERROR(INDEX(Produits!$F$2:$F$1001,MATCH(B485,Produits!$A$2:$A$1001,0)),"⚠ code article inconnu"))</f>
        <v/>
      </c>
      <c r="D485" s="12"/>
      <c r="E485" s="23"/>
      <c r="F485" s="24"/>
      <c r="G485" s="23"/>
      <c r="H485" s="21" t="str">
        <f aca="true">IF(E485="","",ROUND((E485-TODAY())/30.4,1))</f>
        <v/>
      </c>
      <c r="I485" s="17" t="str">
        <f aca="false">IF(E485="","",IF(H485&lt;0,IF(LEFT(A485,1)="Q","Périmé (en quarantaine)","PÉRIMÉ → déplacer en zone Q"),IF(H485&lt;3,"Péremption &lt; 3 mois",IF(H485&lt;6,"Péremption &lt; 6 mois",""))))</f>
        <v/>
      </c>
      <c r="J485" s="17" t="str">
        <f aca="false">IF(A485="","",IF(COUNTIF(Emplacements!$A$2:$A$1001,A485)=0,"⚠ emplacement inconnu","OK"))</f>
        <v/>
      </c>
      <c r="K485" s="22" t="str">
        <f aca="false">IF(AND(B485&lt;&gt;"",ISNUMBER(SEARCH(Recherche!$C$3,C485&amp;" "&amp;B485&amp;" "&amp;A485&amp;" "&amp;D485))),MAX($K$1:K484)+1,"")</f>
        <v/>
      </c>
    </row>
    <row r="486" customFormat="false" ht="15" hidden="false" customHeight="false" outlineLevel="0" collapsed="false">
      <c r="A486" s="12"/>
      <c r="B486" s="12"/>
      <c r="C486" s="17" t="str">
        <f aca="false">IF(B486="","",IFERROR(INDEX(Produits!$F$2:$F$1001,MATCH(B486,Produits!$A$2:$A$1001,0)),"⚠ code article inconnu"))</f>
        <v/>
      </c>
      <c r="D486" s="12"/>
      <c r="E486" s="23"/>
      <c r="F486" s="24"/>
      <c r="G486" s="23"/>
      <c r="H486" s="21" t="str">
        <f aca="true">IF(E486="","",ROUND((E486-TODAY())/30.4,1))</f>
        <v/>
      </c>
      <c r="I486" s="17" t="str">
        <f aca="false">IF(E486="","",IF(H486&lt;0,IF(LEFT(A486,1)="Q","Périmé (en quarantaine)","PÉRIMÉ → déplacer en zone Q"),IF(H486&lt;3,"Péremption &lt; 3 mois",IF(H486&lt;6,"Péremption &lt; 6 mois",""))))</f>
        <v/>
      </c>
      <c r="J486" s="17" t="str">
        <f aca="false">IF(A486="","",IF(COUNTIF(Emplacements!$A$2:$A$1001,A486)=0,"⚠ emplacement inconnu","OK"))</f>
        <v/>
      </c>
      <c r="K486" s="22" t="str">
        <f aca="false">IF(AND(B486&lt;&gt;"",ISNUMBER(SEARCH(Recherche!$C$3,C486&amp;" "&amp;B486&amp;" "&amp;A486&amp;" "&amp;D486))),MAX($K$1:K485)+1,"")</f>
        <v/>
      </c>
    </row>
    <row r="487" customFormat="false" ht="15" hidden="false" customHeight="false" outlineLevel="0" collapsed="false">
      <c r="A487" s="12"/>
      <c r="B487" s="12"/>
      <c r="C487" s="17" t="str">
        <f aca="false">IF(B487="","",IFERROR(INDEX(Produits!$F$2:$F$1001,MATCH(B487,Produits!$A$2:$A$1001,0)),"⚠ code article inconnu"))</f>
        <v/>
      </c>
      <c r="D487" s="12"/>
      <c r="E487" s="23"/>
      <c r="F487" s="24"/>
      <c r="G487" s="23"/>
      <c r="H487" s="21" t="str">
        <f aca="true">IF(E487="","",ROUND((E487-TODAY())/30.4,1))</f>
        <v/>
      </c>
      <c r="I487" s="17" t="str">
        <f aca="false">IF(E487="","",IF(H487&lt;0,IF(LEFT(A487,1)="Q","Périmé (en quarantaine)","PÉRIMÉ → déplacer en zone Q"),IF(H487&lt;3,"Péremption &lt; 3 mois",IF(H487&lt;6,"Péremption &lt; 6 mois",""))))</f>
        <v/>
      </c>
      <c r="J487" s="17" t="str">
        <f aca="false">IF(A487="","",IF(COUNTIF(Emplacements!$A$2:$A$1001,A487)=0,"⚠ emplacement inconnu","OK"))</f>
        <v/>
      </c>
      <c r="K487" s="22" t="str">
        <f aca="false">IF(AND(B487&lt;&gt;"",ISNUMBER(SEARCH(Recherche!$C$3,C487&amp;" "&amp;B487&amp;" "&amp;A487&amp;" "&amp;D487))),MAX($K$1:K486)+1,"")</f>
        <v/>
      </c>
    </row>
    <row r="488" customFormat="false" ht="15" hidden="false" customHeight="false" outlineLevel="0" collapsed="false">
      <c r="A488" s="12"/>
      <c r="B488" s="12"/>
      <c r="C488" s="17" t="str">
        <f aca="false">IF(B488="","",IFERROR(INDEX(Produits!$F$2:$F$1001,MATCH(B488,Produits!$A$2:$A$1001,0)),"⚠ code article inconnu"))</f>
        <v/>
      </c>
      <c r="D488" s="12"/>
      <c r="E488" s="23"/>
      <c r="F488" s="24"/>
      <c r="G488" s="23"/>
      <c r="H488" s="21" t="str">
        <f aca="true">IF(E488="","",ROUND((E488-TODAY())/30.4,1))</f>
        <v/>
      </c>
      <c r="I488" s="17" t="str">
        <f aca="false">IF(E488="","",IF(H488&lt;0,IF(LEFT(A488,1)="Q","Périmé (en quarantaine)","PÉRIMÉ → déplacer en zone Q"),IF(H488&lt;3,"Péremption &lt; 3 mois",IF(H488&lt;6,"Péremption &lt; 6 mois",""))))</f>
        <v/>
      </c>
      <c r="J488" s="17" t="str">
        <f aca="false">IF(A488="","",IF(COUNTIF(Emplacements!$A$2:$A$1001,A488)=0,"⚠ emplacement inconnu","OK"))</f>
        <v/>
      </c>
      <c r="K488" s="22" t="str">
        <f aca="false">IF(AND(B488&lt;&gt;"",ISNUMBER(SEARCH(Recherche!$C$3,C488&amp;" "&amp;B488&amp;" "&amp;A488&amp;" "&amp;D488))),MAX($K$1:K487)+1,"")</f>
        <v/>
      </c>
    </row>
    <row r="489" customFormat="false" ht="15" hidden="false" customHeight="false" outlineLevel="0" collapsed="false">
      <c r="A489" s="12"/>
      <c r="B489" s="12"/>
      <c r="C489" s="17" t="str">
        <f aca="false">IF(B489="","",IFERROR(INDEX(Produits!$F$2:$F$1001,MATCH(B489,Produits!$A$2:$A$1001,0)),"⚠ code article inconnu"))</f>
        <v/>
      </c>
      <c r="D489" s="12"/>
      <c r="E489" s="23"/>
      <c r="F489" s="24"/>
      <c r="G489" s="23"/>
      <c r="H489" s="21" t="str">
        <f aca="true">IF(E489="","",ROUND((E489-TODAY())/30.4,1))</f>
        <v/>
      </c>
      <c r="I489" s="17" t="str">
        <f aca="false">IF(E489="","",IF(H489&lt;0,IF(LEFT(A489,1)="Q","Périmé (en quarantaine)","PÉRIMÉ → déplacer en zone Q"),IF(H489&lt;3,"Péremption &lt; 3 mois",IF(H489&lt;6,"Péremption &lt; 6 mois",""))))</f>
        <v/>
      </c>
      <c r="J489" s="17" t="str">
        <f aca="false">IF(A489="","",IF(COUNTIF(Emplacements!$A$2:$A$1001,A489)=0,"⚠ emplacement inconnu","OK"))</f>
        <v/>
      </c>
      <c r="K489" s="22" t="str">
        <f aca="false">IF(AND(B489&lt;&gt;"",ISNUMBER(SEARCH(Recherche!$C$3,C489&amp;" "&amp;B489&amp;" "&amp;A489&amp;" "&amp;D489))),MAX($K$1:K488)+1,"")</f>
        <v/>
      </c>
    </row>
    <row r="490" customFormat="false" ht="15" hidden="false" customHeight="false" outlineLevel="0" collapsed="false">
      <c r="A490" s="12"/>
      <c r="B490" s="12"/>
      <c r="C490" s="17" t="str">
        <f aca="false">IF(B490="","",IFERROR(INDEX(Produits!$F$2:$F$1001,MATCH(B490,Produits!$A$2:$A$1001,0)),"⚠ code article inconnu"))</f>
        <v/>
      </c>
      <c r="D490" s="12"/>
      <c r="E490" s="23"/>
      <c r="F490" s="24"/>
      <c r="G490" s="23"/>
      <c r="H490" s="21" t="str">
        <f aca="true">IF(E490="","",ROUND((E490-TODAY())/30.4,1))</f>
        <v/>
      </c>
      <c r="I490" s="17" t="str">
        <f aca="false">IF(E490="","",IF(H490&lt;0,IF(LEFT(A490,1)="Q","Périmé (en quarantaine)","PÉRIMÉ → déplacer en zone Q"),IF(H490&lt;3,"Péremption &lt; 3 mois",IF(H490&lt;6,"Péremption &lt; 6 mois",""))))</f>
        <v/>
      </c>
      <c r="J490" s="17" t="str">
        <f aca="false">IF(A490="","",IF(COUNTIF(Emplacements!$A$2:$A$1001,A490)=0,"⚠ emplacement inconnu","OK"))</f>
        <v/>
      </c>
      <c r="K490" s="22" t="str">
        <f aca="false">IF(AND(B490&lt;&gt;"",ISNUMBER(SEARCH(Recherche!$C$3,C490&amp;" "&amp;B490&amp;" "&amp;A490&amp;" "&amp;D490))),MAX($K$1:K489)+1,"")</f>
        <v/>
      </c>
    </row>
    <row r="491" customFormat="false" ht="15" hidden="false" customHeight="false" outlineLevel="0" collapsed="false">
      <c r="A491" s="12"/>
      <c r="B491" s="12"/>
      <c r="C491" s="17" t="str">
        <f aca="false">IF(B491="","",IFERROR(INDEX(Produits!$F$2:$F$1001,MATCH(B491,Produits!$A$2:$A$1001,0)),"⚠ code article inconnu"))</f>
        <v/>
      </c>
      <c r="D491" s="12"/>
      <c r="E491" s="23"/>
      <c r="F491" s="24"/>
      <c r="G491" s="23"/>
      <c r="H491" s="21" t="str">
        <f aca="true">IF(E491="","",ROUND((E491-TODAY())/30.4,1))</f>
        <v/>
      </c>
      <c r="I491" s="17" t="str">
        <f aca="false">IF(E491="","",IF(H491&lt;0,IF(LEFT(A491,1)="Q","Périmé (en quarantaine)","PÉRIMÉ → déplacer en zone Q"),IF(H491&lt;3,"Péremption &lt; 3 mois",IF(H491&lt;6,"Péremption &lt; 6 mois",""))))</f>
        <v/>
      </c>
      <c r="J491" s="17" t="str">
        <f aca="false">IF(A491="","",IF(COUNTIF(Emplacements!$A$2:$A$1001,A491)=0,"⚠ emplacement inconnu","OK"))</f>
        <v/>
      </c>
      <c r="K491" s="22" t="str">
        <f aca="false">IF(AND(B491&lt;&gt;"",ISNUMBER(SEARCH(Recherche!$C$3,C491&amp;" "&amp;B491&amp;" "&amp;A491&amp;" "&amp;D491))),MAX($K$1:K490)+1,"")</f>
        <v/>
      </c>
    </row>
    <row r="492" customFormat="false" ht="15" hidden="false" customHeight="false" outlineLevel="0" collapsed="false">
      <c r="A492" s="12"/>
      <c r="B492" s="12"/>
      <c r="C492" s="17" t="str">
        <f aca="false">IF(B492="","",IFERROR(INDEX(Produits!$F$2:$F$1001,MATCH(B492,Produits!$A$2:$A$1001,0)),"⚠ code article inconnu"))</f>
        <v/>
      </c>
      <c r="D492" s="12"/>
      <c r="E492" s="23"/>
      <c r="F492" s="24"/>
      <c r="G492" s="23"/>
      <c r="H492" s="21" t="str">
        <f aca="true">IF(E492="","",ROUND((E492-TODAY())/30.4,1))</f>
        <v/>
      </c>
      <c r="I492" s="17" t="str">
        <f aca="false">IF(E492="","",IF(H492&lt;0,IF(LEFT(A492,1)="Q","Périmé (en quarantaine)","PÉRIMÉ → déplacer en zone Q"),IF(H492&lt;3,"Péremption &lt; 3 mois",IF(H492&lt;6,"Péremption &lt; 6 mois",""))))</f>
        <v/>
      </c>
      <c r="J492" s="17" t="str">
        <f aca="false">IF(A492="","",IF(COUNTIF(Emplacements!$A$2:$A$1001,A492)=0,"⚠ emplacement inconnu","OK"))</f>
        <v/>
      </c>
      <c r="K492" s="22" t="str">
        <f aca="false">IF(AND(B492&lt;&gt;"",ISNUMBER(SEARCH(Recherche!$C$3,C492&amp;" "&amp;B492&amp;" "&amp;A492&amp;" "&amp;D492))),MAX($K$1:K491)+1,"")</f>
        <v/>
      </c>
    </row>
    <row r="493" customFormat="false" ht="15" hidden="false" customHeight="false" outlineLevel="0" collapsed="false">
      <c r="A493" s="12"/>
      <c r="B493" s="12"/>
      <c r="C493" s="17" t="str">
        <f aca="false">IF(B493="","",IFERROR(INDEX(Produits!$F$2:$F$1001,MATCH(B493,Produits!$A$2:$A$1001,0)),"⚠ code article inconnu"))</f>
        <v/>
      </c>
      <c r="D493" s="12"/>
      <c r="E493" s="23"/>
      <c r="F493" s="24"/>
      <c r="G493" s="23"/>
      <c r="H493" s="21" t="str">
        <f aca="true">IF(E493="","",ROUND((E493-TODAY())/30.4,1))</f>
        <v/>
      </c>
      <c r="I493" s="17" t="str">
        <f aca="false">IF(E493="","",IF(H493&lt;0,IF(LEFT(A493,1)="Q","Périmé (en quarantaine)","PÉRIMÉ → déplacer en zone Q"),IF(H493&lt;3,"Péremption &lt; 3 mois",IF(H493&lt;6,"Péremption &lt; 6 mois",""))))</f>
        <v/>
      </c>
      <c r="J493" s="17" t="str">
        <f aca="false">IF(A493="","",IF(COUNTIF(Emplacements!$A$2:$A$1001,A493)=0,"⚠ emplacement inconnu","OK"))</f>
        <v/>
      </c>
      <c r="K493" s="22" t="str">
        <f aca="false">IF(AND(B493&lt;&gt;"",ISNUMBER(SEARCH(Recherche!$C$3,C493&amp;" "&amp;B493&amp;" "&amp;A493&amp;" "&amp;D493))),MAX($K$1:K492)+1,"")</f>
        <v/>
      </c>
    </row>
    <row r="494" customFormat="false" ht="15" hidden="false" customHeight="false" outlineLevel="0" collapsed="false">
      <c r="A494" s="12"/>
      <c r="B494" s="12"/>
      <c r="C494" s="17" t="str">
        <f aca="false">IF(B494="","",IFERROR(INDEX(Produits!$F$2:$F$1001,MATCH(B494,Produits!$A$2:$A$1001,0)),"⚠ code article inconnu"))</f>
        <v/>
      </c>
      <c r="D494" s="12"/>
      <c r="E494" s="23"/>
      <c r="F494" s="24"/>
      <c r="G494" s="23"/>
      <c r="H494" s="21" t="str">
        <f aca="true">IF(E494="","",ROUND((E494-TODAY())/30.4,1))</f>
        <v/>
      </c>
      <c r="I494" s="17" t="str">
        <f aca="false">IF(E494="","",IF(H494&lt;0,IF(LEFT(A494,1)="Q","Périmé (en quarantaine)","PÉRIMÉ → déplacer en zone Q"),IF(H494&lt;3,"Péremption &lt; 3 mois",IF(H494&lt;6,"Péremption &lt; 6 mois",""))))</f>
        <v/>
      </c>
      <c r="J494" s="17" t="str">
        <f aca="false">IF(A494="","",IF(COUNTIF(Emplacements!$A$2:$A$1001,A494)=0,"⚠ emplacement inconnu","OK"))</f>
        <v/>
      </c>
      <c r="K494" s="22" t="str">
        <f aca="false">IF(AND(B494&lt;&gt;"",ISNUMBER(SEARCH(Recherche!$C$3,C494&amp;" "&amp;B494&amp;" "&amp;A494&amp;" "&amp;D494))),MAX($K$1:K493)+1,"")</f>
        <v/>
      </c>
    </row>
    <row r="495" customFormat="false" ht="15" hidden="false" customHeight="false" outlineLevel="0" collapsed="false">
      <c r="A495" s="12"/>
      <c r="B495" s="12"/>
      <c r="C495" s="17" t="str">
        <f aca="false">IF(B495="","",IFERROR(INDEX(Produits!$F$2:$F$1001,MATCH(B495,Produits!$A$2:$A$1001,0)),"⚠ code article inconnu"))</f>
        <v/>
      </c>
      <c r="D495" s="12"/>
      <c r="E495" s="23"/>
      <c r="F495" s="24"/>
      <c r="G495" s="23"/>
      <c r="H495" s="21" t="str">
        <f aca="true">IF(E495="","",ROUND((E495-TODAY())/30.4,1))</f>
        <v/>
      </c>
      <c r="I495" s="17" t="str">
        <f aca="false">IF(E495="","",IF(H495&lt;0,IF(LEFT(A495,1)="Q","Périmé (en quarantaine)","PÉRIMÉ → déplacer en zone Q"),IF(H495&lt;3,"Péremption &lt; 3 mois",IF(H495&lt;6,"Péremption &lt; 6 mois",""))))</f>
        <v/>
      </c>
      <c r="J495" s="17" t="str">
        <f aca="false">IF(A495="","",IF(COUNTIF(Emplacements!$A$2:$A$1001,A495)=0,"⚠ emplacement inconnu","OK"))</f>
        <v/>
      </c>
      <c r="K495" s="22" t="str">
        <f aca="false">IF(AND(B495&lt;&gt;"",ISNUMBER(SEARCH(Recherche!$C$3,C495&amp;" "&amp;B495&amp;" "&amp;A495&amp;" "&amp;D495))),MAX($K$1:K494)+1,"")</f>
        <v/>
      </c>
    </row>
    <row r="496" customFormat="false" ht="15" hidden="false" customHeight="false" outlineLevel="0" collapsed="false">
      <c r="A496" s="12"/>
      <c r="B496" s="12"/>
      <c r="C496" s="17" t="str">
        <f aca="false">IF(B496="","",IFERROR(INDEX(Produits!$F$2:$F$1001,MATCH(B496,Produits!$A$2:$A$1001,0)),"⚠ code article inconnu"))</f>
        <v/>
      </c>
      <c r="D496" s="12"/>
      <c r="E496" s="23"/>
      <c r="F496" s="24"/>
      <c r="G496" s="23"/>
      <c r="H496" s="21" t="str">
        <f aca="true">IF(E496="","",ROUND((E496-TODAY())/30.4,1))</f>
        <v/>
      </c>
      <c r="I496" s="17" t="str">
        <f aca="false">IF(E496="","",IF(H496&lt;0,IF(LEFT(A496,1)="Q","Périmé (en quarantaine)","PÉRIMÉ → déplacer en zone Q"),IF(H496&lt;3,"Péremption &lt; 3 mois",IF(H496&lt;6,"Péremption &lt; 6 mois",""))))</f>
        <v/>
      </c>
      <c r="J496" s="17" t="str">
        <f aca="false">IF(A496="","",IF(COUNTIF(Emplacements!$A$2:$A$1001,A496)=0,"⚠ emplacement inconnu","OK"))</f>
        <v/>
      </c>
      <c r="K496" s="22" t="str">
        <f aca="false">IF(AND(B496&lt;&gt;"",ISNUMBER(SEARCH(Recherche!$C$3,C496&amp;" "&amp;B496&amp;" "&amp;A496&amp;" "&amp;D496))),MAX($K$1:K495)+1,"")</f>
        <v/>
      </c>
    </row>
    <row r="497" customFormat="false" ht="15" hidden="false" customHeight="false" outlineLevel="0" collapsed="false">
      <c r="A497" s="12"/>
      <c r="B497" s="12"/>
      <c r="C497" s="17" t="str">
        <f aca="false">IF(B497="","",IFERROR(INDEX(Produits!$F$2:$F$1001,MATCH(B497,Produits!$A$2:$A$1001,0)),"⚠ code article inconnu"))</f>
        <v/>
      </c>
      <c r="D497" s="12"/>
      <c r="E497" s="23"/>
      <c r="F497" s="24"/>
      <c r="G497" s="23"/>
      <c r="H497" s="21" t="str">
        <f aca="true">IF(E497="","",ROUND((E497-TODAY())/30.4,1))</f>
        <v/>
      </c>
      <c r="I497" s="17" t="str">
        <f aca="false">IF(E497="","",IF(H497&lt;0,IF(LEFT(A497,1)="Q","Périmé (en quarantaine)","PÉRIMÉ → déplacer en zone Q"),IF(H497&lt;3,"Péremption &lt; 3 mois",IF(H497&lt;6,"Péremption &lt; 6 mois",""))))</f>
        <v/>
      </c>
      <c r="J497" s="17" t="str">
        <f aca="false">IF(A497="","",IF(COUNTIF(Emplacements!$A$2:$A$1001,A497)=0,"⚠ emplacement inconnu","OK"))</f>
        <v/>
      </c>
      <c r="K497" s="22" t="str">
        <f aca="false">IF(AND(B497&lt;&gt;"",ISNUMBER(SEARCH(Recherche!$C$3,C497&amp;" "&amp;B497&amp;" "&amp;A497&amp;" "&amp;D497))),MAX($K$1:K496)+1,"")</f>
        <v/>
      </c>
    </row>
    <row r="498" customFormat="false" ht="15" hidden="false" customHeight="false" outlineLevel="0" collapsed="false">
      <c r="A498" s="12"/>
      <c r="B498" s="12"/>
      <c r="C498" s="17" t="str">
        <f aca="false">IF(B498="","",IFERROR(INDEX(Produits!$F$2:$F$1001,MATCH(B498,Produits!$A$2:$A$1001,0)),"⚠ code article inconnu"))</f>
        <v/>
      </c>
      <c r="D498" s="12"/>
      <c r="E498" s="23"/>
      <c r="F498" s="24"/>
      <c r="G498" s="23"/>
      <c r="H498" s="21" t="str">
        <f aca="true">IF(E498="","",ROUND((E498-TODAY())/30.4,1))</f>
        <v/>
      </c>
      <c r="I498" s="17" t="str">
        <f aca="false">IF(E498="","",IF(H498&lt;0,IF(LEFT(A498,1)="Q","Périmé (en quarantaine)","PÉRIMÉ → déplacer en zone Q"),IF(H498&lt;3,"Péremption &lt; 3 mois",IF(H498&lt;6,"Péremption &lt; 6 mois",""))))</f>
        <v/>
      </c>
      <c r="J498" s="17" t="str">
        <f aca="false">IF(A498="","",IF(COUNTIF(Emplacements!$A$2:$A$1001,A498)=0,"⚠ emplacement inconnu","OK"))</f>
        <v/>
      </c>
      <c r="K498" s="22" t="str">
        <f aca="false">IF(AND(B498&lt;&gt;"",ISNUMBER(SEARCH(Recherche!$C$3,C498&amp;" "&amp;B498&amp;" "&amp;A498&amp;" "&amp;D498))),MAX($K$1:K497)+1,"")</f>
        <v/>
      </c>
    </row>
    <row r="499" customFormat="false" ht="15" hidden="false" customHeight="false" outlineLevel="0" collapsed="false">
      <c r="A499" s="12"/>
      <c r="B499" s="12"/>
      <c r="C499" s="17" t="str">
        <f aca="false">IF(B499="","",IFERROR(INDEX(Produits!$F$2:$F$1001,MATCH(B499,Produits!$A$2:$A$1001,0)),"⚠ code article inconnu"))</f>
        <v/>
      </c>
      <c r="D499" s="12"/>
      <c r="E499" s="23"/>
      <c r="F499" s="24"/>
      <c r="G499" s="23"/>
      <c r="H499" s="21" t="str">
        <f aca="true">IF(E499="","",ROUND((E499-TODAY())/30.4,1))</f>
        <v/>
      </c>
      <c r="I499" s="17" t="str">
        <f aca="false">IF(E499="","",IF(H499&lt;0,IF(LEFT(A499,1)="Q","Périmé (en quarantaine)","PÉRIMÉ → déplacer en zone Q"),IF(H499&lt;3,"Péremption &lt; 3 mois",IF(H499&lt;6,"Péremption &lt; 6 mois",""))))</f>
        <v/>
      </c>
      <c r="J499" s="17" t="str">
        <f aca="false">IF(A499="","",IF(COUNTIF(Emplacements!$A$2:$A$1001,A499)=0,"⚠ emplacement inconnu","OK"))</f>
        <v/>
      </c>
      <c r="K499" s="22" t="str">
        <f aca="false">IF(AND(B499&lt;&gt;"",ISNUMBER(SEARCH(Recherche!$C$3,C499&amp;" "&amp;B499&amp;" "&amp;A499&amp;" "&amp;D499))),MAX($K$1:K498)+1,"")</f>
        <v/>
      </c>
    </row>
    <row r="500" customFormat="false" ht="15" hidden="false" customHeight="false" outlineLevel="0" collapsed="false">
      <c r="A500" s="12"/>
      <c r="B500" s="12"/>
      <c r="C500" s="17" t="str">
        <f aca="false">IF(B500="","",IFERROR(INDEX(Produits!$F$2:$F$1001,MATCH(B500,Produits!$A$2:$A$1001,0)),"⚠ code article inconnu"))</f>
        <v/>
      </c>
      <c r="D500" s="12"/>
      <c r="E500" s="23"/>
      <c r="F500" s="24"/>
      <c r="G500" s="23"/>
      <c r="H500" s="21" t="str">
        <f aca="true">IF(E500="","",ROUND((E500-TODAY())/30.4,1))</f>
        <v/>
      </c>
      <c r="I500" s="17" t="str">
        <f aca="false">IF(E500="","",IF(H500&lt;0,IF(LEFT(A500,1)="Q","Périmé (en quarantaine)","PÉRIMÉ → déplacer en zone Q"),IF(H500&lt;3,"Péremption &lt; 3 mois",IF(H500&lt;6,"Péremption &lt; 6 mois",""))))</f>
        <v/>
      </c>
      <c r="J500" s="17" t="str">
        <f aca="false">IF(A500="","",IF(COUNTIF(Emplacements!$A$2:$A$1001,A500)=0,"⚠ emplacement inconnu","OK"))</f>
        <v/>
      </c>
      <c r="K500" s="22" t="str">
        <f aca="false">IF(AND(B500&lt;&gt;"",ISNUMBER(SEARCH(Recherche!$C$3,C500&amp;" "&amp;B500&amp;" "&amp;A500&amp;" "&amp;D500))),MAX($K$1:K499)+1,"")</f>
        <v/>
      </c>
    </row>
    <row r="501" customFormat="false" ht="15" hidden="false" customHeight="false" outlineLevel="0" collapsed="false">
      <c r="A501" s="12"/>
      <c r="B501" s="12"/>
      <c r="C501" s="17" t="str">
        <f aca="false">IF(B501="","",IFERROR(INDEX(Produits!$F$2:$F$1001,MATCH(B501,Produits!$A$2:$A$1001,0)),"⚠ code article inconnu"))</f>
        <v/>
      </c>
      <c r="D501" s="12"/>
      <c r="E501" s="23"/>
      <c r="F501" s="24"/>
      <c r="G501" s="23"/>
      <c r="H501" s="21" t="str">
        <f aca="true">IF(E501="","",ROUND((E501-TODAY())/30.4,1))</f>
        <v/>
      </c>
      <c r="I501" s="17" t="str">
        <f aca="false">IF(E501="","",IF(H501&lt;0,IF(LEFT(A501,1)="Q","Périmé (en quarantaine)","PÉRIMÉ → déplacer en zone Q"),IF(H501&lt;3,"Péremption &lt; 3 mois",IF(H501&lt;6,"Péremption &lt; 6 mois",""))))</f>
        <v/>
      </c>
      <c r="J501" s="17" t="str">
        <f aca="false">IF(A501="","",IF(COUNTIF(Emplacements!$A$2:$A$1001,A501)=0,"⚠ emplacement inconnu","OK"))</f>
        <v/>
      </c>
      <c r="K501" s="22" t="str">
        <f aca="false">IF(AND(B501&lt;&gt;"",ISNUMBER(SEARCH(Recherche!$C$3,C501&amp;" "&amp;B501&amp;" "&amp;A501&amp;" "&amp;D501))),MAX($K$1:K500)+1,"")</f>
        <v/>
      </c>
    </row>
    <row r="502" customFormat="false" ht="15" hidden="false" customHeight="false" outlineLevel="0" collapsed="false">
      <c r="A502" s="12"/>
      <c r="B502" s="12"/>
      <c r="C502" s="17" t="str">
        <f aca="false">IF(B502="","",IFERROR(INDEX(Produits!$F$2:$F$1001,MATCH(B502,Produits!$A$2:$A$1001,0)),"⚠ code article inconnu"))</f>
        <v/>
      </c>
      <c r="D502" s="12"/>
      <c r="E502" s="23"/>
      <c r="F502" s="24"/>
      <c r="G502" s="23"/>
      <c r="H502" s="21" t="str">
        <f aca="true">IF(E502="","",ROUND((E502-TODAY())/30.4,1))</f>
        <v/>
      </c>
      <c r="I502" s="17" t="str">
        <f aca="false">IF(E502="","",IF(H502&lt;0,IF(LEFT(A502,1)="Q","Périmé (en quarantaine)","PÉRIMÉ → déplacer en zone Q"),IF(H502&lt;3,"Péremption &lt; 3 mois",IF(H502&lt;6,"Péremption &lt; 6 mois",""))))</f>
        <v/>
      </c>
      <c r="J502" s="17" t="str">
        <f aca="false">IF(A502="","",IF(COUNTIF(Emplacements!$A$2:$A$1001,A502)=0,"⚠ emplacement inconnu","OK"))</f>
        <v/>
      </c>
      <c r="K502" s="22" t="str">
        <f aca="false">IF(AND(B502&lt;&gt;"",ISNUMBER(SEARCH(Recherche!$C$3,C502&amp;" "&amp;B502&amp;" "&amp;A502&amp;" "&amp;D502))),MAX($K$1:K501)+1,"")</f>
        <v/>
      </c>
    </row>
    <row r="503" customFormat="false" ht="15" hidden="false" customHeight="false" outlineLevel="0" collapsed="false">
      <c r="A503" s="12"/>
      <c r="B503" s="12"/>
      <c r="C503" s="17" t="str">
        <f aca="false">IF(B503="","",IFERROR(INDEX(Produits!$F$2:$F$1001,MATCH(B503,Produits!$A$2:$A$1001,0)),"⚠ code article inconnu"))</f>
        <v/>
      </c>
      <c r="D503" s="12"/>
      <c r="E503" s="23"/>
      <c r="F503" s="24"/>
      <c r="G503" s="23"/>
      <c r="H503" s="21" t="str">
        <f aca="true">IF(E503="","",ROUND((E503-TODAY())/30.4,1))</f>
        <v/>
      </c>
      <c r="I503" s="17" t="str">
        <f aca="false">IF(E503="","",IF(H503&lt;0,IF(LEFT(A503,1)="Q","Périmé (en quarantaine)","PÉRIMÉ → déplacer en zone Q"),IF(H503&lt;3,"Péremption &lt; 3 mois",IF(H503&lt;6,"Péremption &lt; 6 mois",""))))</f>
        <v/>
      </c>
      <c r="J503" s="17" t="str">
        <f aca="false">IF(A503="","",IF(COUNTIF(Emplacements!$A$2:$A$1001,A503)=0,"⚠ emplacement inconnu","OK"))</f>
        <v/>
      </c>
      <c r="K503" s="22" t="str">
        <f aca="false">IF(AND(B503&lt;&gt;"",ISNUMBER(SEARCH(Recherche!$C$3,C503&amp;" "&amp;B503&amp;" "&amp;A503&amp;" "&amp;D503))),MAX($K$1:K502)+1,"")</f>
        <v/>
      </c>
    </row>
    <row r="504" customFormat="false" ht="15" hidden="false" customHeight="false" outlineLevel="0" collapsed="false">
      <c r="A504" s="12"/>
      <c r="B504" s="12"/>
      <c r="C504" s="17" t="str">
        <f aca="false">IF(B504="","",IFERROR(INDEX(Produits!$F$2:$F$1001,MATCH(B504,Produits!$A$2:$A$1001,0)),"⚠ code article inconnu"))</f>
        <v/>
      </c>
      <c r="D504" s="12"/>
      <c r="E504" s="23"/>
      <c r="F504" s="24"/>
      <c r="G504" s="23"/>
      <c r="H504" s="21" t="str">
        <f aca="true">IF(E504="","",ROUND((E504-TODAY())/30.4,1))</f>
        <v/>
      </c>
      <c r="I504" s="17" t="str">
        <f aca="false">IF(E504="","",IF(H504&lt;0,IF(LEFT(A504,1)="Q","Périmé (en quarantaine)","PÉRIMÉ → déplacer en zone Q"),IF(H504&lt;3,"Péremption &lt; 3 mois",IF(H504&lt;6,"Péremption &lt; 6 mois",""))))</f>
        <v/>
      </c>
      <c r="J504" s="17" t="str">
        <f aca="false">IF(A504="","",IF(COUNTIF(Emplacements!$A$2:$A$1001,A504)=0,"⚠ emplacement inconnu","OK"))</f>
        <v/>
      </c>
      <c r="K504" s="22" t="str">
        <f aca="false">IF(AND(B504&lt;&gt;"",ISNUMBER(SEARCH(Recherche!$C$3,C504&amp;" "&amp;B504&amp;" "&amp;A504&amp;" "&amp;D504))),MAX($K$1:K503)+1,"")</f>
        <v/>
      </c>
    </row>
    <row r="505" customFormat="false" ht="15" hidden="false" customHeight="false" outlineLevel="0" collapsed="false">
      <c r="A505" s="12"/>
      <c r="B505" s="12"/>
      <c r="C505" s="17" t="str">
        <f aca="false">IF(B505="","",IFERROR(INDEX(Produits!$F$2:$F$1001,MATCH(B505,Produits!$A$2:$A$1001,0)),"⚠ code article inconnu"))</f>
        <v/>
      </c>
      <c r="D505" s="12"/>
      <c r="E505" s="23"/>
      <c r="F505" s="24"/>
      <c r="G505" s="23"/>
      <c r="H505" s="21" t="str">
        <f aca="true">IF(E505="","",ROUND((E505-TODAY())/30.4,1))</f>
        <v/>
      </c>
      <c r="I505" s="17" t="str">
        <f aca="false">IF(E505="","",IF(H505&lt;0,IF(LEFT(A505,1)="Q","Périmé (en quarantaine)","PÉRIMÉ → déplacer en zone Q"),IF(H505&lt;3,"Péremption &lt; 3 mois",IF(H505&lt;6,"Péremption &lt; 6 mois",""))))</f>
        <v/>
      </c>
      <c r="J505" s="17" t="str">
        <f aca="false">IF(A505="","",IF(COUNTIF(Emplacements!$A$2:$A$1001,A505)=0,"⚠ emplacement inconnu","OK"))</f>
        <v/>
      </c>
      <c r="K505" s="22" t="str">
        <f aca="false">IF(AND(B505&lt;&gt;"",ISNUMBER(SEARCH(Recherche!$C$3,C505&amp;" "&amp;B505&amp;" "&amp;A505&amp;" "&amp;D505))),MAX($K$1:K504)+1,"")</f>
        <v/>
      </c>
    </row>
    <row r="506" customFormat="false" ht="15" hidden="false" customHeight="false" outlineLevel="0" collapsed="false">
      <c r="A506" s="12"/>
      <c r="B506" s="12"/>
      <c r="C506" s="17" t="str">
        <f aca="false">IF(B506="","",IFERROR(INDEX(Produits!$F$2:$F$1001,MATCH(B506,Produits!$A$2:$A$1001,0)),"⚠ code article inconnu"))</f>
        <v/>
      </c>
      <c r="D506" s="12"/>
      <c r="E506" s="23"/>
      <c r="F506" s="24"/>
      <c r="G506" s="23"/>
      <c r="H506" s="21" t="str">
        <f aca="true">IF(E506="","",ROUND((E506-TODAY())/30.4,1))</f>
        <v/>
      </c>
      <c r="I506" s="17" t="str">
        <f aca="false">IF(E506="","",IF(H506&lt;0,IF(LEFT(A506,1)="Q","Périmé (en quarantaine)","PÉRIMÉ → déplacer en zone Q"),IF(H506&lt;3,"Péremption &lt; 3 mois",IF(H506&lt;6,"Péremption &lt; 6 mois",""))))</f>
        <v/>
      </c>
      <c r="J506" s="17" t="str">
        <f aca="false">IF(A506="","",IF(COUNTIF(Emplacements!$A$2:$A$1001,A506)=0,"⚠ emplacement inconnu","OK"))</f>
        <v/>
      </c>
      <c r="K506" s="22" t="str">
        <f aca="false">IF(AND(B506&lt;&gt;"",ISNUMBER(SEARCH(Recherche!$C$3,C506&amp;" "&amp;B506&amp;" "&amp;A506&amp;" "&amp;D506))),MAX($K$1:K505)+1,"")</f>
        <v/>
      </c>
    </row>
    <row r="507" customFormat="false" ht="15" hidden="false" customHeight="false" outlineLevel="0" collapsed="false">
      <c r="A507" s="12"/>
      <c r="B507" s="12"/>
      <c r="C507" s="17" t="str">
        <f aca="false">IF(B507="","",IFERROR(INDEX(Produits!$F$2:$F$1001,MATCH(B507,Produits!$A$2:$A$1001,0)),"⚠ code article inconnu"))</f>
        <v/>
      </c>
      <c r="D507" s="12"/>
      <c r="E507" s="23"/>
      <c r="F507" s="24"/>
      <c r="G507" s="23"/>
      <c r="H507" s="21" t="str">
        <f aca="true">IF(E507="","",ROUND((E507-TODAY())/30.4,1))</f>
        <v/>
      </c>
      <c r="I507" s="17" t="str">
        <f aca="false">IF(E507="","",IF(H507&lt;0,IF(LEFT(A507,1)="Q","Périmé (en quarantaine)","PÉRIMÉ → déplacer en zone Q"),IF(H507&lt;3,"Péremption &lt; 3 mois",IF(H507&lt;6,"Péremption &lt; 6 mois",""))))</f>
        <v/>
      </c>
      <c r="J507" s="17" t="str">
        <f aca="false">IF(A507="","",IF(COUNTIF(Emplacements!$A$2:$A$1001,A507)=0,"⚠ emplacement inconnu","OK"))</f>
        <v/>
      </c>
      <c r="K507" s="22" t="str">
        <f aca="false">IF(AND(B507&lt;&gt;"",ISNUMBER(SEARCH(Recherche!$C$3,C507&amp;" "&amp;B507&amp;" "&amp;A507&amp;" "&amp;D507))),MAX($K$1:K506)+1,"")</f>
        <v/>
      </c>
    </row>
    <row r="508" customFormat="false" ht="15" hidden="false" customHeight="false" outlineLevel="0" collapsed="false">
      <c r="A508" s="12"/>
      <c r="B508" s="12"/>
      <c r="C508" s="17" t="str">
        <f aca="false">IF(B508="","",IFERROR(INDEX(Produits!$F$2:$F$1001,MATCH(B508,Produits!$A$2:$A$1001,0)),"⚠ code article inconnu"))</f>
        <v/>
      </c>
      <c r="D508" s="12"/>
      <c r="E508" s="23"/>
      <c r="F508" s="24"/>
      <c r="G508" s="23"/>
      <c r="H508" s="21" t="str">
        <f aca="true">IF(E508="","",ROUND((E508-TODAY())/30.4,1))</f>
        <v/>
      </c>
      <c r="I508" s="17" t="str">
        <f aca="false">IF(E508="","",IF(H508&lt;0,IF(LEFT(A508,1)="Q","Périmé (en quarantaine)","PÉRIMÉ → déplacer en zone Q"),IF(H508&lt;3,"Péremption &lt; 3 mois",IF(H508&lt;6,"Péremption &lt; 6 mois",""))))</f>
        <v/>
      </c>
      <c r="J508" s="17" t="str">
        <f aca="false">IF(A508="","",IF(COUNTIF(Emplacements!$A$2:$A$1001,A508)=0,"⚠ emplacement inconnu","OK"))</f>
        <v/>
      </c>
      <c r="K508" s="22" t="str">
        <f aca="false">IF(AND(B508&lt;&gt;"",ISNUMBER(SEARCH(Recherche!$C$3,C508&amp;" "&amp;B508&amp;" "&amp;A508&amp;" "&amp;D508))),MAX($K$1:K507)+1,"")</f>
        <v/>
      </c>
    </row>
    <row r="509" customFormat="false" ht="15" hidden="false" customHeight="false" outlineLevel="0" collapsed="false">
      <c r="A509" s="12"/>
      <c r="B509" s="12"/>
      <c r="C509" s="17" t="str">
        <f aca="false">IF(B509="","",IFERROR(INDEX(Produits!$F$2:$F$1001,MATCH(B509,Produits!$A$2:$A$1001,0)),"⚠ code article inconnu"))</f>
        <v/>
      </c>
      <c r="D509" s="12"/>
      <c r="E509" s="23"/>
      <c r="F509" s="24"/>
      <c r="G509" s="23"/>
      <c r="H509" s="21" t="str">
        <f aca="true">IF(E509="","",ROUND((E509-TODAY())/30.4,1))</f>
        <v/>
      </c>
      <c r="I509" s="17" t="str">
        <f aca="false">IF(E509="","",IF(H509&lt;0,IF(LEFT(A509,1)="Q","Périmé (en quarantaine)","PÉRIMÉ → déplacer en zone Q"),IF(H509&lt;3,"Péremption &lt; 3 mois",IF(H509&lt;6,"Péremption &lt; 6 mois",""))))</f>
        <v/>
      </c>
      <c r="J509" s="17" t="str">
        <f aca="false">IF(A509="","",IF(COUNTIF(Emplacements!$A$2:$A$1001,A509)=0,"⚠ emplacement inconnu","OK"))</f>
        <v/>
      </c>
      <c r="K509" s="22" t="str">
        <f aca="false">IF(AND(B509&lt;&gt;"",ISNUMBER(SEARCH(Recherche!$C$3,C509&amp;" "&amp;B509&amp;" "&amp;A509&amp;" "&amp;D509))),MAX($K$1:K508)+1,"")</f>
        <v/>
      </c>
    </row>
    <row r="510" customFormat="false" ht="15" hidden="false" customHeight="false" outlineLevel="0" collapsed="false">
      <c r="A510" s="12"/>
      <c r="B510" s="12"/>
      <c r="C510" s="17" t="str">
        <f aca="false">IF(B510="","",IFERROR(INDEX(Produits!$F$2:$F$1001,MATCH(B510,Produits!$A$2:$A$1001,0)),"⚠ code article inconnu"))</f>
        <v/>
      </c>
      <c r="D510" s="12"/>
      <c r="E510" s="23"/>
      <c r="F510" s="24"/>
      <c r="G510" s="23"/>
      <c r="H510" s="21" t="str">
        <f aca="true">IF(E510="","",ROUND((E510-TODAY())/30.4,1))</f>
        <v/>
      </c>
      <c r="I510" s="17" t="str">
        <f aca="false">IF(E510="","",IF(H510&lt;0,IF(LEFT(A510,1)="Q","Périmé (en quarantaine)","PÉRIMÉ → déplacer en zone Q"),IF(H510&lt;3,"Péremption &lt; 3 mois",IF(H510&lt;6,"Péremption &lt; 6 mois",""))))</f>
        <v/>
      </c>
      <c r="J510" s="17" t="str">
        <f aca="false">IF(A510="","",IF(COUNTIF(Emplacements!$A$2:$A$1001,A510)=0,"⚠ emplacement inconnu","OK"))</f>
        <v/>
      </c>
      <c r="K510" s="22" t="str">
        <f aca="false">IF(AND(B510&lt;&gt;"",ISNUMBER(SEARCH(Recherche!$C$3,C510&amp;" "&amp;B510&amp;" "&amp;A510&amp;" "&amp;D510))),MAX($K$1:K509)+1,"")</f>
        <v/>
      </c>
    </row>
    <row r="511" customFormat="false" ht="15" hidden="false" customHeight="false" outlineLevel="0" collapsed="false">
      <c r="A511" s="12"/>
      <c r="B511" s="12"/>
      <c r="C511" s="17" t="str">
        <f aca="false">IF(B511="","",IFERROR(INDEX(Produits!$F$2:$F$1001,MATCH(B511,Produits!$A$2:$A$1001,0)),"⚠ code article inconnu"))</f>
        <v/>
      </c>
      <c r="D511" s="12"/>
      <c r="E511" s="23"/>
      <c r="F511" s="24"/>
      <c r="G511" s="23"/>
      <c r="H511" s="21" t="str">
        <f aca="true">IF(E511="","",ROUND((E511-TODAY())/30.4,1))</f>
        <v/>
      </c>
      <c r="I511" s="17" t="str">
        <f aca="false">IF(E511="","",IF(H511&lt;0,IF(LEFT(A511,1)="Q","Périmé (en quarantaine)","PÉRIMÉ → déplacer en zone Q"),IF(H511&lt;3,"Péremption &lt; 3 mois",IF(H511&lt;6,"Péremption &lt; 6 mois",""))))</f>
        <v/>
      </c>
      <c r="J511" s="17" t="str">
        <f aca="false">IF(A511="","",IF(COUNTIF(Emplacements!$A$2:$A$1001,A511)=0,"⚠ emplacement inconnu","OK"))</f>
        <v/>
      </c>
      <c r="K511" s="22" t="str">
        <f aca="false">IF(AND(B511&lt;&gt;"",ISNUMBER(SEARCH(Recherche!$C$3,C511&amp;" "&amp;B511&amp;" "&amp;A511&amp;" "&amp;D511))),MAX($K$1:K510)+1,"")</f>
        <v/>
      </c>
    </row>
    <row r="512" customFormat="false" ht="15" hidden="false" customHeight="false" outlineLevel="0" collapsed="false">
      <c r="A512" s="12"/>
      <c r="B512" s="12"/>
      <c r="C512" s="17" t="str">
        <f aca="false">IF(B512="","",IFERROR(INDEX(Produits!$F$2:$F$1001,MATCH(B512,Produits!$A$2:$A$1001,0)),"⚠ code article inconnu"))</f>
        <v/>
      </c>
      <c r="D512" s="12"/>
      <c r="E512" s="23"/>
      <c r="F512" s="24"/>
      <c r="G512" s="23"/>
      <c r="H512" s="21" t="str">
        <f aca="true">IF(E512="","",ROUND((E512-TODAY())/30.4,1))</f>
        <v/>
      </c>
      <c r="I512" s="17" t="str">
        <f aca="false">IF(E512="","",IF(H512&lt;0,IF(LEFT(A512,1)="Q","Périmé (en quarantaine)","PÉRIMÉ → déplacer en zone Q"),IF(H512&lt;3,"Péremption &lt; 3 mois",IF(H512&lt;6,"Péremption &lt; 6 mois",""))))</f>
        <v/>
      </c>
      <c r="J512" s="17" t="str">
        <f aca="false">IF(A512="","",IF(COUNTIF(Emplacements!$A$2:$A$1001,A512)=0,"⚠ emplacement inconnu","OK"))</f>
        <v/>
      </c>
      <c r="K512" s="22" t="str">
        <f aca="false">IF(AND(B512&lt;&gt;"",ISNUMBER(SEARCH(Recherche!$C$3,C512&amp;" "&amp;B512&amp;" "&amp;A512&amp;" "&amp;D512))),MAX($K$1:K511)+1,"")</f>
        <v/>
      </c>
    </row>
    <row r="513" customFormat="false" ht="15" hidden="false" customHeight="false" outlineLevel="0" collapsed="false">
      <c r="A513" s="12"/>
      <c r="B513" s="12"/>
      <c r="C513" s="17" t="str">
        <f aca="false">IF(B513="","",IFERROR(INDEX(Produits!$F$2:$F$1001,MATCH(B513,Produits!$A$2:$A$1001,0)),"⚠ code article inconnu"))</f>
        <v/>
      </c>
      <c r="D513" s="12"/>
      <c r="E513" s="23"/>
      <c r="F513" s="24"/>
      <c r="G513" s="23"/>
      <c r="H513" s="21" t="str">
        <f aca="true">IF(E513="","",ROUND((E513-TODAY())/30.4,1))</f>
        <v/>
      </c>
      <c r="I513" s="17" t="str">
        <f aca="false">IF(E513="","",IF(H513&lt;0,IF(LEFT(A513,1)="Q","Périmé (en quarantaine)","PÉRIMÉ → déplacer en zone Q"),IF(H513&lt;3,"Péremption &lt; 3 mois",IF(H513&lt;6,"Péremption &lt; 6 mois",""))))</f>
        <v/>
      </c>
      <c r="J513" s="17" t="str">
        <f aca="false">IF(A513="","",IF(COUNTIF(Emplacements!$A$2:$A$1001,A513)=0,"⚠ emplacement inconnu","OK"))</f>
        <v/>
      </c>
      <c r="K513" s="22" t="str">
        <f aca="false">IF(AND(B513&lt;&gt;"",ISNUMBER(SEARCH(Recherche!$C$3,C513&amp;" "&amp;B513&amp;" "&amp;A513&amp;" "&amp;D513))),MAX($K$1:K512)+1,"")</f>
        <v/>
      </c>
    </row>
    <row r="514" customFormat="false" ht="15" hidden="false" customHeight="false" outlineLevel="0" collapsed="false">
      <c r="A514" s="12"/>
      <c r="B514" s="12"/>
      <c r="C514" s="17" t="str">
        <f aca="false">IF(B514="","",IFERROR(INDEX(Produits!$F$2:$F$1001,MATCH(B514,Produits!$A$2:$A$1001,0)),"⚠ code article inconnu"))</f>
        <v/>
      </c>
      <c r="D514" s="12"/>
      <c r="E514" s="23"/>
      <c r="F514" s="24"/>
      <c r="G514" s="23"/>
      <c r="H514" s="21" t="str">
        <f aca="true">IF(E514="","",ROUND((E514-TODAY())/30.4,1))</f>
        <v/>
      </c>
      <c r="I514" s="17" t="str">
        <f aca="false">IF(E514="","",IF(H514&lt;0,IF(LEFT(A514,1)="Q","Périmé (en quarantaine)","PÉRIMÉ → déplacer en zone Q"),IF(H514&lt;3,"Péremption &lt; 3 mois",IF(H514&lt;6,"Péremption &lt; 6 mois",""))))</f>
        <v/>
      </c>
      <c r="J514" s="17" t="str">
        <f aca="false">IF(A514="","",IF(COUNTIF(Emplacements!$A$2:$A$1001,A514)=0,"⚠ emplacement inconnu","OK"))</f>
        <v/>
      </c>
      <c r="K514" s="22" t="str">
        <f aca="false">IF(AND(B514&lt;&gt;"",ISNUMBER(SEARCH(Recherche!$C$3,C514&amp;" "&amp;B514&amp;" "&amp;A514&amp;" "&amp;D514))),MAX($K$1:K513)+1,"")</f>
        <v/>
      </c>
    </row>
    <row r="515" customFormat="false" ht="15" hidden="false" customHeight="false" outlineLevel="0" collapsed="false">
      <c r="A515" s="12"/>
      <c r="B515" s="12"/>
      <c r="C515" s="17" t="str">
        <f aca="false">IF(B515="","",IFERROR(INDEX(Produits!$F$2:$F$1001,MATCH(B515,Produits!$A$2:$A$1001,0)),"⚠ code article inconnu"))</f>
        <v/>
      </c>
      <c r="D515" s="12"/>
      <c r="E515" s="23"/>
      <c r="F515" s="24"/>
      <c r="G515" s="23"/>
      <c r="H515" s="21" t="str">
        <f aca="true">IF(E515="","",ROUND((E515-TODAY())/30.4,1))</f>
        <v/>
      </c>
      <c r="I515" s="17" t="str">
        <f aca="false">IF(E515="","",IF(H515&lt;0,IF(LEFT(A515,1)="Q","Périmé (en quarantaine)","PÉRIMÉ → déplacer en zone Q"),IF(H515&lt;3,"Péremption &lt; 3 mois",IF(H515&lt;6,"Péremption &lt; 6 mois",""))))</f>
        <v/>
      </c>
      <c r="J515" s="17" t="str">
        <f aca="false">IF(A515="","",IF(COUNTIF(Emplacements!$A$2:$A$1001,A515)=0,"⚠ emplacement inconnu","OK"))</f>
        <v/>
      </c>
      <c r="K515" s="22" t="str">
        <f aca="false">IF(AND(B515&lt;&gt;"",ISNUMBER(SEARCH(Recherche!$C$3,C515&amp;" "&amp;B515&amp;" "&amp;A515&amp;" "&amp;D515))),MAX($K$1:K514)+1,"")</f>
        <v/>
      </c>
    </row>
    <row r="516" customFormat="false" ht="15" hidden="false" customHeight="false" outlineLevel="0" collapsed="false">
      <c r="A516" s="12"/>
      <c r="B516" s="12"/>
      <c r="C516" s="17" t="str">
        <f aca="false">IF(B516="","",IFERROR(INDEX(Produits!$F$2:$F$1001,MATCH(B516,Produits!$A$2:$A$1001,0)),"⚠ code article inconnu"))</f>
        <v/>
      </c>
      <c r="D516" s="12"/>
      <c r="E516" s="23"/>
      <c r="F516" s="24"/>
      <c r="G516" s="23"/>
      <c r="H516" s="21" t="str">
        <f aca="true">IF(E516="","",ROUND((E516-TODAY())/30.4,1))</f>
        <v/>
      </c>
      <c r="I516" s="17" t="str">
        <f aca="false">IF(E516="","",IF(H516&lt;0,IF(LEFT(A516,1)="Q","Périmé (en quarantaine)","PÉRIMÉ → déplacer en zone Q"),IF(H516&lt;3,"Péremption &lt; 3 mois",IF(H516&lt;6,"Péremption &lt; 6 mois",""))))</f>
        <v/>
      </c>
      <c r="J516" s="17" t="str">
        <f aca="false">IF(A516="","",IF(COUNTIF(Emplacements!$A$2:$A$1001,A516)=0,"⚠ emplacement inconnu","OK"))</f>
        <v/>
      </c>
      <c r="K516" s="22" t="str">
        <f aca="false">IF(AND(B516&lt;&gt;"",ISNUMBER(SEARCH(Recherche!$C$3,C516&amp;" "&amp;B516&amp;" "&amp;A516&amp;" "&amp;D516))),MAX($K$1:K515)+1,"")</f>
        <v/>
      </c>
    </row>
    <row r="517" customFormat="false" ht="15" hidden="false" customHeight="false" outlineLevel="0" collapsed="false">
      <c r="A517" s="12"/>
      <c r="B517" s="12"/>
      <c r="C517" s="17" t="str">
        <f aca="false">IF(B517="","",IFERROR(INDEX(Produits!$F$2:$F$1001,MATCH(B517,Produits!$A$2:$A$1001,0)),"⚠ code article inconnu"))</f>
        <v/>
      </c>
      <c r="D517" s="12"/>
      <c r="E517" s="23"/>
      <c r="F517" s="24"/>
      <c r="G517" s="23"/>
      <c r="H517" s="21" t="str">
        <f aca="true">IF(E517="","",ROUND((E517-TODAY())/30.4,1))</f>
        <v/>
      </c>
      <c r="I517" s="17" t="str">
        <f aca="false">IF(E517="","",IF(H517&lt;0,IF(LEFT(A517,1)="Q","Périmé (en quarantaine)","PÉRIMÉ → déplacer en zone Q"),IF(H517&lt;3,"Péremption &lt; 3 mois",IF(H517&lt;6,"Péremption &lt; 6 mois",""))))</f>
        <v/>
      </c>
      <c r="J517" s="17" t="str">
        <f aca="false">IF(A517="","",IF(COUNTIF(Emplacements!$A$2:$A$1001,A517)=0,"⚠ emplacement inconnu","OK"))</f>
        <v/>
      </c>
      <c r="K517" s="22" t="str">
        <f aca="false">IF(AND(B517&lt;&gt;"",ISNUMBER(SEARCH(Recherche!$C$3,C517&amp;" "&amp;B517&amp;" "&amp;A517&amp;" "&amp;D517))),MAX($K$1:K516)+1,"")</f>
        <v/>
      </c>
    </row>
    <row r="518" customFormat="false" ht="15" hidden="false" customHeight="false" outlineLevel="0" collapsed="false">
      <c r="A518" s="12"/>
      <c r="B518" s="12"/>
      <c r="C518" s="17" t="str">
        <f aca="false">IF(B518="","",IFERROR(INDEX(Produits!$F$2:$F$1001,MATCH(B518,Produits!$A$2:$A$1001,0)),"⚠ code article inconnu"))</f>
        <v/>
      </c>
      <c r="D518" s="12"/>
      <c r="E518" s="23"/>
      <c r="F518" s="24"/>
      <c r="G518" s="23"/>
      <c r="H518" s="21" t="str">
        <f aca="true">IF(E518="","",ROUND((E518-TODAY())/30.4,1))</f>
        <v/>
      </c>
      <c r="I518" s="17" t="str">
        <f aca="false">IF(E518="","",IF(H518&lt;0,IF(LEFT(A518,1)="Q","Périmé (en quarantaine)","PÉRIMÉ → déplacer en zone Q"),IF(H518&lt;3,"Péremption &lt; 3 mois",IF(H518&lt;6,"Péremption &lt; 6 mois",""))))</f>
        <v/>
      </c>
      <c r="J518" s="17" t="str">
        <f aca="false">IF(A518="","",IF(COUNTIF(Emplacements!$A$2:$A$1001,A518)=0,"⚠ emplacement inconnu","OK"))</f>
        <v/>
      </c>
      <c r="K518" s="22" t="str">
        <f aca="false">IF(AND(B518&lt;&gt;"",ISNUMBER(SEARCH(Recherche!$C$3,C518&amp;" "&amp;B518&amp;" "&amp;A518&amp;" "&amp;D518))),MAX($K$1:K517)+1,"")</f>
        <v/>
      </c>
    </row>
    <row r="519" customFormat="false" ht="15" hidden="false" customHeight="false" outlineLevel="0" collapsed="false">
      <c r="A519" s="12"/>
      <c r="B519" s="12"/>
      <c r="C519" s="17" t="str">
        <f aca="false">IF(B519="","",IFERROR(INDEX(Produits!$F$2:$F$1001,MATCH(B519,Produits!$A$2:$A$1001,0)),"⚠ code article inconnu"))</f>
        <v/>
      </c>
      <c r="D519" s="12"/>
      <c r="E519" s="23"/>
      <c r="F519" s="24"/>
      <c r="G519" s="23"/>
      <c r="H519" s="21" t="str">
        <f aca="true">IF(E519="","",ROUND((E519-TODAY())/30.4,1))</f>
        <v/>
      </c>
      <c r="I519" s="17" t="str">
        <f aca="false">IF(E519="","",IF(H519&lt;0,IF(LEFT(A519,1)="Q","Périmé (en quarantaine)","PÉRIMÉ → déplacer en zone Q"),IF(H519&lt;3,"Péremption &lt; 3 mois",IF(H519&lt;6,"Péremption &lt; 6 mois",""))))</f>
        <v/>
      </c>
      <c r="J519" s="17" t="str">
        <f aca="false">IF(A519="","",IF(COUNTIF(Emplacements!$A$2:$A$1001,A519)=0,"⚠ emplacement inconnu","OK"))</f>
        <v/>
      </c>
      <c r="K519" s="22" t="str">
        <f aca="false">IF(AND(B519&lt;&gt;"",ISNUMBER(SEARCH(Recherche!$C$3,C519&amp;" "&amp;B519&amp;" "&amp;A519&amp;" "&amp;D519))),MAX($K$1:K518)+1,"")</f>
        <v/>
      </c>
    </row>
    <row r="520" customFormat="false" ht="15" hidden="false" customHeight="false" outlineLevel="0" collapsed="false">
      <c r="A520" s="12"/>
      <c r="B520" s="12"/>
      <c r="C520" s="17" t="str">
        <f aca="false">IF(B520="","",IFERROR(INDEX(Produits!$F$2:$F$1001,MATCH(B520,Produits!$A$2:$A$1001,0)),"⚠ code article inconnu"))</f>
        <v/>
      </c>
      <c r="D520" s="12"/>
      <c r="E520" s="23"/>
      <c r="F520" s="24"/>
      <c r="G520" s="23"/>
      <c r="H520" s="21" t="str">
        <f aca="true">IF(E520="","",ROUND((E520-TODAY())/30.4,1))</f>
        <v/>
      </c>
      <c r="I520" s="17" t="str">
        <f aca="false">IF(E520="","",IF(H520&lt;0,IF(LEFT(A520,1)="Q","Périmé (en quarantaine)","PÉRIMÉ → déplacer en zone Q"),IF(H520&lt;3,"Péremption &lt; 3 mois",IF(H520&lt;6,"Péremption &lt; 6 mois",""))))</f>
        <v/>
      </c>
      <c r="J520" s="17" t="str">
        <f aca="false">IF(A520="","",IF(COUNTIF(Emplacements!$A$2:$A$1001,A520)=0,"⚠ emplacement inconnu","OK"))</f>
        <v/>
      </c>
      <c r="K520" s="22" t="str">
        <f aca="false">IF(AND(B520&lt;&gt;"",ISNUMBER(SEARCH(Recherche!$C$3,C520&amp;" "&amp;B520&amp;" "&amp;A520&amp;" "&amp;D520))),MAX($K$1:K519)+1,"")</f>
        <v/>
      </c>
    </row>
    <row r="521" customFormat="false" ht="15" hidden="false" customHeight="false" outlineLevel="0" collapsed="false">
      <c r="A521" s="12"/>
      <c r="B521" s="12"/>
      <c r="C521" s="17" t="str">
        <f aca="false">IF(B521="","",IFERROR(INDEX(Produits!$F$2:$F$1001,MATCH(B521,Produits!$A$2:$A$1001,0)),"⚠ code article inconnu"))</f>
        <v/>
      </c>
      <c r="D521" s="12"/>
      <c r="E521" s="23"/>
      <c r="F521" s="24"/>
      <c r="G521" s="23"/>
      <c r="H521" s="21" t="str">
        <f aca="true">IF(E521="","",ROUND((E521-TODAY())/30.4,1))</f>
        <v/>
      </c>
      <c r="I521" s="17" t="str">
        <f aca="false">IF(E521="","",IF(H521&lt;0,IF(LEFT(A521,1)="Q","Périmé (en quarantaine)","PÉRIMÉ → déplacer en zone Q"),IF(H521&lt;3,"Péremption &lt; 3 mois",IF(H521&lt;6,"Péremption &lt; 6 mois",""))))</f>
        <v/>
      </c>
      <c r="J521" s="17" t="str">
        <f aca="false">IF(A521="","",IF(COUNTIF(Emplacements!$A$2:$A$1001,A521)=0,"⚠ emplacement inconnu","OK"))</f>
        <v/>
      </c>
      <c r="K521" s="22" t="str">
        <f aca="false">IF(AND(B521&lt;&gt;"",ISNUMBER(SEARCH(Recherche!$C$3,C521&amp;" "&amp;B521&amp;" "&amp;A521&amp;" "&amp;D521))),MAX($K$1:K520)+1,"")</f>
        <v/>
      </c>
    </row>
    <row r="522" customFormat="false" ht="15" hidden="false" customHeight="false" outlineLevel="0" collapsed="false">
      <c r="A522" s="12"/>
      <c r="B522" s="12"/>
      <c r="C522" s="17" t="str">
        <f aca="false">IF(B522="","",IFERROR(INDEX(Produits!$F$2:$F$1001,MATCH(B522,Produits!$A$2:$A$1001,0)),"⚠ code article inconnu"))</f>
        <v/>
      </c>
      <c r="D522" s="12"/>
      <c r="E522" s="23"/>
      <c r="F522" s="24"/>
      <c r="G522" s="23"/>
      <c r="H522" s="21" t="str">
        <f aca="true">IF(E522="","",ROUND((E522-TODAY())/30.4,1))</f>
        <v/>
      </c>
      <c r="I522" s="17" t="str">
        <f aca="false">IF(E522="","",IF(H522&lt;0,IF(LEFT(A522,1)="Q","Périmé (en quarantaine)","PÉRIMÉ → déplacer en zone Q"),IF(H522&lt;3,"Péremption &lt; 3 mois",IF(H522&lt;6,"Péremption &lt; 6 mois",""))))</f>
        <v/>
      </c>
      <c r="J522" s="17" t="str">
        <f aca="false">IF(A522="","",IF(COUNTIF(Emplacements!$A$2:$A$1001,A522)=0,"⚠ emplacement inconnu","OK"))</f>
        <v/>
      </c>
      <c r="K522" s="22" t="str">
        <f aca="false">IF(AND(B522&lt;&gt;"",ISNUMBER(SEARCH(Recherche!$C$3,C522&amp;" "&amp;B522&amp;" "&amp;A522&amp;" "&amp;D522))),MAX($K$1:K521)+1,"")</f>
        <v/>
      </c>
    </row>
    <row r="523" customFormat="false" ht="15" hidden="false" customHeight="false" outlineLevel="0" collapsed="false">
      <c r="A523" s="12"/>
      <c r="B523" s="12"/>
      <c r="C523" s="17" t="str">
        <f aca="false">IF(B523="","",IFERROR(INDEX(Produits!$F$2:$F$1001,MATCH(B523,Produits!$A$2:$A$1001,0)),"⚠ code article inconnu"))</f>
        <v/>
      </c>
      <c r="D523" s="12"/>
      <c r="E523" s="23"/>
      <c r="F523" s="24"/>
      <c r="G523" s="23"/>
      <c r="H523" s="21" t="str">
        <f aca="true">IF(E523="","",ROUND((E523-TODAY())/30.4,1))</f>
        <v/>
      </c>
      <c r="I523" s="17" t="str">
        <f aca="false">IF(E523="","",IF(H523&lt;0,IF(LEFT(A523,1)="Q","Périmé (en quarantaine)","PÉRIMÉ → déplacer en zone Q"),IF(H523&lt;3,"Péremption &lt; 3 mois",IF(H523&lt;6,"Péremption &lt; 6 mois",""))))</f>
        <v/>
      </c>
      <c r="J523" s="17" t="str">
        <f aca="false">IF(A523="","",IF(COUNTIF(Emplacements!$A$2:$A$1001,A523)=0,"⚠ emplacement inconnu","OK"))</f>
        <v/>
      </c>
      <c r="K523" s="22" t="str">
        <f aca="false">IF(AND(B523&lt;&gt;"",ISNUMBER(SEARCH(Recherche!$C$3,C523&amp;" "&amp;B523&amp;" "&amp;A523&amp;" "&amp;D523))),MAX($K$1:K522)+1,"")</f>
        <v/>
      </c>
    </row>
    <row r="524" customFormat="false" ht="15" hidden="false" customHeight="false" outlineLevel="0" collapsed="false">
      <c r="A524" s="12"/>
      <c r="B524" s="12"/>
      <c r="C524" s="17" t="str">
        <f aca="false">IF(B524="","",IFERROR(INDEX(Produits!$F$2:$F$1001,MATCH(B524,Produits!$A$2:$A$1001,0)),"⚠ code article inconnu"))</f>
        <v/>
      </c>
      <c r="D524" s="12"/>
      <c r="E524" s="23"/>
      <c r="F524" s="24"/>
      <c r="G524" s="23"/>
      <c r="H524" s="21" t="str">
        <f aca="true">IF(E524="","",ROUND((E524-TODAY())/30.4,1))</f>
        <v/>
      </c>
      <c r="I524" s="17" t="str">
        <f aca="false">IF(E524="","",IF(H524&lt;0,IF(LEFT(A524,1)="Q","Périmé (en quarantaine)","PÉRIMÉ → déplacer en zone Q"),IF(H524&lt;3,"Péremption &lt; 3 mois",IF(H524&lt;6,"Péremption &lt; 6 mois",""))))</f>
        <v/>
      </c>
      <c r="J524" s="17" t="str">
        <f aca="false">IF(A524="","",IF(COUNTIF(Emplacements!$A$2:$A$1001,A524)=0,"⚠ emplacement inconnu","OK"))</f>
        <v/>
      </c>
      <c r="K524" s="22" t="str">
        <f aca="false">IF(AND(B524&lt;&gt;"",ISNUMBER(SEARCH(Recherche!$C$3,C524&amp;" "&amp;B524&amp;" "&amp;A524&amp;" "&amp;D524))),MAX($K$1:K523)+1,"")</f>
        <v/>
      </c>
    </row>
    <row r="525" customFormat="false" ht="15" hidden="false" customHeight="false" outlineLevel="0" collapsed="false">
      <c r="A525" s="12"/>
      <c r="B525" s="12"/>
      <c r="C525" s="17" t="str">
        <f aca="false">IF(B525="","",IFERROR(INDEX(Produits!$F$2:$F$1001,MATCH(B525,Produits!$A$2:$A$1001,0)),"⚠ code article inconnu"))</f>
        <v/>
      </c>
      <c r="D525" s="12"/>
      <c r="E525" s="23"/>
      <c r="F525" s="24"/>
      <c r="G525" s="23"/>
      <c r="H525" s="21" t="str">
        <f aca="true">IF(E525="","",ROUND((E525-TODAY())/30.4,1))</f>
        <v/>
      </c>
      <c r="I525" s="17" t="str">
        <f aca="false">IF(E525="","",IF(H525&lt;0,IF(LEFT(A525,1)="Q","Périmé (en quarantaine)","PÉRIMÉ → déplacer en zone Q"),IF(H525&lt;3,"Péremption &lt; 3 mois",IF(H525&lt;6,"Péremption &lt; 6 mois",""))))</f>
        <v/>
      </c>
      <c r="J525" s="17" t="str">
        <f aca="false">IF(A525="","",IF(COUNTIF(Emplacements!$A$2:$A$1001,A525)=0,"⚠ emplacement inconnu","OK"))</f>
        <v/>
      </c>
      <c r="K525" s="22" t="str">
        <f aca="false">IF(AND(B525&lt;&gt;"",ISNUMBER(SEARCH(Recherche!$C$3,C525&amp;" "&amp;B525&amp;" "&amp;A525&amp;" "&amp;D525))),MAX($K$1:K524)+1,"")</f>
        <v/>
      </c>
    </row>
    <row r="526" customFormat="false" ht="15" hidden="false" customHeight="false" outlineLevel="0" collapsed="false">
      <c r="A526" s="12"/>
      <c r="B526" s="12"/>
      <c r="C526" s="17" t="str">
        <f aca="false">IF(B526="","",IFERROR(INDEX(Produits!$F$2:$F$1001,MATCH(B526,Produits!$A$2:$A$1001,0)),"⚠ code article inconnu"))</f>
        <v/>
      </c>
      <c r="D526" s="12"/>
      <c r="E526" s="23"/>
      <c r="F526" s="24"/>
      <c r="G526" s="23"/>
      <c r="H526" s="21" t="str">
        <f aca="true">IF(E526="","",ROUND((E526-TODAY())/30.4,1))</f>
        <v/>
      </c>
      <c r="I526" s="17" t="str">
        <f aca="false">IF(E526="","",IF(H526&lt;0,IF(LEFT(A526,1)="Q","Périmé (en quarantaine)","PÉRIMÉ → déplacer en zone Q"),IF(H526&lt;3,"Péremption &lt; 3 mois",IF(H526&lt;6,"Péremption &lt; 6 mois",""))))</f>
        <v/>
      </c>
      <c r="J526" s="17" t="str">
        <f aca="false">IF(A526="","",IF(COUNTIF(Emplacements!$A$2:$A$1001,A526)=0,"⚠ emplacement inconnu","OK"))</f>
        <v/>
      </c>
      <c r="K526" s="22" t="str">
        <f aca="false">IF(AND(B526&lt;&gt;"",ISNUMBER(SEARCH(Recherche!$C$3,C526&amp;" "&amp;B526&amp;" "&amp;A526&amp;" "&amp;D526))),MAX($K$1:K525)+1,"")</f>
        <v/>
      </c>
    </row>
    <row r="527" customFormat="false" ht="15" hidden="false" customHeight="false" outlineLevel="0" collapsed="false">
      <c r="A527" s="12"/>
      <c r="B527" s="12"/>
      <c r="C527" s="17" t="str">
        <f aca="false">IF(B527="","",IFERROR(INDEX(Produits!$F$2:$F$1001,MATCH(B527,Produits!$A$2:$A$1001,0)),"⚠ code article inconnu"))</f>
        <v/>
      </c>
      <c r="D527" s="12"/>
      <c r="E527" s="23"/>
      <c r="F527" s="24"/>
      <c r="G527" s="23"/>
      <c r="H527" s="21" t="str">
        <f aca="true">IF(E527="","",ROUND((E527-TODAY())/30.4,1))</f>
        <v/>
      </c>
      <c r="I527" s="17" t="str">
        <f aca="false">IF(E527="","",IF(H527&lt;0,IF(LEFT(A527,1)="Q","Périmé (en quarantaine)","PÉRIMÉ → déplacer en zone Q"),IF(H527&lt;3,"Péremption &lt; 3 mois",IF(H527&lt;6,"Péremption &lt; 6 mois",""))))</f>
        <v/>
      </c>
      <c r="J527" s="17" t="str">
        <f aca="false">IF(A527="","",IF(COUNTIF(Emplacements!$A$2:$A$1001,A527)=0,"⚠ emplacement inconnu","OK"))</f>
        <v/>
      </c>
      <c r="K527" s="22" t="str">
        <f aca="false">IF(AND(B527&lt;&gt;"",ISNUMBER(SEARCH(Recherche!$C$3,C527&amp;" "&amp;B527&amp;" "&amp;A527&amp;" "&amp;D527))),MAX($K$1:K526)+1,"")</f>
        <v/>
      </c>
    </row>
    <row r="528" customFormat="false" ht="15" hidden="false" customHeight="false" outlineLevel="0" collapsed="false">
      <c r="A528" s="12"/>
      <c r="B528" s="12"/>
      <c r="C528" s="17" t="str">
        <f aca="false">IF(B528="","",IFERROR(INDEX(Produits!$F$2:$F$1001,MATCH(B528,Produits!$A$2:$A$1001,0)),"⚠ code article inconnu"))</f>
        <v/>
      </c>
      <c r="D528" s="12"/>
      <c r="E528" s="23"/>
      <c r="F528" s="24"/>
      <c r="G528" s="23"/>
      <c r="H528" s="21" t="str">
        <f aca="true">IF(E528="","",ROUND((E528-TODAY())/30.4,1))</f>
        <v/>
      </c>
      <c r="I528" s="17" t="str">
        <f aca="false">IF(E528="","",IF(H528&lt;0,IF(LEFT(A528,1)="Q","Périmé (en quarantaine)","PÉRIMÉ → déplacer en zone Q"),IF(H528&lt;3,"Péremption &lt; 3 mois",IF(H528&lt;6,"Péremption &lt; 6 mois",""))))</f>
        <v/>
      </c>
      <c r="J528" s="17" t="str">
        <f aca="false">IF(A528="","",IF(COUNTIF(Emplacements!$A$2:$A$1001,A528)=0,"⚠ emplacement inconnu","OK"))</f>
        <v/>
      </c>
      <c r="K528" s="22" t="str">
        <f aca="false">IF(AND(B528&lt;&gt;"",ISNUMBER(SEARCH(Recherche!$C$3,C528&amp;" "&amp;B528&amp;" "&amp;A528&amp;" "&amp;D528))),MAX($K$1:K527)+1,"")</f>
        <v/>
      </c>
    </row>
    <row r="529" customFormat="false" ht="15" hidden="false" customHeight="false" outlineLevel="0" collapsed="false">
      <c r="A529" s="12"/>
      <c r="B529" s="12"/>
      <c r="C529" s="17" t="str">
        <f aca="false">IF(B529="","",IFERROR(INDEX(Produits!$F$2:$F$1001,MATCH(B529,Produits!$A$2:$A$1001,0)),"⚠ code article inconnu"))</f>
        <v/>
      </c>
      <c r="D529" s="12"/>
      <c r="E529" s="23"/>
      <c r="F529" s="24"/>
      <c r="G529" s="23"/>
      <c r="H529" s="21" t="str">
        <f aca="true">IF(E529="","",ROUND((E529-TODAY())/30.4,1))</f>
        <v/>
      </c>
      <c r="I529" s="17" t="str">
        <f aca="false">IF(E529="","",IF(H529&lt;0,IF(LEFT(A529,1)="Q","Périmé (en quarantaine)","PÉRIMÉ → déplacer en zone Q"),IF(H529&lt;3,"Péremption &lt; 3 mois",IF(H529&lt;6,"Péremption &lt; 6 mois",""))))</f>
        <v/>
      </c>
      <c r="J529" s="17" t="str">
        <f aca="false">IF(A529="","",IF(COUNTIF(Emplacements!$A$2:$A$1001,A529)=0,"⚠ emplacement inconnu","OK"))</f>
        <v/>
      </c>
      <c r="K529" s="22" t="str">
        <f aca="false">IF(AND(B529&lt;&gt;"",ISNUMBER(SEARCH(Recherche!$C$3,C529&amp;" "&amp;B529&amp;" "&amp;A529&amp;" "&amp;D529))),MAX($K$1:K528)+1,"")</f>
        <v/>
      </c>
    </row>
    <row r="530" customFormat="false" ht="15" hidden="false" customHeight="false" outlineLevel="0" collapsed="false">
      <c r="A530" s="12"/>
      <c r="B530" s="12"/>
      <c r="C530" s="17" t="str">
        <f aca="false">IF(B530="","",IFERROR(INDEX(Produits!$F$2:$F$1001,MATCH(B530,Produits!$A$2:$A$1001,0)),"⚠ code article inconnu"))</f>
        <v/>
      </c>
      <c r="D530" s="12"/>
      <c r="E530" s="23"/>
      <c r="F530" s="24"/>
      <c r="G530" s="23"/>
      <c r="H530" s="21" t="str">
        <f aca="true">IF(E530="","",ROUND((E530-TODAY())/30.4,1))</f>
        <v/>
      </c>
      <c r="I530" s="17" t="str">
        <f aca="false">IF(E530="","",IF(H530&lt;0,IF(LEFT(A530,1)="Q","Périmé (en quarantaine)","PÉRIMÉ → déplacer en zone Q"),IF(H530&lt;3,"Péremption &lt; 3 mois",IF(H530&lt;6,"Péremption &lt; 6 mois",""))))</f>
        <v/>
      </c>
      <c r="J530" s="17" t="str">
        <f aca="false">IF(A530="","",IF(COUNTIF(Emplacements!$A$2:$A$1001,A530)=0,"⚠ emplacement inconnu","OK"))</f>
        <v/>
      </c>
      <c r="K530" s="22" t="str">
        <f aca="false">IF(AND(B530&lt;&gt;"",ISNUMBER(SEARCH(Recherche!$C$3,C530&amp;" "&amp;B530&amp;" "&amp;A530&amp;" "&amp;D530))),MAX($K$1:K529)+1,"")</f>
        <v/>
      </c>
    </row>
    <row r="531" customFormat="false" ht="15" hidden="false" customHeight="false" outlineLevel="0" collapsed="false">
      <c r="A531" s="12"/>
      <c r="B531" s="12"/>
      <c r="C531" s="17" t="str">
        <f aca="false">IF(B531="","",IFERROR(INDEX(Produits!$F$2:$F$1001,MATCH(B531,Produits!$A$2:$A$1001,0)),"⚠ code article inconnu"))</f>
        <v/>
      </c>
      <c r="D531" s="12"/>
      <c r="E531" s="23"/>
      <c r="F531" s="24"/>
      <c r="G531" s="23"/>
      <c r="H531" s="21" t="str">
        <f aca="true">IF(E531="","",ROUND((E531-TODAY())/30.4,1))</f>
        <v/>
      </c>
      <c r="I531" s="17" t="str">
        <f aca="false">IF(E531="","",IF(H531&lt;0,IF(LEFT(A531,1)="Q","Périmé (en quarantaine)","PÉRIMÉ → déplacer en zone Q"),IF(H531&lt;3,"Péremption &lt; 3 mois",IF(H531&lt;6,"Péremption &lt; 6 mois",""))))</f>
        <v/>
      </c>
      <c r="J531" s="17" t="str">
        <f aca="false">IF(A531="","",IF(COUNTIF(Emplacements!$A$2:$A$1001,A531)=0,"⚠ emplacement inconnu","OK"))</f>
        <v/>
      </c>
      <c r="K531" s="22" t="str">
        <f aca="false">IF(AND(B531&lt;&gt;"",ISNUMBER(SEARCH(Recherche!$C$3,C531&amp;" "&amp;B531&amp;" "&amp;A531&amp;" "&amp;D531))),MAX($K$1:K530)+1,"")</f>
        <v/>
      </c>
    </row>
    <row r="532" customFormat="false" ht="15" hidden="false" customHeight="false" outlineLevel="0" collapsed="false">
      <c r="A532" s="12"/>
      <c r="B532" s="12"/>
      <c r="C532" s="17" t="str">
        <f aca="false">IF(B532="","",IFERROR(INDEX(Produits!$F$2:$F$1001,MATCH(B532,Produits!$A$2:$A$1001,0)),"⚠ code article inconnu"))</f>
        <v/>
      </c>
      <c r="D532" s="12"/>
      <c r="E532" s="23"/>
      <c r="F532" s="24"/>
      <c r="G532" s="23"/>
      <c r="H532" s="21" t="str">
        <f aca="true">IF(E532="","",ROUND((E532-TODAY())/30.4,1))</f>
        <v/>
      </c>
      <c r="I532" s="17" t="str">
        <f aca="false">IF(E532="","",IF(H532&lt;0,IF(LEFT(A532,1)="Q","Périmé (en quarantaine)","PÉRIMÉ → déplacer en zone Q"),IF(H532&lt;3,"Péremption &lt; 3 mois",IF(H532&lt;6,"Péremption &lt; 6 mois",""))))</f>
        <v/>
      </c>
      <c r="J532" s="17" t="str">
        <f aca="false">IF(A532="","",IF(COUNTIF(Emplacements!$A$2:$A$1001,A532)=0,"⚠ emplacement inconnu","OK"))</f>
        <v/>
      </c>
      <c r="K532" s="22" t="str">
        <f aca="false">IF(AND(B532&lt;&gt;"",ISNUMBER(SEARCH(Recherche!$C$3,C532&amp;" "&amp;B532&amp;" "&amp;A532&amp;" "&amp;D532))),MAX($K$1:K531)+1,"")</f>
        <v/>
      </c>
    </row>
    <row r="533" customFormat="false" ht="15" hidden="false" customHeight="false" outlineLevel="0" collapsed="false">
      <c r="A533" s="12"/>
      <c r="B533" s="12"/>
      <c r="C533" s="17" t="str">
        <f aca="false">IF(B533="","",IFERROR(INDEX(Produits!$F$2:$F$1001,MATCH(B533,Produits!$A$2:$A$1001,0)),"⚠ code article inconnu"))</f>
        <v/>
      </c>
      <c r="D533" s="12"/>
      <c r="E533" s="23"/>
      <c r="F533" s="24"/>
      <c r="G533" s="23"/>
      <c r="H533" s="21" t="str">
        <f aca="true">IF(E533="","",ROUND((E533-TODAY())/30.4,1))</f>
        <v/>
      </c>
      <c r="I533" s="17" t="str">
        <f aca="false">IF(E533="","",IF(H533&lt;0,IF(LEFT(A533,1)="Q","Périmé (en quarantaine)","PÉRIMÉ → déplacer en zone Q"),IF(H533&lt;3,"Péremption &lt; 3 mois",IF(H533&lt;6,"Péremption &lt; 6 mois",""))))</f>
        <v/>
      </c>
      <c r="J533" s="17" t="str">
        <f aca="false">IF(A533="","",IF(COUNTIF(Emplacements!$A$2:$A$1001,A533)=0,"⚠ emplacement inconnu","OK"))</f>
        <v/>
      </c>
      <c r="K533" s="22" t="str">
        <f aca="false">IF(AND(B533&lt;&gt;"",ISNUMBER(SEARCH(Recherche!$C$3,C533&amp;" "&amp;B533&amp;" "&amp;A533&amp;" "&amp;D533))),MAX($K$1:K532)+1,"")</f>
        <v/>
      </c>
    </row>
    <row r="534" customFormat="false" ht="15" hidden="false" customHeight="false" outlineLevel="0" collapsed="false">
      <c r="A534" s="12"/>
      <c r="B534" s="12"/>
      <c r="C534" s="17" t="str">
        <f aca="false">IF(B534="","",IFERROR(INDEX(Produits!$F$2:$F$1001,MATCH(B534,Produits!$A$2:$A$1001,0)),"⚠ code article inconnu"))</f>
        <v/>
      </c>
      <c r="D534" s="12"/>
      <c r="E534" s="23"/>
      <c r="F534" s="24"/>
      <c r="G534" s="23"/>
      <c r="H534" s="21" t="str">
        <f aca="true">IF(E534="","",ROUND((E534-TODAY())/30.4,1))</f>
        <v/>
      </c>
      <c r="I534" s="17" t="str">
        <f aca="false">IF(E534="","",IF(H534&lt;0,IF(LEFT(A534,1)="Q","Périmé (en quarantaine)","PÉRIMÉ → déplacer en zone Q"),IF(H534&lt;3,"Péremption &lt; 3 mois",IF(H534&lt;6,"Péremption &lt; 6 mois",""))))</f>
        <v/>
      </c>
      <c r="J534" s="17" t="str">
        <f aca="false">IF(A534="","",IF(COUNTIF(Emplacements!$A$2:$A$1001,A534)=0,"⚠ emplacement inconnu","OK"))</f>
        <v/>
      </c>
      <c r="K534" s="22" t="str">
        <f aca="false">IF(AND(B534&lt;&gt;"",ISNUMBER(SEARCH(Recherche!$C$3,C534&amp;" "&amp;B534&amp;" "&amp;A534&amp;" "&amp;D534))),MAX($K$1:K533)+1,"")</f>
        <v/>
      </c>
    </row>
    <row r="535" customFormat="false" ht="15" hidden="false" customHeight="false" outlineLevel="0" collapsed="false">
      <c r="A535" s="12"/>
      <c r="B535" s="12"/>
      <c r="C535" s="17" t="str">
        <f aca="false">IF(B535="","",IFERROR(INDEX(Produits!$F$2:$F$1001,MATCH(B535,Produits!$A$2:$A$1001,0)),"⚠ code article inconnu"))</f>
        <v/>
      </c>
      <c r="D535" s="12"/>
      <c r="E535" s="23"/>
      <c r="F535" s="24"/>
      <c r="G535" s="23"/>
      <c r="H535" s="21" t="str">
        <f aca="true">IF(E535="","",ROUND((E535-TODAY())/30.4,1))</f>
        <v/>
      </c>
      <c r="I535" s="17" t="str">
        <f aca="false">IF(E535="","",IF(H535&lt;0,IF(LEFT(A535,1)="Q","Périmé (en quarantaine)","PÉRIMÉ → déplacer en zone Q"),IF(H535&lt;3,"Péremption &lt; 3 mois",IF(H535&lt;6,"Péremption &lt; 6 mois",""))))</f>
        <v/>
      </c>
      <c r="J535" s="17" t="str">
        <f aca="false">IF(A535="","",IF(COUNTIF(Emplacements!$A$2:$A$1001,A535)=0,"⚠ emplacement inconnu","OK"))</f>
        <v/>
      </c>
      <c r="K535" s="22" t="str">
        <f aca="false">IF(AND(B535&lt;&gt;"",ISNUMBER(SEARCH(Recherche!$C$3,C535&amp;" "&amp;B535&amp;" "&amp;A535&amp;" "&amp;D535))),MAX($K$1:K534)+1,"")</f>
        <v/>
      </c>
    </row>
    <row r="536" customFormat="false" ht="15" hidden="false" customHeight="false" outlineLevel="0" collapsed="false">
      <c r="A536" s="12"/>
      <c r="B536" s="12"/>
      <c r="C536" s="17" t="str">
        <f aca="false">IF(B536="","",IFERROR(INDEX(Produits!$F$2:$F$1001,MATCH(B536,Produits!$A$2:$A$1001,0)),"⚠ code article inconnu"))</f>
        <v/>
      </c>
      <c r="D536" s="12"/>
      <c r="E536" s="23"/>
      <c r="F536" s="24"/>
      <c r="G536" s="23"/>
      <c r="H536" s="21" t="str">
        <f aca="true">IF(E536="","",ROUND((E536-TODAY())/30.4,1))</f>
        <v/>
      </c>
      <c r="I536" s="17" t="str">
        <f aca="false">IF(E536="","",IF(H536&lt;0,IF(LEFT(A536,1)="Q","Périmé (en quarantaine)","PÉRIMÉ → déplacer en zone Q"),IF(H536&lt;3,"Péremption &lt; 3 mois",IF(H536&lt;6,"Péremption &lt; 6 mois",""))))</f>
        <v/>
      </c>
      <c r="J536" s="17" t="str">
        <f aca="false">IF(A536="","",IF(COUNTIF(Emplacements!$A$2:$A$1001,A536)=0,"⚠ emplacement inconnu","OK"))</f>
        <v/>
      </c>
      <c r="K536" s="22" t="str">
        <f aca="false">IF(AND(B536&lt;&gt;"",ISNUMBER(SEARCH(Recherche!$C$3,C536&amp;" "&amp;B536&amp;" "&amp;A536&amp;" "&amp;D536))),MAX($K$1:K535)+1,"")</f>
        <v/>
      </c>
    </row>
    <row r="537" customFormat="false" ht="15" hidden="false" customHeight="false" outlineLevel="0" collapsed="false">
      <c r="A537" s="12"/>
      <c r="B537" s="12"/>
      <c r="C537" s="17" t="str">
        <f aca="false">IF(B537="","",IFERROR(INDEX(Produits!$F$2:$F$1001,MATCH(B537,Produits!$A$2:$A$1001,0)),"⚠ code article inconnu"))</f>
        <v/>
      </c>
      <c r="D537" s="12"/>
      <c r="E537" s="23"/>
      <c r="F537" s="24"/>
      <c r="G537" s="23"/>
      <c r="H537" s="21" t="str">
        <f aca="true">IF(E537="","",ROUND((E537-TODAY())/30.4,1))</f>
        <v/>
      </c>
      <c r="I537" s="17" t="str">
        <f aca="false">IF(E537="","",IF(H537&lt;0,IF(LEFT(A537,1)="Q","Périmé (en quarantaine)","PÉRIMÉ → déplacer en zone Q"),IF(H537&lt;3,"Péremption &lt; 3 mois",IF(H537&lt;6,"Péremption &lt; 6 mois",""))))</f>
        <v/>
      </c>
      <c r="J537" s="17" t="str">
        <f aca="false">IF(A537="","",IF(COUNTIF(Emplacements!$A$2:$A$1001,A537)=0,"⚠ emplacement inconnu","OK"))</f>
        <v/>
      </c>
      <c r="K537" s="22" t="str">
        <f aca="false">IF(AND(B537&lt;&gt;"",ISNUMBER(SEARCH(Recherche!$C$3,C537&amp;" "&amp;B537&amp;" "&amp;A537&amp;" "&amp;D537))),MAX($K$1:K536)+1,"")</f>
        <v/>
      </c>
    </row>
    <row r="538" customFormat="false" ht="15" hidden="false" customHeight="false" outlineLevel="0" collapsed="false">
      <c r="A538" s="12"/>
      <c r="B538" s="12"/>
      <c r="C538" s="17" t="str">
        <f aca="false">IF(B538="","",IFERROR(INDEX(Produits!$F$2:$F$1001,MATCH(B538,Produits!$A$2:$A$1001,0)),"⚠ code article inconnu"))</f>
        <v/>
      </c>
      <c r="D538" s="12"/>
      <c r="E538" s="23"/>
      <c r="F538" s="24"/>
      <c r="G538" s="23"/>
      <c r="H538" s="21" t="str">
        <f aca="true">IF(E538="","",ROUND((E538-TODAY())/30.4,1))</f>
        <v/>
      </c>
      <c r="I538" s="17" t="str">
        <f aca="false">IF(E538="","",IF(H538&lt;0,IF(LEFT(A538,1)="Q","Périmé (en quarantaine)","PÉRIMÉ → déplacer en zone Q"),IF(H538&lt;3,"Péremption &lt; 3 mois",IF(H538&lt;6,"Péremption &lt; 6 mois",""))))</f>
        <v/>
      </c>
      <c r="J538" s="17" t="str">
        <f aca="false">IF(A538="","",IF(COUNTIF(Emplacements!$A$2:$A$1001,A538)=0,"⚠ emplacement inconnu","OK"))</f>
        <v/>
      </c>
      <c r="K538" s="22" t="str">
        <f aca="false">IF(AND(B538&lt;&gt;"",ISNUMBER(SEARCH(Recherche!$C$3,C538&amp;" "&amp;B538&amp;" "&amp;A538&amp;" "&amp;D538))),MAX($K$1:K537)+1,"")</f>
        <v/>
      </c>
    </row>
    <row r="539" customFormat="false" ht="15" hidden="false" customHeight="false" outlineLevel="0" collapsed="false">
      <c r="A539" s="12"/>
      <c r="B539" s="12"/>
      <c r="C539" s="17" t="str">
        <f aca="false">IF(B539="","",IFERROR(INDEX(Produits!$F$2:$F$1001,MATCH(B539,Produits!$A$2:$A$1001,0)),"⚠ code article inconnu"))</f>
        <v/>
      </c>
      <c r="D539" s="12"/>
      <c r="E539" s="23"/>
      <c r="F539" s="24"/>
      <c r="G539" s="23"/>
      <c r="H539" s="21" t="str">
        <f aca="true">IF(E539="","",ROUND((E539-TODAY())/30.4,1))</f>
        <v/>
      </c>
      <c r="I539" s="17" t="str">
        <f aca="false">IF(E539="","",IF(H539&lt;0,IF(LEFT(A539,1)="Q","Périmé (en quarantaine)","PÉRIMÉ → déplacer en zone Q"),IF(H539&lt;3,"Péremption &lt; 3 mois",IF(H539&lt;6,"Péremption &lt; 6 mois",""))))</f>
        <v/>
      </c>
      <c r="J539" s="17" t="str">
        <f aca="false">IF(A539="","",IF(COUNTIF(Emplacements!$A$2:$A$1001,A539)=0,"⚠ emplacement inconnu","OK"))</f>
        <v/>
      </c>
      <c r="K539" s="22" t="str">
        <f aca="false">IF(AND(B539&lt;&gt;"",ISNUMBER(SEARCH(Recherche!$C$3,C539&amp;" "&amp;B539&amp;" "&amp;A539&amp;" "&amp;D539))),MAX($K$1:K538)+1,"")</f>
        <v/>
      </c>
    </row>
    <row r="540" customFormat="false" ht="15" hidden="false" customHeight="false" outlineLevel="0" collapsed="false">
      <c r="A540" s="12"/>
      <c r="B540" s="12"/>
      <c r="C540" s="17" t="str">
        <f aca="false">IF(B540="","",IFERROR(INDEX(Produits!$F$2:$F$1001,MATCH(B540,Produits!$A$2:$A$1001,0)),"⚠ code article inconnu"))</f>
        <v/>
      </c>
      <c r="D540" s="12"/>
      <c r="E540" s="23"/>
      <c r="F540" s="24"/>
      <c r="G540" s="23"/>
      <c r="H540" s="21" t="str">
        <f aca="true">IF(E540="","",ROUND((E540-TODAY())/30.4,1))</f>
        <v/>
      </c>
      <c r="I540" s="17" t="str">
        <f aca="false">IF(E540="","",IF(H540&lt;0,IF(LEFT(A540,1)="Q","Périmé (en quarantaine)","PÉRIMÉ → déplacer en zone Q"),IF(H540&lt;3,"Péremption &lt; 3 mois",IF(H540&lt;6,"Péremption &lt; 6 mois",""))))</f>
        <v/>
      </c>
      <c r="J540" s="17" t="str">
        <f aca="false">IF(A540="","",IF(COUNTIF(Emplacements!$A$2:$A$1001,A540)=0,"⚠ emplacement inconnu","OK"))</f>
        <v/>
      </c>
      <c r="K540" s="22" t="str">
        <f aca="false">IF(AND(B540&lt;&gt;"",ISNUMBER(SEARCH(Recherche!$C$3,C540&amp;" "&amp;B540&amp;" "&amp;A540&amp;" "&amp;D540))),MAX($K$1:K539)+1,"")</f>
        <v/>
      </c>
    </row>
    <row r="541" customFormat="false" ht="15" hidden="false" customHeight="false" outlineLevel="0" collapsed="false">
      <c r="A541" s="12"/>
      <c r="B541" s="12"/>
      <c r="C541" s="17" t="str">
        <f aca="false">IF(B541="","",IFERROR(INDEX(Produits!$F$2:$F$1001,MATCH(B541,Produits!$A$2:$A$1001,0)),"⚠ code article inconnu"))</f>
        <v/>
      </c>
      <c r="D541" s="12"/>
      <c r="E541" s="23"/>
      <c r="F541" s="24"/>
      <c r="G541" s="23"/>
      <c r="H541" s="21" t="str">
        <f aca="true">IF(E541="","",ROUND((E541-TODAY())/30.4,1))</f>
        <v/>
      </c>
      <c r="I541" s="17" t="str">
        <f aca="false">IF(E541="","",IF(H541&lt;0,IF(LEFT(A541,1)="Q","Périmé (en quarantaine)","PÉRIMÉ → déplacer en zone Q"),IF(H541&lt;3,"Péremption &lt; 3 mois",IF(H541&lt;6,"Péremption &lt; 6 mois",""))))</f>
        <v/>
      </c>
      <c r="J541" s="17" t="str">
        <f aca="false">IF(A541="","",IF(COUNTIF(Emplacements!$A$2:$A$1001,A541)=0,"⚠ emplacement inconnu","OK"))</f>
        <v/>
      </c>
      <c r="K541" s="22" t="str">
        <f aca="false">IF(AND(B541&lt;&gt;"",ISNUMBER(SEARCH(Recherche!$C$3,C541&amp;" "&amp;B541&amp;" "&amp;A541&amp;" "&amp;D541))),MAX($K$1:K540)+1,"")</f>
        <v/>
      </c>
    </row>
    <row r="542" customFormat="false" ht="15" hidden="false" customHeight="false" outlineLevel="0" collapsed="false">
      <c r="A542" s="12"/>
      <c r="B542" s="12"/>
      <c r="C542" s="17" t="str">
        <f aca="false">IF(B542="","",IFERROR(INDEX(Produits!$F$2:$F$1001,MATCH(B542,Produits!$A$2:$A$1001,0)),"⚠ code article inconnu"))</f>
        <v/>
      </c>
      <c r="D542" s="12"/>
      <c r="E542" s="23"/>
      <c r="F542" s="24"/>
      <c r="G542" s="23"/>
      <c r="H542" s="21" t="str">
        <f aca="true">IF(E542="","",ROUND((E542-TODAY())/30.4,1))</f>
        <v/>
      </c>
      <c r="I542" s="17" t="str">
        <f aca="false">IF(E542="","",IF(H542&lt;0,IF(LEFT(A542,1)="Q","Périmé (en quarantaine)","PÉRIMÉ → déplacer en zone Q"),IF(H542&lt;3,"Péremption &lt; 3 mois",IF(H542&lt;6,"Péremption &lt; 6 mois",""))))</f>
        <v/>
      </c>
      <c r="J542" s="17" t="str">
        <f aca="false">IF(A542="","",IF(COUNTIF(Emplacements!$A$2:$A$1001,A542)=0,"⚠ emplacement inconnu","OK"))</f>
        <v/>
      </c>
      <c r="K542" s="22" t="str">
        <f aca="false">IF(AND(B542&lt;&gt;"",ISNUMBER(SEARCH(Recherche!$C$3,C542&amp;" "&amp;B542&amp;" "&amp;A542&amp;" "&amp;D542))),MAX($K$1:K541)+1,"")</f>
        <v/>
      </c>
    </row>
    <row r="543" customFormat="false" ht="15" hidden="false" customHeight="false" outlineLevel="0" collapsed="false">
      <c r="A543" s="12"/>
      <c r="B543" s="12"/>
      <c r="C543" s="17" t="str">
        <f aca="false">IF(B543="","",IFERROR(INDEX(Produits!$F$2:$F$1001,MATCH(B543,Produits!$A$2:$A$1001,0)),"⚠ code article inconnu"))</f>
        <v/>
      </c>
      <c r="D543" s="12"/>
      <c r="E543" s="23"/>
      <c r="F543" s="24"/>
      <c r="G543" s="23"/>
      <c r="H543" s="21" t="str">
        <f aca="true">IF(E543="","",ROUND((E543-TODAY())/30.4,1))</f>
        <v/>
      </c>
      <c r="I543" s="17" t="str">
        <f aca="false">IF(E543="","",IF(H543&lt;0,IF(LEFT(A543,1)="Q","Périmé (en quarantaine)","PÉRIMÉ → déplacer en zone Q"),IF(H543&lt;3,"Péremption &lt; 3 mois",IF(H543&lt;6,"Péremption &lt; 6 mois",""))))</f>
        <v/>
      </c>
      <c r="J543" s="17" t="str">
        <f aca="false">IF(A543="","",IF(COUNTIF(Emplacements!$A$2:$A$1001,A543)=0,"⚠ emplacement inconnu","OK"))</f>
        <v/>
      </c>
      <c r="K543" s="22" t="str">
        <f aca="false">IF(AND(B543&lt;&gt;"",ISNUMBER(SEARCH(Recherche!$C$3,C543&amp;" "&amp;B543&amp;" "&amp;A543&amp;" "&amp;D543))),MAX($K$1:K542)+1,"")</f>
        <v/>
      </c>
    </row>
    <row r="544" customFormat="false" ht="15" hidden="false" customHeight="false" outlineLevel="0" collapsed="false">
      <c r="A544" s="12"/>
      <c r="B544" s="12"/>
      <c r="C544" s="17" t="str">
        <f aca="false">IF(B544="","",IFERROR(INDEX(Produits!$F$2:$F$1001,MATCH(B544,Produits!$A$2:$A$1001,0)),"⚠ code article inconnu"))</f>
        <v/>
      </c>
      <c r="D544" s="12"/>
      <c r="E544" s="23"/>
      <c r="F544" s="24"/>
      <c r="G544" s="23"/>
      <c r="H544" s="21" t="str">
        <f aca="true">IF(E544="","",ROUND((E544-TODAY())/30.4,1))</f>
        <v/>
      </c>
      <c r="I544" s="17" t="str">
        <f aca="false">IF(E544="","",IF(H544&lt;0,IF(LEFT(A544,1)="Q","Périmé (en quarantaine)","PÉRIMÉ → déplacer en zone Q"),IF(H544&lt;3,"Péremption &lt; 3 mois",IF(H544&lt;6,"Péremption &lt; 6 mois",""))))</f>
        <v/>
      </c>
      <c r="J544" s="17" t="str">
        <f aca="false">IF(A544="","",IF(COUNTIF(Emplacements!$A$2:$A$1001,A544)=0,"⚠ emplacement inconnu","OK"))</f>
        <v/>
      </c>
      <c r="K544" s="22" t="str">
        <f aca="false">IF(AND(B544&lt;&gt;"",ISNUMBER(SEARCH(Recherche!$C$3,C544&amp;" "&amp;B544&amp;" "&amp;A544&amp;" "&amp;D544))),MAX($K$1:K543)+1,"")</f>
        <v/>
      </c>
    </row>
    <row r="545" customFormat="false" ht="15" hidden="false" customHeight="false" outlineLevel="0" collapsed="false">
      <c r="A545" s="12"/>
      <c r="B545" s="12"/>
      <c r="C545" s="17" t="str">
        <f aca="false">IF(B545="","",IFERROR(INDEX(Produits!$F$2:$F$1001,MATCH(B545,Produits!$A$2:$A$1001,0)),"⚠ code article inconnu"))</f>
        <v/>
      </c>
      <c r="D545" s="12"/>
      <c r="E545" s="23"/>
      <c r="F545" s="24"/>
      <c r="G545" s="23"/>
      <c r="H545" s="21" t="str">
        <f aca="true">IF(E545="","",ROUND((E545-TODAY())/30.4,1))</f>
        <v/>
      </c>
      <c r="I545" s="17" t="str">
        <f aca="false">IF(E545="","",IF(H545&lt;0,IF(LEFT(A545,1)="Q","Périmé (en quarantaine)","PÉRIMÉ → déplacer en zone Q"),IF(H545&lt;3,"Péremption &lt; 3 mois",IF(H545&lt;6,"Péremption &lt; 6 mois",""))))</f>
        <v/>
      </c>
      <c r="J545" s="17" t="str">
        <f aca="false">IF(A545="","",IF(COUNTIF(Emplacements!$A$2:$A$1001,A545)=0,"⚠ emplacement inconnu","OK"))</f>
        <v/>
      </c>
      <c r="K545" s="22" t="str">
        <f aca="false">IF(AND(B545&lt;&gt;"",ISNUMBER(SEARCH(Recherche!$C$3,C545&amp;" "&amp;B545&amp;" "&amp;A545&amp;" "&amp;D545))),MAX($K$1:K544)+1,"")</f>
        <v/>
      </c>
    </row>
    <row r="546" customFormat="false" ht="15" hidden="false" customHeight="false" outlineLevel="0" collapsed="false">
      <c r="A546" s="12"/>
      <c r="B546" s="12"/>
      <c r="C546" s="17" t="str">
        <f aca="false">IF(B546="","",IFERROR(INDEX(Produits!$F$2:$F$1001,MATCH(B546,Produits!$A$2:$A$1001,0)),"⚠ code article inconnu"))</f>
        <v/>
      </c>
      <c r="D546" s="12"/>
      <c r="E546" s="23"/>
      <c r="F546" s="24"/>
      <c r="G546" s="23"/>
      <c r="H546" s="21" t="str">
        <f aca="true">IF(E546="","",ROUND((E546-TODAY())/30.4,1))</f>
        <v/>
      </c>
      <c r="I546" s="17" t="str">
        <f aca="false">IF(E546="","",IF(H546&lt;0,IF(LEFT(A546,1)="Q","Périmé (en quarantaine)","PÉRIMÉ → déplacer en zone Q"),IF(H546&lt;3,"Péremption &lt; 3 mois",IF(H546&lt;6,"Péremption &lt; 6 mois",""))))</f>
        <v/>
      </c>
      <c r="J546" s="17" t="str">
        <f aca="false">IF(A546="","",IF(COUNTIF(Emplacements!$A$2:$A$1001,A546)=0,"⚠ emplacement inconnu","OK"))</f>
        <v/>
      </c>
      <c r="K546" s="22" t="str">
        <f aca="false">IF(AND(B546&lt;&gt;"",ISNUMBER(SEARCH(Recherche!$C$3,C546&amp;" "&amp;B546&amp;" "&amp;A546&amp;" "&amp;D546))),MAX($K$1:K545)+1,"")</f>
        <v/>
      </c>
    </row>
    <row r="547" customFormat="false" ht="15" hidden="false" customHeight="false" outlineLevel="0" collapsed="false">
      <c r="A547" s="12"/>
      <c r="B547" s="12"/>
      <c r="C547" s="17" t="str">
        <f aca="false">IF(B547="","",IFERROR(INDEX(Produits!$F$2:$F$1001,MATCH(B547,Produits!$A$2:$A$1001,0)),"⚠ code article inconnu"))</f>
        <v/>
      </c>
      <c r="D547" s="12"/>
      <c r="E547" s="23"/>
      <c r="F547" s="24"/>
      <c r="G547" s="23"/>
      <c r="H547" s="21" t="str">
        <f aca="true">IF(E547="","",ROUND((E547-TODAY())/30.4,1))</f>
        <v/>
      </c>
      <c r="I547" s="17" t="str">
        <f aca="false">IF(E547="","",IF(H547&lt;0,IF(LEFT(A547,1)="Q","Périmé (en quarantaine)","PÉRIMÉ → déplacer en zone Q"),IF(H547&lt;3,"Péremption &lt; 3 mois",IF(H547&lt;6,"Péremption &lt; 6 mois",""))))</f>
        <v/>
      </c>
      <c r="J547" s="17" t="str">
        <f aca="false">IF(A547="","",IF(COUNTIF(Emplacements!$A$2:$A$1001,A547)=0,"⚠ emplacement inconnu","OK"))</f>
        <v/>
      </c>
      <c r="K547" s="22" t="str">
        <f aca="false">IF(AND(B547&lt;&gt;"",ISNUMBER(SEARCH(Recherche!$C$3,C547&amp;" "&amp;B547&amp;" "&amp;A547&amp;" "&amp;D547))),MAX($K$1:K546)+1,"")</f>
        <v/>
      </c>
    </row>
    <row r="548" customFormat="false" ht="15" hidden="false" customHeight="false" outlineLevel="0" collapsed="false">
      <c r="A548" s="12"/>
      <c r="B548" s="12"/>
      <c r="C548" s="17" t="str">
        <f aca="false">IF(B548="","",IFERROR(INDEX(Produits!$F$2:$F$1001,MATCH(B548,Produits!$A$2:$A$1001,0)),"⚠ code article inconnu"))</f>
        <v/>
      </c>
      <c r="D548" s="12"/>
      <c r="E548" s="23"/>
      <c r="F548" s="24"/>
      <c r="G548" s="23"/>
      <c r="H548" s="21" t="str">
        <f aca="true">IF(E548="","",ROUND((E548-TODAY())/30.4,1))</f>
        <v/>
      </c>
      <c r="I548" s="17" t="str">
        <f aca="false">IF(E548="","",IF(H548&lt;0,IF(LEFT(A548,1)="Q","Périmé (en quarantaine)","PÉRIMÉ → déplacer en zone Q"),IF(H548&lt;3,"Péremption &lt; 3 mois",IF(H548&lt;6,"Péremption &lt; 6 mois",""))))</f>
        <v/>
      </c>
      <c r="J548" s="17" t="str">
        <f aca="false">IF(A548="","",IF(COUNTIF(Emplacements!$A$2:$A$1001,A548)=0,"⚠ emplacement inconnu","OK"))</f>
        <v/>
      </c>
      <c r="K548" s="22" t="str">
        <f aca="false">IF(AND(B548&lt;&gt;"",ISNUMBER(SEARCH(Recherche!$C$3,C548&amp;" "&amp;B548&amp;" "&amp;A548&amp;" "&amp;D548))),MAX($K$1:K547)+1,"")</f>
        <v/>
      </c>
    </row>
    <row r="549" customFormat="false" ht="15" hidden="false" customHeight="false" outlineLevel="0" collapsed="false">
      <c r="A549" s="12"/>
      <c r="B549" s="12"/>
      <c r="C549" s="17" t="str">
        <f aca="false">IF(B549="","",IFERROR(INDEX(Produits!$F$2:$F$1001,MATCH(B549,Produits!$A$2:$A$1001,0)),"⚠ code article inconnu"))</f>
        <v/>
      </c>
      <c r="D549" s="12"/>
      <c r="E549" s="23"/>
      <c r="F549" s="24"/>
      <c r="G549" s="23"/>
      <c r="H549" s="21" t="str">
        <f aca="true">IF(E549="","",ROUND((E549-TODAY())/30.4,1))</f>
        <v/>
      </c>
      <c r="I549" s="17" t="str">
        <f aca="false">IF(E549="","",IF(H549&lt;0,IF(LEFT(A549,1)="Q","Périmé (en quarantaine)","PÉRIMÉ → déplacer en zone Q"),IF(H549&lt;3,"Péremption &lt; 3 mois",IF(H549&lt;6,"Péremption &lt; 6 mois",""))))</f>
        <v/>
      </c>
      <c r="J549" s="17" t="str">
        <f aca="false">IF(A549="","",IF(COUNTIF(Emplacements!$A$2:$A$1001,A549)=0,"⚠ emplacement inconnu","OK"))</f>
        <v/>
      </c>
      <c r="K549" s="22" t="str">
        <f aca="false">IF(AND(B549&lt;&gt;"",ISNUMBER(SEARCH(Recherche!$C$3,C549&amp;" "&amp;B549&amp;" "&amp;A549&amp;" "&amp;D549))),MAX($K$1:K548)+1,"")</f>
        <v/>
      </c>
    </row>
    <row r="550" customFormat="false" ht="15" hidden="false" customHeight="false" outlineLevel="0" collapsed="false">
      <c r="A550" s="12"/>
      <c r="B550" s="12"/>
      <c r="C550" s="17" t="str">
        <f aca="false">IF(B550="","",IFERROR(INDEX(Produits!$F$2:$F$1001,MATCH(B550,Produits!$A$2:$A$1001,0)),"⚠ code article inconnu"))</f>
        <v/>
      </c>
      <c r="D550" s="12"/>
      <c r="E550" s="23"/>
      <c r="F550" s="24"/>
      <c r="G550" s="23"/>
      <c r="H550" s="21" t="str">
        <f aca="true">IF(E550="","",ROUND((E550-TODAY())/30.4,1))</f>
        <v/>
      </c>
      <c r="I550" s="17" t="str">
        <f aca="false">IF(E550="","",IF(H550&lt;0,IF(LEFT(A550,1)="Q","Périmé (en quarantaine)","PÉRIMÉ → déplacer en zone Q"),IF(H550&lt;3,"Péremption &lt; 3 mois",IF(H550&lt;6,"Péremption &lt; 6 mois",""))))</f>
        <v/>
      </c>
      <c r="J550" s="17" t="str">
        <f aca="false">IF(A550="","",IF(COUNTIF(Emplacements!$A$2:$A$1001,A550)=0,"⚠ emplacement inconnu","OK"))</f>
        <v/>
      </c>
      <c r="K550" s="22" t="str">
        <f aca="false">IF(AND(B550&lt;&gt;"",ISNUMBER(SEARCH(Recherche!$C$3,C550&amp;" "&amp;B550&amp;" "&amp;A550&amp;" "&amp;D550))),MAX($K$1:K549)+1,"")</f>
        <v/>
      </c>
    </row>
    <row r="551" customFormat="false" ht="15" hidden="false" customHeight="false" outlineLevel="0" collapsed="false">
      <c r="A551" s="12"/>
      <c r="B551" s="12"/>
      <c r="C551" s="17" t="str">
        <f aca="false">IF(B551="","",IFERROR(INDEX(Produits!$F$2:$F$1001,MATCH(B551,Produits!$A$2:$A$1001,0)),"⚠ code article inconnu"))</f>
        <v/>
      </c>
      <c r="D551" s="12"/>
      <c r="E551" s="23"/>
      <c r="F551" s="24"/>
      <c r="G551" s="23"/>
      <c r="H551" s="21" t="str">
        <f aca="true">IF(E551="","",ROUND((E551-TODAY())/30.4,1))</f>
        <v/>
      </c>
      <c r="I551" s="17" t="str">
        <f aca="false">IF(E551="","",IF(H551&lt;0,IF(LEFT(A551,1)="Q","Périmé (en quarantaine)","PÉRIMÉ → déplacer en zone Q"),IF(H551&lt;3,"Péremption &lt; 3 mois",IF(H551&lt;6,"Péremption &lt; 6 mois",""))))</f>
        <v/>
      </c>
      <c r="J551" s="17" t="str">
        <f aca="false">IF(A551="","",IF(COUNTIF(Emplacements!$A$2:$A$1001,A551)=0,"⚠ emplacement inconnu","OK"))</f>
        <v/>
      </c>
      <c r="K551" s="22" t="str">
        <f aca="false">IF(AND(B551&lt;&gt;"",ISNUMBER(SEARCH(Recherche!$C$3,C551&amp;" "&amp;B551&amp;" "&amp;A551&amp;" "&amp;D551))),MAX($K$1:K550)+1,"")</f>
        <v/>
      </c>
    </row>
    <row r="552" customFormat="false" ht="15" hidden="false" customHeight="false" outlineLevel="0" collapsed="false">
      <c r="A552" s="12"/>
      <c r="B552" s="12"/>
      <c r="C552" s="17" t="str">
        <f aca="false">IF(B552="","",IFERROR(INDEX(Produits!$F$2:$F$1001,MATCH(B552,Produits!$A$2:$A$1001,0)),"⚠ code article inconnu"))</f>
        <v/>
      </c>
      <c r="D552" s="12"/>
      <c r="E552" s="23"/>
      <c r="F552" s="24"/>
      <c r="G552" s="23"/>
      <c r="H552" s="21" t="str">
        <f aca="true">IF(E552="","",ROUND((E552-TODAY())/30.4,1))</f>
        <v/>
      </c>
      <c r="I552" s="17" t="str">
        <f aca="false">IF(E552="","",IF(H552&lt;0,IF(LEFT(A552,1)="Q","Périmé (en quarantaine)","PÉRIMÉ → déplacer en zone Q"),IF(H552&lt;3,"Péremption &lt; 3 mois",IF(H552&lt;6,"Péremption &lt; 6 mois",""))))</f>
        <v/>
      </c>
      <c r="J552" s="17" t="str">
        <f aca="false">IF(A552="","",IF(COUNTIF(Emplacements!$A$2:$A$1001,A552)=0,"⚠ emplacement inconnu","OK"))</f>
        <v/>
      </c>
      <c r="K552" s="22" t="str">
        <f aca="false">IF(AND(B552&lt;&gt;"",ISNUMBER(SEARCH(Recherche!$C$3,C552&amp;" "&amp;B552&amp;" "&amp;A552&amp;" "&amp;D552))),MAX($K$1:K551)+1,"")</f>
        <v/>
      </c>
    </row>
    <row r="553" customFormat="false" ht="15" hidden="false" customHeight="false" outlineLevel="0" collapsed="false">
      <c r="A553" s="12"/>
      <c r="B553" s="12"/>
      <c r="C553" s="17" t="str">
        <f aca="false">IF(B553="","",IFERROR(INDEX(Produits!$F$2:$F$1001,MATCH(B553,Produits!$A$2:$A$1001,0)),"⚠ code article inconnu"))</f>
        <v/>
      </c>
      <c r="D553" s="12"/>
      <c r="E553" s="23"/>
      <c r="F553" s="24"/>
      <c r="G553" s="23"/>
      <c r="H553" s="21" t="str">
        <f aca="true">IF(E553="","",ROUND((E553-TODAY())/30.4,1))</f>
        <v/>
      </c>
      <c r="I553" s="17" t="str">
        <f aca="false">IF(E553="","",IF(H553&lt;0,IF(LEFT(A553,1)="Q","Périmé (en quarantaine)","PÉRIMÉ → déplacer en zone Q"),IF(H553&lt;3,"Péremption &lt; 3 mois",IF(H553&lt;6,"Péremption &lt; 6 mois",""))))</f>
        <v/>
      </c>
      <c r="J553" s="17" t="str">
        <f aca="false">IF(A553="","",IF(COUNTIF(Emplacements!$A$2:$A$1001,A553)=0,"⚠ emplacement inconnu","OK"))</f>
        <v/>
      </c>
      <c r="K553" s="22" t="str">
        <f aca="false">IF(AND(B553&lt;&gt;"",ISNUMBER(SEARCH(Recherche!$C$3,C553&amp;" "&amp;B553&amp;" "&amp;A553&amp;" "&amp;D553))),MAX($K$1:K552)+1,"")</f>
        <v/>
      </c>
    </row>
    <row r="554" customFormat="false" ht="15" hidden="false" customHeight="false" outlineLevel="0" collapsed="false">
      <c r="A554" s="12"/>
      <c r="B554" s="12"/>
      <c r="C554" s="17" t="str">
        <f aca="false">IF(B554="","",IFERROR(INDEX(Produits!$F$2:$F$1001,MATCH(B554,Produits!$A$2:$A$1001,0)),"⚠ code article inconnu"))</f>
        <v/>
      </c>
      <c r="D554" s="12"/>
      <c r="E554" s="23"/>
      <c r="F554" s="24"/>
      <c r="G554" s="23"/>
      <c r="H554" s="21" t="str">
        <f aca="true">IF(E554="","",ROUND((E554-TODAY())/30.4,1))</f>
        <v/>
      </c>
      <c r="I554" s="17" t="str">
        <f aca="false">IF(E554="","",IF(H554&lt;0,IF(LEFT(A554,1)="Q","Périmé (en quarantaine)","PÉRIMÉ → déplacer en zone Q"),IF(H554&lt;3,"Péremption &lt; 3 mois",IF(H554&lt;6,"Péremption &lt; 6 mois",""))))</f>
        <v/>
      </c>
      <c r="J554" s="17" t="str">
        <f aca="false">IF(A554="","",IF(COUNTIF(Emplacements!$A$2:$A$1001,A554)=0,"⚠ emplacement inconnu","OK"))</f>
        <v/>
      </c>
      <c r="K554" s="22" t="str">
        <f aca="false">IF(AND(B554&lt;&gt;"",ISNUMBER(SEARCH(Recherche!$C$3,C554&amp;" "&amp;B554&amp;" "&amp;A554&amp;" "&amp;D554))),MAX($K$1:K553)+1,"")</f>
        <v/>
      </c>
    </row>
    <row r="555" customFormat="false" ht="15" hidden="false" customHeight="false" outlineLevel="0" collapsed="false">
      <c r="A555" s="12"/>
      <c r="B555" s="12"/>
      <c r="C555" s="17" t="str">
        <f aca="false">IF(B555="","",IFERROR(INDEX(Produits!$F$2:$F$1001,MATCH(B555,Produits!$A$2:$A$1001,0)),"⚠ code article inconnu"))</f>
        <v/>
      </c>
      <c r="D555" s="12"/>
      <c r="E555" s="23"/>
      <c r="F555" s="24"/>
      <c r="G555" s="23"/>
      <c r="H555" s="21" t="str">
        <f aca="true">IF(E555="","",ROUND((E555-TODAY())/30.4,1))</f>
        <v/>
      </c>
      <c r="I555" s="17" t="str">
        <f aca="false">IF(E555="","",IF(H555&lt;0,IF(LEFT(A555,1)="Q","Périmé (en quarantaine)","PÉRIMÉ → déplacer en zone Q"),IF(H555&lt;3,"Péremption &lt; 3 mois",IF(H555&lt;6,"Péremption &lt; 6 mois",""))))</f>
        <v/>
      </c>
      <c r="J555" s="17" t="str">
        <f aca="false">IF(A555="","",IF(COUNTIF(Emplacements!$A$2:$A$1001,A555)=0,"⚠ emplacement inconnu","OK"))</f>
        <v/>
      </c>
      <c r="K555" s="22" t="str">
        <f aca="false">IF(AND(B555&lt;&gt;"",ISNUMBER(SEARCH(Recherche!$C$3,C555&amp;" "&amp;B555&amp;" "&amp;A555&amp;" "&amp;D555))),MAX($K$1:K554)+1,"")</f>
        <v/>
      </c>
    </row>
    <row r="556" customFormat="false" ht="15" hidden="false" customHeight="false" outlineLevel="0" collapsed="false">
      <c r="A556" s="12"/>
      <c r="B556" s="12"/>
      <c r="C556" s="17" t="str">
        <f aca="false">IF(B556="","",IFERROR(INDEX(Produits!$F$2:$F$1001,MATCH(B556,Produits!$A$2:$A$1001,0)),"⚠ code article inconnu"))</f>
        <v/>
      </c>
      <c r="D556" s="12"/>
      <c r="E556" s="23"/>
      <c r="F556" s="24"/>
      <c r="G556" s="23"/>
      <c r="H556" s="21" t="str">
        <f aca="true">IF(E556="","",ROUND((E556-TODAY())/30.4,1))</f>
        <v/>
      </c>
      <c r="I556" s="17" t="str">
        <f aca="false">IF(E556="","",IF(H556&lt;0,IF(LEFT(A556,1)="Q","Périmé (en quarantaine)","PÉRIMÉ → déplacer en zone Q"),IF(H556&lt;3,"Péremption &lt; 3 mois",IF(H556&lt;6,"Péremption &lt; 6 mois",""))))</f>
        <v/>
      </c>
      <c r="J556" s="17" t="str">
        <f aca="false">IF(A556="","",IF(COUNTIF(Emplacements!$A$2:$A$1001,A556)=0,"⚠ emplacement inconnu","OK"))</f>
        <v/>
      </c>
      <c r="K556" s="22" t="str">
        <f aca="false">IF(AND(B556&lt;&gt;"",ISNUMBER(SEARCH(Recherche!$C$3,C556&amp;" "&amp;B556&amp;" "&amp;A556&amp;" "&amp;D556))),MAX($K$1:K555)+1,"")</f>
        <v/>
      </c>
    </row>
    <row r="557" customFormat="false" ht="15" hidden="false" customHeight="false" outlineLevel="0" collapsed="false">
      <c r="A557" s="12"/>
      <c r="B557" s="12"/>
      <c r="C557" s="17" t="str">
        <f aca="false">IF(B557="","",IFERROR(INDEX(Produits!$F$2:$F$1001,MATCH(B557,Produits!$A$2:$A$1001,0)),"⚠ code article inconnu"))</f>
        <v/>
      </c>
      <c r="D557" s="12"/>
      <c r="E557" s="23"/>
      <c r="F557" s="24"/>
      <c r="G557" s="23"/>
      <c r="H557" s="21" t="str">
        <f aca="true">IF(E557="","",ROUND((E557-TODAY())/30.4,1))</f>
        <v/>
      </c>
      <c r="I557" s="17" t="str">
        <f aca="false">IF(E557="","",IF(H557&lt;0,IF(LEFT(A557,1)="Q","Périmé (en quarantaine)","PÉRIMÉ → déplacer en zone Q"),IF(H557&lt;3,"Péremption &lt; 3 mois",IF(H557&lt;6,"Péremption &lt; 6 mois",""))))</f>
        <v/>
      </c>
      <c r="J557" s="17" t="str">
        <f aca="false">IF(A557="","",IF(COUNTIF(Emplacements!$A$2:$A$1001,A557)=0,"⚠ emplacement inconnu","OK"))</f>
        <v/>
      </c>
      <c r="K557" s="22" t="str">
        <f aca="false">IF(AND(B557&lt;&gt;"",ISNUMBER(SEARCH(Recherche!$C$3,C557&amp;" "&amp;B557&amp;" "&amp;A557&amp;" "&amp;D557))),MAX($K$1:K556)+1,"")</f>
        <v/>
      </c>
    </row>
    <row r="558" customFormat="false" ht="15" hidden="false" customHeight="false" outlineLevel="0" collapsed="false">
      <c r="A558" s="12"/>
      <c r="B558" s="12"/>
      <c r="C558" s="17" t="str">
        <f aca="false">IF(B558="","",IFERROR(INDEX(Produits!$F$2:$F$1001,MATCH(B558,Produits!$A$2:$A$1001,0)),"⚠ code article inconnu"))</f>
        <v/>
      </c>
      <c r="D558" s="12"/>
      <c r="E558" s="23"/>
      <c r="F558" s="24"/>
      <c r="G558" s="23"/>
      <c r="H558" s="21" t="str">
        <f aca="true">IF(E558="","",ROUND((E558-TODAY())/30.4,1))</f>
        <v/>
      </c>
      <c r="I558" s="17" t="str">
        <f aca="false">IF(E558="","",IF(H558&lt;0,IF(LEFT(A558,1)="Q","Périmé (en quarantaine)","PÉRIMÉ → déplacer en zone Q"),IF(H558&lt;3,"Péremption &lt; 3 mois",IF(H558&lt;6,"Péremption &lt; 6 mois",""))))</f>
        <v/>
      </c>
      <c r="J558" s="17" t="str">
        <f aca="false">IF(A558="","",IF(COUNTIF(Emplacements!$A$2:$A$1001,A558)=0,"⚠ emplacement inconnu","OK"))</f>
        <v/>
      </c>
      <c r="K558" s="22" t="str">
        <f aca="false">IF(AND(B558&lt;&gt;"",ISNUMBER(SEARCH(Recherche!$C$3,C558&amp;" "&amp;B558&amp;" "&amp;A558&amp;" "&amp;D558))),MAX($K$1:K557)+1,"")</f>
        <v/>
      </c>
    </row>
    <row r="559" customFormat="false" ht="15" hidden="false" customHeight="false" outlineLevel="0" collapsed="false">
      <c r="A559" s="12"/>
      <c r="B559" s="12"/>
      <c r="C559" s="17" t="str">
        <f aca="false">IF(B559="","",IFERROR(INDEX(Produits!$F$2:$F$1001,MATCH(B559,Produits!$A$2:$A$1001,0)),"⚠ code article inconnu"))</f>
        <v/>
      </c>
      <c r="D559" s="12"/>
      <c r="E559" s="23"/>
      <c r="F559" s="24"/>
      <c r="G559" s="23"/>
      <c r="H559" s="21" t="str">
        <f aca="true">IF(E559="","",ROUND((E559-TODAY())/30.4,1))</f>
        <v/>
      </c>
      <c r="I559" s="17" t="str">
        <f aca="false">IF(E559="","",IF(H559&lt;0,IF(LEFT(A559,1)="Q","Périmé (en quarantaine)","PÉRIMÉ → déplacer en zone Q"),IF(H559&lt;3,"Péremption &lt; 3 mois",IF(H559&lt;6,"Péremption &lt; 6 mois",""))))</f>
        <v/>
      </c>
      <c r="J559" s="17" t="str">
        <f aca="false">IF(A559="","",IF(COUNTIF(Emplacements!$A$2:$A$1001,A559)=0,"⚠ emplacement inconnu","OK"))</f>
        <v/>
      </c>
      <c r="K559" s="22" t="str">
        <f aca="false">IF(AND(B559&lt;&gt;"",ISNUMBER(SEARCH(Recherche!$C$3,C559&amp;" "&amp;B559&amp;" "&amp;A559&amp;" "&amp;D559))),MAX($K$1:K558)+1,"")</f>
        <v/>
      </c>
    </row>
    <row r="560" customFormat="false" ht="15" hidden="false" customHeight="false" outlineLevel="0" collapsed="false">
      <c r="A560" s="12"/>
      <c r="B560" s="12"/>
      <c r="C560" s="17" t="str">
        <f aca="false">IF(B560="","",IFERROR(INDEX(Produits!$F$2:$F$1001,MATCH(B560,Produits!$A$2:$A$1001,0)),"⚠ code article inconnu"))</f>
        <v/>
      </c>
      <c r="D560" s="12"/>
      <c r="E560" s="23"/>
      <c r="F560" s="24"/>
      <c r="G560" s="23"/>
      <c r="H560" s="21" t="str">
        <f aca="true">IF(E560="","",ROUND((E560-TODAY())/30.4,1))</f>
        <v/>
      </c>
      <c r="I560" s="17" t="str">
        <f aca="false">IF(E560="","",IF(H560&lt;0,IF(LEFT(A560,1)="Q","Périmé (en quarantaine)","PÉRIMÉ → déplacer en zone Q"),IF(H560&lt;3,"Péremption &lt; 3 mois",IF(H560&lt;6,"Péremption &lt; 6 mois",""))))</f>
        <v/>
      </c>
      <c r="J560" s="17" t="str">
        <f aca="false">IF(A560="","",IF(COUNTIF(Emplacements!$A$2:$A$1001,A560)=0,"⚠ emplacement inconnu","OK"))</f>
        <v/>
      </c>
      <c r="K560" s="22" t="str">
        <f aca="false">IF(AND(B560&lt;&gt;"",ISNUMBER(SEARCH(Recherche!$C$3,C560&amp;" "&amp;B560&amp;" "&amp;A560&amp;" "&amp;D560))),MAX($K$1:K559)+1,"")</f>
        <v/>
      </c>
    </row>
    <row r="561" customFormat="false" ht="15" hidden="false" customHeight="false" outlineLevel="0" collapsed="false">
      <c r="A561" s="12"/>
      <c r="B561" s="12"/>
      <c r="C561" s="17" t="str">
        <f aca="false">IF(B561="","",IFERROR(INDEX(Produits!$F$2:$F$1001,MATCH(B561,Produits!$A$2:$A$1001,0)),"⚠ code article inconnu"))</f>
        <v/>
      </c>
      <c r="D561" s="12"/>
      <c r="E561" s="23"/>
      <c r="F561" s="24"/>
      <c r="G561" s="23"/>
      <c r="H561" s="21" t="str">
        <f aca="true">IF(E561="","",ROUND((E561-TODAY())/30.4,1))</f>
        <v/>
      </c>
      <c r="I561" s="17" t="str">
        <f aca="false">IF(E561="","",IF(H561&lt;0,IF(LEFT(A561,1)="Q","Périmé (en quarantaine)","PÉRIMÉ → déplacer en zone Q"),IF(H561&lt;3,"Péremption &lt; 3 mois",IF(H561&lt;6,"Péremption &lt; 6 mois",""))))</f>
        <v/>
      </c>
      <c r="J561" s="17" t="str">
        <f aca="false">IF(A561="","",IF(COUNTIF(Emplacements!$A$2:$A$1001,A561)=0,"⚠ emplacement inconnu","OK"))</f>
        <v/>
      </c>
      <c r="K561" s="22" t="str">
        <f aca="false">IF(AND(B561&lt;&gt;"",ISNUMBER(SEARCH(Recherche!$C$3,C561&amp;" "&amp;B561&amp;" "&amp;A561&amp;" "&amp;D561))),MAX($K$1:K560)+1,"")</f>
        <v/>
      </c>
    </row>
    <row r="562" customFormat="false" ht="15" hidden="false" customHeight="false" outlineLevel="0" collapsed="false">
      <c r="A562" s="12"/>
      <c r="B562" s="12"/>
      <c r="C562" s="17" t="str">
        <f aca="false">IF(B562="","",IFERROR(INDEX(Produits!$F$2:$F$1001,MATCH(B562,Produits!$A$2:$A$1001,0)),"⚠ code article inconnu"))</f>
        <v/>
      </c>
      <c r="D562" s="12"/>
      <c r="E562" s="23"/>
      <c r="F562" s="24"/>
      <c r="G562" s="23"/>
      <c r="H562" s="21" t="str">
        <f aca="true">IF(E562="","",ROUND((E562-TODAY())/30.4,1))</f>
        <v/>
      </c>
      <c r="I562" s="17" t="str">
        <f aca="false">IF(E562="","",IF(H562&lt;0,IF(LEFT(A562,1)="Q","Périmé (en quarantaine)","PÉRIMÉ → déplacer en zone Q"),IF(H562&lt;3,"Péremption &lt; 3 mois",IF(H562&lt;6,"Péremption &lt; 6 mois",""))))</f>
        <v/>
      </c>
      <c r="J562" s="17" t="str">
        <f aca="false">IF(A562="","",IF(COUNTIF(Emplacements!$A$2:$A$1001,A562)=0,"⚠ emplacement inconnu","OK"))</f>
        <v/>
      </c>
      <c r="K562" s="22" t="str">
        <f aca="false">IF(AND(B562&lt;&gt;"",ISNUMBER(SEARCH(Recherche!$C$3,C562&amp;" "&amp;B562&amp;" "&amp;A562&amp;" "&amp;D562))),MAX($K$1:K561)+1,"")</f>
        <v/>
      </c>
    </row>
    <row r="563" customFormat="false" ht="15" hidden="false" customHeight="false" outlineLevel="0" collapsed="false">
      <c r="A563" s="12"/>
      <c r="B563" s="12"/>
      <c r="C563" s="17" t="str">
        <f aca="false">IF(B563="","",IFERROR(INDEX(Produits!$F$2:$F$1001,MATCH(B563,Produits!$A$2:$A$1001,0)),"⚠ code article inconnu"))</f>
        <v/>
      </c>
      <c r="D563" s="12"/>
      <c r="E563" s="23"/>
      <c r="F563" s="24"/>
      <c r="G563" s="23"/>
      <c r="H563" s="21" t="str">
        <f aca="true">IF(E563="","",ROUND((E563-TODAY())/30.4,1))</f>
        <v/>
      </c>
      <c r="I563" s="17" t="str">
        <f aca="false">IF(E563="","",IF(H563&lt;0,IF(LEFT(A563,1)="Q","Périmé (en quarantaine)","PÉRIMÉ → déplacer en zone Q"),IF(H563&lt;3,"Péremption &lt; 3 mois",IF(H563&lt;6,"Péremption &lt; 6 mois",""))))</f>
        <v/>
      </c>
      <c r="J563" s="17" t="str">
        <f aca="false">IF(A563="","",IF(COUNTIF(Emplacements!$A$2:$A$1001,A563)=0,"⚠ emplacement inconnu","OK"))</f>
        <v/>
      </c>
      <c r="K563" s="22" t="str">
        <f aca="false">IF(AND(B563&lt;&gt;"",ISNUMBER(SEARCH(Recherche!$C$3,C563&amp;" "&amp;B563&amp;" "&amp;A563&amp;" "&amp;D563))),MAX($K$1:K562)+1,"")</f>
        <v/>
      </c>
    </row>
    <row r="564" customFormat="false" ht="15" hidden="false" customHeight="false" outlineLevel="0" collapsed="false">
      <c r="A564" s="12"/>
      <c r="B564" s="12"/>
      <c r="C564" s="17" t="str">
        <f aca="false">IF(B564="","",IFERROR(INDEX(Produits!$F$2:$F$1001,MATCH(B564,Produits!$A$2:$A$1001,0)),"⚠ code article inconnu"))</f>
        <v/>
      </c>
      <c r="D564" s="12"/>
      <c r="E564" s="23"/>
      <c r="F564" s="24"/>
      <c r="G564" s="23"/>
      <c r="H564" s="21" t="str">
        <f aca="true">IF(E564="","",ROUND((E564-TODAY())/30.4,1))</f>
        <v/>
      </c>
      <c r="I564" s="17" t="str">
        <f aca="false">IF(E564="","",IF(H564&lt;0,IF(LEFT(A564,1)="Q","Périmé (en quarantaine)","PÉRIMÉ → déplacer en zone Q"),IF(H564&lt;3,"Péremption &lt; 3 mois",IF(H564&lt;6,"Péremption &lt; 6 mois",""))))</f>
        <v/>
      </c>
      <c r="J564" s="17" t="str">
        <f aca="false">IF(A564="","",IF(COUNTIF(Emplacements!$A$2:$A$1001,A564)=0,"⚠ emplacement inconnu","OK"))</f>
        <v/>
      </c>
      <c r="K564" s="22" t="str">
        <f aca="false">IF(AND(B564&lt;&gt;"",ISNUMBER(SEARCH(Recherche!$C$3,C564&amp;" "&amp;B564&amp;" "&amp;A564&amp;" "&amp;D564))),MAX($K$1:K563)+1,"")</f>
        <v/>
      </c>
    </row>
    <row r="565" customFormat="false" ht="15" hidden="false" customHeight="false" outlineLevel="0" collapsed="false">
      <c r="A565" s="12"/>
      <c r="B565" s="12"/>
      <c r="C565" s="17" t="str">
        <f aca="false">IF(B565="","",IFERROR(INDEX(Produits!$F$2:$F$1001,MATCH(B565,Produits!$A$2:$A$1001,0)),"⚠ code article inconnu"))</f>
        <v/>
      </c>
      <c r="D565" s="12"/>
      <c r="E565" s="23"/>
      <c r="F565" s="24"/>
      <c r="G565" s="23"/>
      <c r="H565" s="21" t="str">
        <f aca="true">IF(E565="","",ROUND((E565-TODAY())/30.4,1))</f>
        <v/>
      </c>
      <c r="I565" s="17" t="str">
        <f aca="false">IF(E565="","",IF(H565&lt;0,IF(LEFT(A565,1)="Q","Périmé (en quarantaine)","PÉRIMÉ → déplacer en zone Q"),IF(H565&lt;3,"Péremption &lt; 3 mois",IF(H565&lt;6,"Péremption &lt; 6 mois",""))))</f>
        <v/>
      </c>
      <c r="J565" s="17" t="str">
        <f aca="false">IF(A565="","",IF(COUNTIF(Emplacements!$A$2:$A$1001,A565)=0,"⚠ emplacement inconnu","OK"))</f>
        <v/>
      </c>
      <c r="K565" s="22" t="str">
        <f aca="false">IF(AND(B565&lt;&gt;"",ISNUMBER(SEARCH(Recherche!$C$3,C565&amp;" "&amp;B565&amp;" "&amp;A565&amp;" "&amp;D565))),MAX($K$1:K564)+1,"")</f>
        <v/>
      </c>
    </row>
    <row r="566" customFormat="false" ht="15" hidden="false" customHeight="false" outlineLevel="0" collapsed="false">
      <c r="A566" s="12"/>
      <c r="B566" s="12"/>
      <c r="C566" s="17" t="str">
        <f aca="false">IF(B566="","",IFERROR(INDEX(Produits!$F$2:$F$1001,MATCH(B566,Produits!$A$2:$A$1001,0)),"⚠ code article inconnu"))</f>
        <v/>
      </c>
      <c r="D566" s="12"/>
      <c r="E566" s="23"/>
      <c r="F566" s="24"/>
      <c r="G566" s="23"/>
      <c r="H566" s="21" t="str">
        <f aca="true">IF(E566="","",ROUND((E566-TODAY())/30.4,1))</f>
        <v/>
      </c>
      <c r="I566" s="17" t="str">
        <f aca="false">IF(E566="","",IF(H566&lt;0,IF(LEFT(A566,1)="Q","Périmé (en quarantaine)","PÉRIMÉ → déplacer en zone Q"),IF(H566&lt;3,"Péremption &lt; 3 mois",IF(H566&lt;6,"Péremption &lt; 6 mois",""))))</f>
        <v/>
      </c>
      <c r="J566" s="17" t="str">
        <f aca="false">IF(A566="","",IF(COUNTIF(Emplacements!$A$2:$A$1001,A566)=0,"⚠ emplacement inconnu","OK"))</f>
        <v/>
      </c>
      <c r="K566" s="22" t="str">
        <f aca="false">IF(AND(B566&lt;&gt;"",ISNUMBER(SEARCH(Recherche!$C$3,C566&amp;" "&amp;B566&amp;" "&amp;A566&amp;" "&amp;D566))),MAX($K$1:K565)+1,"")</f>
        <v/>
      </c>
    </row>
    <row r="567" customFormat="false" ht="15" hidden="false" customHeight="false" outlineLevel="0" collapsed="false">
      <c r="A567" s="12"/>
      <c r="B567" s="12"/>
      <c r="C567" s="17" t="str">
        <f aca="false">IF(B567="","",IFERROR(INDEX(Produits!$F$2:$F$1001,MATCH(B567,Produits!$A$2:$A$1001,0)),"⚠ code article inconnu"))</f>
        <v/>
      </c>
      <c r="D567" s="12"/>
      <c r="E567" s="23"/>
      <c r="F567" s="24"/>
      <c r="G567" s="23"/>
      <c r="H567" s="21" t="str">
        <f aca="true">IF(E567="","",ROUND((E567-TODAY())/30.4,1))</f>
        <v/>
      </c>
      <c r="I567" s="17" t="str">
        <f aca="false">IF(E567="","",IF(H567&lt;0,IF(LEFT(A567,1)="Q","Périmé (en quarantaine)","PÉRIMÉ → déplacer en zone Q"),IF(H567&lt;3,"Péremption &lt; 3 mois",IF(H567&lt;6,"Péremption &lt; 6 mois",""))))</f>
        <v/>
      </c>
      <c r="J567" s="17" t="str">
        <f aca="false">IF(A567="","",IF(COUNTIF(Emplacements!$A$2:$A$1001,A567)=0,"⚠ emplacement inconnu","OK"))</f>
        <v/>
      </c>
      <c r="K567" s="22" t="str">
        <f aca="false">IF(AND(B567&lt;&gt;"",ISNUMBER(SEARCH(Recherche!$C$3,C567&amp;" "&amp;B567&amp;" "&amp;A567&amp;" "&amp;D567))),MAX($K$1:K566)+1,"")</f>
        <v/>
      </c>
    </row>
    <row r="568" customFormat="false" ht="15" hidden="false" customHeight="false" outlineLevel="0" collapsed="false">
      <c r="A568" s="12"/>
      <c r="B568" s="12"/>
      <c r="C568" s="17" t="str">
        <f aca="false">IF(B568="","",IFERROR(INDEX(Produits!$F$2:$F$1001,MATCH(B568,Produits!$A$2:$A$1001,0)),"⚠ code article inconnu"))</f>
        <v/>
      </c>
      <c r="D568" s="12"/>
      <c r="E568" s="23"/>
      <c r="F568" s="24"/>
      <c r="G568" s="23"/>
      <c r="H568" s="21" t="str">
        <f aca="true">IF(E568="","",ROUND((E568-TODAY())/30.4,1))</f>
        <v/>
      </c>
      <c r="I568" s="17" t="str">
        <f aca="false">IF(E568="","",IF(H568&lt;0,IF(LEFT(A568,1)="Q","Périmé (en quarantaine)","PÉRIMÉ → déplacer en zone Q"),IF(H568&lt;3,"Péremption &lt; 3 mois",IF(H568&lt;6,"Péremption &lt; 6 mois",""))))</f>
        <v/>
      </c>
      <c r="J568" s="17" t="str">
        <f aca="false">IF(A568="","",IF(COUNTIF(Emplacements!$A$2:$A$1001,A568)=0,"⚠ emplacement inconnu","OK"))</f>
        <v/>
      </c>
      <c r="K568" s="22" t="str">
        <f aca="false">IF(AND(B568&lt;&gt;"",ISNUMBER(SEARCH(Recherche!$C$3,C568&amp;" "&amp;B568&amp;" "&amp;A568&amp;" "&amp;D568))),MAX($K$1:K567)+1,"")</f>
        <v/>
      </c>
    </row>
    <row r="569" customFormat="false" ht="15" hidden="false" customHeight="false" outlineLevel="0" collapsed="false">
      <c r="A569" s="12"/>
      <c r="B569" s="12"/>
      <c r="C569" s="17" t="str">
        <f aca="false">IF(B569="","",IFERROR(INDEX(Produits!$F$2:$F$1001,MATCH(B569,Produits!$A$2:$A$1001,0)),"⚠ code article inconnu"))</f>
        <v/>
      </c>
      <c r="D569" s="12"/>
      <c r="E569" s="23"/>
      <c r="F569" s="24"/>
      <c r="G569" s="23"/>
      <c r="H569" s="21" t="str">
        <f aca="true">IF(E569="","",ROUND((E569-TODAY())/30.4,1))</f>
        <v/>
      </c>
      <c r="I569" s="17" t="str">
        <f aca="false">IF(E569="","",IF(H569&lt;0,IF(LEFT(A569,1)="Q","Périmé (en quarantaine)","PÉRIMÉ → déplacer en zone Q"),IF(H569&lt;3,"Péremption &lt; 3 mois",IF(H569&lt;6,"Péremption &lt; 6 mois",""))))</f>
        <v/>
      </c>
      <c r="J569" s="17" t="str">
        <f aca="false">IF(A569="","",IF(COUNTIF(Emplacements!$A$2:$A$1001,A569)=0,"⚠ emplacement inconnu","OK"))</f>
        <v/>
      </c>
      <c r="K569" s="22" t="str">
        <f aca="false">IF(AND(B569&lt;&gt;"",ISNUMBER(SEARCH(Recherche!$C$3,C569&amp;" "&amp;B569&amp;" "&amp;A569&amp;" "&amp;D569))),MAX($K$1:K568)+1,"")</f>
        <v/>
      </c>
    </row>
    <row r="570" customFormat="false" ht="15" hidden="false" customHeight="false" outlineLevel="0" collapsed="false">
      <c r="A570" s="12"/>
      <c r="B570" s="12"/>
      <c r="C570" s="17" t="str">
        <f aca="false">IF(B570="","",IFERROR(INDEX(Produits!$F$2:$F$1001,MATCH(B570,Produits!$A$2:$A$1001,0)),"⚠ code article inconnu"))</f>
        <v/>
      </c>
      <c r="D570" s="12"/>
      <c r="E570" s="23"/>
      <c r="F570" s="24"/>
      <c r="G570" s="23"/>
      <c r="H570" s="21" t="str">
        <f aca="true">IF(E570="","",ROUND((E570-TODAY())/30.4,1))</f>
        <v/>
      </c>
      <c r="I570" s="17" t="str">
        <f aca="false">IF(E570="","",IF(H570&lt;0,IF(LEFT(A570,1)="Q","Périmé (en quarantaine)","PÉRIMÉ → déplacer en zone Q"),IF(H570&lt;3,"Péremption &lt; 3 mois",IF(H570&lt;6,"Péremption &lt; 6 mois",""))))</f>
        <v/>
      </c>
      <c r="J570" s="17" t="str">
        <f aca="false">IF(A570="","",IF(COUNTIF(Emplacements!$A$2:$A$1001,A570)=0,"⚠ emplacement inconnu","OK"))</f>
        <v/>
      </c>
      <c r="K570" s="22" t="str">
        <f aca="false">IF(AND(B570&lt;&gt;"",ISNUMBER(SEARCH(Recherche!$C$3,C570&amp;" "&amp;B570&amp;" "&amp;A570&amp;" "&amp;D570))),MAX($K$1:K569)+1,"")</f>
        <v/>
      </c>
    </row>
    <row r="571" customFormat="false" ht="15" hidden="false" customHeight="false" outlineLevel="0" collapsed="false">
      <c r="A571" s="12"/>
      <c r="B571" s="12"/>
      <c r="C571" s="17" t="str">
        <f aca="false">IF(B571="","",IFERROR(INDEX(Produits!$F$2:$F$1001,MATCH(B571,Produits!$A$2:$A$1001,0)),"⚠ code article inconnu"))</f>
        <v/>
      </c>
      <c r="D571" s="12"/>
      <c r="E571" s="23"/>
      <c r="F571" s="24"/>
      <c r="G571" s="23"/>
      <c r="H571" s="21" t="str">
        <f aca="true">IF(E571="","",ROUND((E571-TODAY())/30.4,1))</f>
        <v/>
      </c>
      <c r="I571" s="17" t="str">
        <f aca="false">IF(E571="","",IF(H571&lt;0,IF(LEFT(A571,1)="Q","Périmé (en quarantaine)","PÉRIMÉ → déplacer en zone Q"),IF(H571&lt;3,"Péremption &lt; 3 mois",IF(H571&lt;6,"Péremption &lt; 6 mois",""))))</f>
        <v/>
      </c>
      <c r="J571" s="17" t="str">
        <f aca="false">IF(A571="","",IF(COUNTIF(Emplacements!$A$2:$A$1001,A571)=0,"⚠ emplacement inconnu","OK"))</f>
        <v/>
      </c>
      <c r="K571" s="22" t="str">
        <f aca="false">IF(AND(B571&lt;&gt;"",ISNUMBER(SEARCH(Recherche!$C$3,C571&amp;" "&amp;B571&amp;" "&amp;A571&amp;" "&amp;D571))),MAX($K$1:K570)+1,"")</f>
        <v/>
      </c>
    </row>
    <row r="572" customFormat="false" ht="15" hidden="false" customHeight="false" outlineLevel="0" collapsed="false">
      <c r="A572" s="12"/>
      <c r="B572" s="12"/>
      <c r="C572" s="17" t="str">
        <f aca="false">IF(B572="","",IFERROR(INDEX(Produits!$F$2:$F$1001,MATCH(B572,Produits!$A$2:$A$1001,0)),"⚠ code article inconnu"))</f>
        <v/>
      </c>
      <c r="D572" s="12"/>
      <c r="E572" s="23"/>
      <c r="F572" s="24"/>
      <c r="G572" s="23"/>
      <c r="H572" s="21" t="str">
        <f aca="true">IF(E572="","",ROUND((E572-TODAY())/30.4,1))</f>
        <v/>
      </c>
      <c r="I572" s="17" t="str">
        <f aca="false">IF(E572="","",IF(H572&lt;0,IF(LEFT(A572,1)="Q","Périmé (en quarantaine)","PÉRIMÉ → déplacer en zone Q"),IF(H572&lt;3,"Péremption &lt; 3 mois",IF(H572&lt;6,"Péremption &lt; 6 mois",""))))</f>
        <v/>
      </c>
      <c r="J572" s="17" t="str">
        <f aca="false">IF(A572="","",IF(COUNTIF(Emplacements!$A$2:$A$1001,A572)=0,"⚠ emplacement inconnu","OK"))</f>
        <v/>
      </c>
      <c r="K572" s="22" t="str">
        <f aca="false">IF(AND(B572&lt;&gt;"",ISNUMBER(SEARCH(Recherche!$C$3,C572&amp;" "&amp;B572&amp;" "&amp;A572&amp;" "&amp;D572))),MAX($K$1:K571)+1,"")</f>
        <v/>
      </c>
    </row>
    <row r="573" customFormat="false" ht="15" hidden="false" customHeight="false" outlineLevel="0" collapsed="false">
      <c r="A573" s="12"/>
      <c r="B573" s="12"/>
      <c r="C573" s="17" t="str">
        <f aca="false">IF(B573="","",IFERROR(INDEX(Produits!$F$2:$F$1001,MATCH(B573,Produits!$A$2:$A$1001,0)),"⚠ code article inconnu"))</f>
        <v/>
      </c>
      <c r="D573" s="12"/>
      <c r="E573" s="23"/>
      <c r="F573" s="24"/>
      <c r="G573" s="23"/>
      <c r="H573" s="21" t="str">
        <f aca="true">IF(E573="","",ROUND((E573-TODAY())/30.4,1))</f>
        <v/>
      </c>
      <c r="I573" s="17" t="str">
        <f aca="false">IF(E573="","",IF(H573&lt;0,IF(LEFT(A573,1)="Q","Périmé (en quarantaine)","PÉRIMÉ → déplacer en zone Q"),IF(H573&lt;3,"Péremption &lt; 3 mois",IF(H573&lt;6,"Péremption &lt; 6 mois",""))))</f>
        <v/>
      </c>
      <c r="J573" s="17" t="str">
        <f aca="false">IF(A573="","",IF(COUNTIF(Emplacements!$A$2:$A$1001,A573)=0,"⚠ emplacement inconnu","OK"))</f>
        <v/>
      </c>
      <c r="K573" s="22" t="str">
        <f aca="false">IF(AND(B573&lt;&gt;"",ISNUMBER(SEARCH(Recherche!$C$3,C573&amp;" "&amp;B573&amp;" "&amp;A573&amp;" "&amp;D573))),MAX($K$1:K572)+1,"")</f>
        <v/>
      </c>
    </row>
    <row r="574" customFormat="false" ht="15" hidden="false" customHeight="false" outlineLevel="0" collapsed="false">
      <c r="A574" s="12"/>
      <c r="B574" s="12"/>
      <c r="C574" s="17" t="str">
        <f aca="false">IF(B574="","",IFERROR(INDEX(Produits!$F$2:$F$1001,MATCH(B574,Produits!$A$2:$A$1001,0)),"⚠ code article inconnu"))</f>
        <v/>
      </c>
      <c r="D574" s="12"/>
      <c r="E574" s="23"/>
      <c r="F574" s="24"/>
      <c r="G574" s="23"/>
      <c r="H574" s="21" t="str">
        <f aca="true">IF(E574="","",ROUND((E574-TODAY())/30.4,1))</f>
        <v/>
      </c>
      <c r="I574" s="17" t="str">
        <f aca="false">IF(E574="","",IF(H574&lt;0,IF(LEFT(A574,1)="Q","Périmé (en quarantaine)","PÉRIMÉ → déplacer en zone Q"),IF(H574&lt;3,"Péremption &lt; 3 mois",IF(H574&lt;6,"Péremption &lt; 6 mois",""))))</f>
        <v/>
      </c>
      <c r="J574" s="17" t="str">
        <f aca="false">IF(A574="","",IF(COUNTIF(Emplacements!$A$2:$A$1001,A574)=0,"⚠ emplacement inconnu","OK"))</f>
        <v/>
      </c>
      <c r="K574" s="22" t="str">
        <f aca="false">IF(AND(B574&lt;&gt;"",ISNUMBER(SEARCH(Recherche!$C$3,C574&amp;" "&amp;B574&amp;" "&amp;A574&amp;" "&amp;D574))),MAX($K$1:K573)+1,"")</f>
        <v/>
      </c>
    </row>
    <row r="575" customFormat="false" ht="15" hidden="false" customHeight="false" outlineLevel="0" collapsed="false">
      <c r="A575" s="12"/>
      <c r="B575" s="12"/>
      <c r="C575" s="17" t="str">
        <f aca="false">IF(B575="","",IFERROR(INDEX(Produits!$F$2:$F$1001,MATCH(B575,Produits!$A$2:$A$1001,0)),"⚠ code article inconnu"))</f>
        <v/>
      </c>
      <c r="D575" s="12"/>
      <c r="E575" s="23"/>
      <c r="F575" s="24"/>
      <c r="G575" s="23"/>
      <c r="H575" s="21" t="str">
        <f aca="true">IF(E575="","",ROUND((E575-TODAY())/30.4,1))</f>
        <v/>
      </c>
      <c r="I575" s="17" t="str">
        <f aca="false">IF(E575="","",IF(H575&lt;0,IF(LEFT(A575,1)="Q","Périmé (en quarantaine)","PÉRIMÉ → déplacer en zone Q"),IF(H575&lt;3,"Péremption &lt; 3 mois",IF(H575&lt;6,"Péremption &lt; 6 mois",""))))</f>
        <v/>
      </c>
      <c r="J575" s="17" t="str">
        <f aca="false">IF(A575="","",IF(COUNTIF(Emplacements!$A$2:$A$1001,A575)=0,"⚠ emplacement inconnu","OK"))</f>
        <v/>
      </c>
      <c r="K575" s="22" t="str">
        <f aca="false">IF(AND(B575&lt;&gt;"",ISNUMBER(SEARCH(Recherche!$C$3,C575&amp;" "&amp;B575&amp;" "&amp;A575&amp;" "&amp;D575))),MAX($K$1:K574)+1,"")</f>
        <v/>
      </c>
    </row>
    <row r="576" customFormat="false" ht="15" hidden="false" customHeight="false" outlineLevel="0" collapsed="false">
      <c r="A576" s="12"/>
      <c r="B576" s="12"/>
      <c r="C576" s="17" t="str">
        <f aca="false">IF(B576="","",IFERROR(INDEX(Produits!$F$2:$F$1001,MATCH(B576,Produits!$A$2:$A$1001,0)),"⚠ code article inconnu"))</f>
        <v/>
      </c>
      <c r="D576" s="12"/>
      <c r="E576" s="23"/>
      <c r="F576" s="24"/>
      <c r="G576" s="23"/>
      <c r="H576" s="21" t="str">
        <f aca="true">IF(E576="","",ROUND((E576-TODAY())/30.4,1))</f>
        <v/>
      </c>
      <c r="I576" s="17" t="str">
        <f aca="false">IF(E576="","",IF(H576&lt;0,IF(LEFT(A576,1)="Q","Périmé (en quarantaine)","PÉRIMÉ → déplacer en zone Q"),IF(H576&lt;3,"Péremption &lt; 3 mois",IF(H576&lt;6,"Péremption &lt; 6 mois",""))))</f>
        <v/>
      </c>
      <c r="J576" s="17" t="str">
        <f aca="false">IF(A576="","",IF(COUNTIF(Emplacements!$A$2:$A$1001,A576)=0,"⚠ emplacement inconnu","OK"))</f>
        <v/>
      </c>
      <c r="K576" s="22" t="str">
        <f aca="false">IF(AND(B576&lt;&gt;"",ISNUMBER(SEARCH(Recherche!$C$3,C576&amp;" "&amp;B576&amp;" "&amp;A576&amp;" "&amp;D576))),MAX($K$1:K575)+1,"")</f>
        <v/>
      </c>
    </row>
    <row r="577" customFormat="false" ht="15" hidden="false" customHeight="false" outlineLevel="0" collapsed="false">
      <c r="A577" s="12"/>
      <c r="B577" s="12"/>
      <c r="C577" s="17" t="str">
        <f aca="false">IF(B577="","",IFERROR(INDEX(Produits!$F$2:$F$1001,MATCH(B577,Produits!$A$2:$A$1001,0)),"⚠ code article inconnu"))</f>
        <v/>
      </c>
      <c r="D577" s="12"/>
      <c r="E577" s="23"/>
      <c r="F577" s="24"/>
      <c r="G577" s="23"/>
      <c r="H577" s="21" t="str">
        <f aca="true">IF(E577="","",ROUND((E577-TODAY())/30.4,1))</f>
        <v/>
      </c>
      <c r="I577" s="17" t="str">
        <f aca="false">IF(E577="","",IF(H577&lt;0,IF(LEFT(A577,1)="Q","Périmé (en quarantaine)","PÉRIMÉ → déplacer en zone Q"),IF(H577&lt;3,"Péremption &lt; 3 mois",IF(H577&lt;6,"Péremption &lt; 6 mois",""))))</f>
        <v/>
      </c>
      <c r="J577" s="17" t="str">
        <f aca="false">IF(A577="","",IF(COUNTIF(Emplacements!$A$2:$A$1001,A577)=0,"⚠ emplacement inconnu","OK"))</f>
        <v/>
      </c>
      <c r="K577" s="22" t="str">
        <f aca="false">IF(AND(B577&lt;&gt;"",ISNUMBER(SEARCH(Recherche!$C$3,C577&amp;" "&amp;B577&amp;" "&amp;A577&amp;" "&amp;D577))),MAX($K$1:K576)+1,"")</f>
        <v/>
      </c>
    </row>
    <row r="578" customFormat="false" ht="15" hidden="false" customHeight="false" outlineLevel="0" collapsed="false">
      <c r="A578" s="12"/>
      <c r="B578" s="12"/>
      <c r="C578" s="17" t="str">
        <f aca="false">IF(B578="","",IFERROR(INDEX(Produits!$F$2:$F$1001,MATCH(B578,Produits!$A$2:$A$1001,0)),"⚠ code article inconnu"))</f>
        <v/>
      </c>
      <c r="D578" s="12"/>
      <c r="E578" s="23"/>
      <c r="F578" s="24"/>
      <c r="G578" s="23"/>
      <c r="H578" s="21" t="str">
        <f aca="true">IF(E578="","",ROUND((E578-TODAY())/30.4,1))</f>
        <v/>
      </c>
      <c r="I578" s="17" t="str">
        <f aca="false">IF(E578="","",IF(H578&lt;0,IF(LEFT(A578,1)="Q","Périmé (en quarantaine)","PÉRIMÉ → déplacer en zone Q"),IF(H578&lt;3,"Péremption &lt; 3 mois",IF(H578&lt;6,"Péremption &lt; 6 mois",""))))</f>
        <v/>
      </c>
      <c r="J578" s="17" t="str">
        <f aca="false">IF(A578="","",IF(COUNTIF(Emplacements!$A$2:$A$1001,A578)=0,"⚠ emplacement inconnu","OK"))</f>
        <v/>
      </c>
      <c r="K578" s="22" t="str">
        <f aca="false">IF(AND(B578&lt;&gt;"",ISNUMBER(SEARCH(Recherche!$C$3,C578&amp;" "&amp;B578&amp;" "&amp;A578&amp;" "&amp;D578))),MAX($K$1:K577)+1,"")</f>
        <v/>
      </c>
    </row>
    <row r="579" customFormat="false" ht="15" hidden="false" customHeight="false" outlineLevel="0" collapsed="false">
      <c r="A579" s="12"/>
      <c r="B579" s="12"/>
      <c r="C579" s="17" t="str">
        <f aca="false">IF(B579="","",IFERROR(INDEX(Produits!$F$2:$F$1001,MATCH(B579,Produits!$A$2:$A$1001,0)),"⚠ code article inconnu"))</f>
        <v/>
      </c>
      <c r="D579" s="12"/>
      <c r="E579" s="23"/>
      <c r="F579" s="24"/>
      <c r="G579" s="23"/>
      <c r="H579" s="21" t="str">
        <f aca="true">IF(E579="","",ROUND((E579-TODAY())/30.4,1))</f>
        <v/>
      </c>
      <c r="I579" s="17" t="str">
        <f aca="false">IF(E579="","",IF(H579&lt;0,IF(LEFT(A579,1)="Q","Périmé (en quarantaine)","PÉRIMÉ → déplacer en zone Q"),IF(H579&lt;3,"Péremption &lt; 3 mois",IF(H579&lt;6,"Péremption &lt; 6 mois",""))))</f>
        <v/>
      </c>
      <c r="J579" s="17" t="str">
        <f aca="false">IF(A579="","",IF(COUNTIF(Emplacements!$A$2:$A$1001,A579)=0,"⚠ emplacement inconnu","OK"))</f>
        <v/>
      </c>
      <c r="K579" s="22" t="str">
        <f aca="false">IF(AND(B579&lt;&gt;"",ISNUMBER(SEARCH(Recherche!$C$3,C579&amp;" "&amp;B579&amp;" "&amp;A579&amp;" "&amp;D579))),MAX($K$1:K578)+1,"")</f>
        <v/>
      </c>
    </row>
    <row r="580" customFormat="false" ht="15" hidden="false" customHeight="false" outlineLevel="0" collapsed="false">
      <c r="A580" s="12"/>
      <c r="B580" s="12"/>
      <c r="C580" s="17" t="str">
        <f aca="false">IF(B580="","",IFERROR(INDEX(Produits!$F$2:$F$1001,MATCH(B580,Produits!$A$2:$A$1001,0)),"⚠ code article inconnu"))</f>
        <v/>
      </c>
      <c r="D580" s="12"/>
      <c r="E580" s="23"/>
      <c r="F580" s="24"/>
      <c r="G580" s="23"/>
      <c r="H580" s="21" t="str">
        <f aca="true">IF(E580="","",ROUND((E580-TODAY())/30.4,1))</f>
        <v/>
      </c>
      <c r="I580" s="17" t="str">
        <f aca="false">IF(E580="","",IF(H580&lt;0,IF(LEFT(A580,1)="Q","Périmé (en quarantaine)","PÉRIMÉ → déplacer en zone Q"),IF(H580&lt;3,"Péremption &lt; 3 mois",IF(H580&lt;6,"Péremption &lt; 6 mois",""))))</f>
        <v/>
      </c>
      <c r="J580" s="17" t="str">
        <f aca="false">IF(A580="","",IF(COUNTIF(Emplacements!$A$2:$A$1001,A580)=0,"⚠ emplacement inconnu","OK"))</f>
        <v/>
      </c>
      <c r="K580" s="22" t="str">
        <f aca="false">IF(AND(B580&lt;&gt;"",ISNUMBER(SEARCH(Recherche!$C$3,C580&amp;" "&amp;B580&amp;" "&amp;A580&amp;" "&amp;D580))),MAX($K$1:K579)+1,"")</f>
        <v/>
      </c>
    </row>
    <row r="581" customFormat="false" ht="15" hidden="false" customHeight="false" outlineLevel="0" collapsed="false">
      <c r="A581" s="12"/>
      <c r="B581" s="12"/>
      <c r="C581" s="17" t="str">
        <f aca="false">IF(B581="","",IFERROR(INDEX(Produits!$F$2:$F$1001,MATCH(B581,Produits!$A$2:$A$1001,0)),"⚠ code article inconnu"))</f>
        <v/>
      </c>
      <c r="D581" s="12"/>
      <c r="E581" s="23"/>
      <c r="F581" s="24"/>
      <c r="G581" s="23"/>
      <c r="H581" s="21" t="str">
        <f aca="true">IF(E581="","",ROUND((E581-TODAY())/30.4,1))</f>
        <v/>
      </c>
      <c r="I581" s="17" t="str">
        <f aca="false">IF(E581="","",IF(H581&lt;0,IF(LEFT(A581,1)="Q","Périmé (en quarantaine)","PÉRIMÉ → déplacer en zone Q"),IF(H581&lt;3,"Péremption &lt; 3 mois",IF(H581&lt;6,"Péremption &lt; 6 mois",""))))</f>
        <v/>
      </c>
      <c r="J581" s="17" t="str">
        <f aca="false">IF(A581="","",IF(COUNTIF(Emplacements!$A$2:$A$1001,A581)=0,"⚠ emplacement inconnu","OK"))</f>
        <v/>
      </c>
      <c r="K581" s="22" t="str">
        <f aca="false">IF(AND(B581&lt;&gt;"",ISNUMBER(SEARCH(Recherche!$C$3,C581&amp;" "&amp;B581&amp;" "&amp;A581&amp;" "&amp;D581))),MAX($K$1:K580)+1,"")</f>
        <v/>
      </c>
    </row>
    <row r="582" customFormat="false" ht="15" hidden="false" customHeight="false" outlineLevel="0" collapsed="false">
      <c r="A582" s="12"/>
      <c r="B582" s="12"/>
      <c r="C582" s="17" t="str">
        <f aca="false">IF(B582="","",IFERROR(INDEX(Produits!$F$2:$F$1001,MATCH(B582,Produits!$A$2:$A$1001,0)),"⚠ code article inconnu"))</f>
        <v/>
      </c>
      <c r="D582" s="12"/>
      <c r="E582" s="23"/>
      <c r="F582" s="24"/>
      <c r="G582" s="23"/>
      <c r="H582" s="21" t="str">
        <f aca="true">IF(E582="","",ROUND((E582-TODAY())/30.4,1))</f>
        <v/>
      </c>
      <c r="I582" s="17" t="str">
        <f aca="false">IF(E582="","",IF(H582&lt;0,IF(LEFT(A582,1)="Q","Périmé (en quarantaine)","PÉRIMÉ → déplacer en zone Q"),IF(H582&lt;3,"Péremption &lt; 3 mois",IF(H582&lt;6,"Péremption &lt; 6 mois",""))))</f>
        <v/>
      </c>
      <c r="J582" s="17" t="str">
        <f aca="false">IF(A582="","",IF(COUNTIF(Emplacements!$A$2:$A$1001,A582)=0,"⚠ emplacement inconnu","OK"))</f>
        <v/>
      </c>
      <c r="K582" s="22" t="str">
        <f aca="false">IF(AND(B582&lt;&gt;"",ISNUMBER(SEARCH(Recherche!$C$3,C582&amp;" "&amp;B582&amp;" "&amp;A582&amp;" "&amp;D582))),MAX($K$1:K581)+1,"")</f>
        <v/>
      </c>
    </row>
    <row r="583" customFormat="false" ht="15" hidden="false" customHeight="false" outlineLevel="0" collapsed="false">
      <c r="A583" s="12"/>
      <c r="B583" s="12"/>
      <c r="C583" s="17" t="str">
        <f aca="false">IF(B583="","",IFERROR(INDEX(Produits!$F$2:$F$1001,MATCH(B583,Produits!$A$2:$A$1001,0)),"⚠ code article inconnu"))</f>
        <v/>
      </c>
      <c r="D583" s="12"/>
      <c r="E583" s="23"/>
      <c r="F583" s="24"/>
      <c r="G583" s="23"/>
      <c r="H583" s="21" t="str">
        <f aca="true">IF(E583="","",ROUND((E583-TODAY())/30.4,1))</f>
        <v/>
      </c>
      <c r="I583" s="17" t="str">
        <f aca="false">IF(E583="","",IF(H583&lt;0,IF(LEFT(A583,1)="Q","Périmé (en quarantaine)","PÉRIMÉ → déplacer en zone Q"),IF(H583&lt;3,"Péremption &lt; 3 mois",IF(H583&lt;6,"Péremption &lt; 6 mois",""))))</f>
        <v/>
      </c>
      <c r="J583" s="17" t="str">
        <f aca="false">IF(A583="","",IF(COUNTIF(Emplacements!$A$2:$A$1001,A583)=0,"⚠ emplacement inconnu","OK"))</f>
        <v/>
      </c>
      <c r="K583" s="22" t="str">
        <f aca="false">IF(AND(B583&lt;&gt;"",ISNUMBER(SEARCH(Recherche!$C$3,C583&amp;" "&amp;B583&amp;" "&amp;A583&amp;" "&amp;D583))),MAX($K$1:K582)+1,"")</f>
        <v/>
      </c>
    </row>
    <row r="584" customFormat="false" ht="15" hidden="false" customHeight="false" outlineLevel="0" collapsed="false">
      <c r="A584" s="12"/>
      <c r="B584" s="12"/>
      <c r="C584" s="17" t="str">
        <f aca="false">IF(B584="","",IFERROR(INDEX(Produits!$F$2:$F$1001,MATCH(B584,Produits!$A$2:$A$1001,0)),"⚠ code article inconnu"))</f>
        <v/>
      </c>
      <c r="D584" s="12"/>
      <c r="E584" s="23"/>
      <c r="F584" s="24"/>
      <c r="G584" s="23"/>
      <c r="H584" s="21" t="str">
        <f aca="true">IF(E584="","",ROUND((E584-TODAY())/30.4,1))</f>
        <v/>
      </c>
      <c r="I584" s="17" t="str">
        <f aca="false">IF(E584="","",IF(H584&lt;0,IF(LEFT(A584,1)="Q","Périmé (en quarantaine)","PÉRIMÉ → déplacer en zone Q"),IF(H584&lt;3,"Péremption &lt; 3 mois",IF(H584&lt;6,"Péremption &lt; 6 mois",""))))</f>
        <v/>
      </c>
      <c r="J584" s="17" t="str">
        <f aca="false">IF(A584="","",IF(COUNTIF(Emplacements!$A$2:$A$1001,A584)=0,"⚠ emplacement inconnu","OK"))</f>
        <v/>
      </c>
      <c r="K584" s="22" t="str">
        <f aca="false">IF(AND(B584&lt;&gt;"",ISNUMBER(SEARCH(Recherche!$C$3,C584&amp;" "&amp;B584&amp;" "&amp;A584&amp;" "&amp;D584))),MAX($K$1:K583)+1,"")</f>
        <v/>
      </c>
    </row>
    <row r="585" customFormat="false" ht="15" hidden="false" customHeight="false" outlineLevel="0" collapsed="false">
      <c r="A585" s="12"/>
      <c r="B585" s="12"/>
      <c r="C585" s="17" t="str">
        <f aca="false">IF(B585="","",IFERROR(INDEX(Produits!$F$2:$F$1001,MATCH(B585,Produits!$A$2:$A$1001,0)),"⚠ code article inconnu"))</f>
        <v/>
      </c>
      <c r="D585" s="12"/>
      <c r="E585" s="23"/>
      <c r="F585" s="24"/>
      <c r="G585" s="23"/>
      <c r="H585" s="21" t="str">
        <f aca="true">IF(E585="","",ROUND((E585-TODAY())/30.4,1))</f>
        <v/>
      </c>
      <c r="I585" s="17" t="str">
        <f aca="false">IF(E585="","",IF(H585&lt;0,IF(LEFT(A585,1)="Q","Périmé (en quarantaine)","PÉRIMÉ → déplacer en zone Q"),IF(H585&lt;3,"Péremption &lt; 3 mois",IF(H585&lt;6,"Péremption &lt; 6 mois",""))))</f>
        <v/>
      </c>
      <c r="J585" s="17" t="str">
        <f aca="false">IF(A585="","",IF(COUNTIF(Emplacements!$A$2:$A$1001,A585)=0,"⚠ emplacement inconnu","OK"))</f>
        <v/>
      </c>
      <c r="K585" s="22" t="str">
        <f aca="false">IF(AND(B585&lt;&gt;"",ISNUMBER(SEARCH(Recherche!$C$3,C585&amp;" "&amp;B585&amp;" "&amp;A585&amp;" "&amp;D585))),MAX($K$1:K584)+1,"")</f>
        <v/>
      </c>
    </row>
    <row r="586" customFormat="false" ht="15" hidden="false" customHeight="false" outlineLevel="0" collapsed="false">
      <c r="A586" s="12"/>
      <c r="B586" s="12"/>
      <c r="C586" s="17" t="str">
        <f aca="false">IF(B586="","",IFERROR(INDEX(Produits!$F$2:$F$1001,MATCH(B586,Produits!$A$2:$A$1001,0)),"⚠ code article inconnu"))</f>
        <v/>
      </c>
      <c r="D586" s="12"/>
      <c r="E586" s="23"/>
      <c r="F586" s="24"/>
      <c r="G586" s="23"/>
      <c r="H586" s="21" t="str">
        <f aca="true">IF(E586="","",ROUND((E586-TODAY())/30.4,1))</f>
        <v/>
      </c>
      <c r="I586" s="17" t="str">
        <f aca="false">IF(E586="","",IF(H586&lt;0,IF(LEFT(A586,1)="Q","Périmé (en quarantaine)","PÉRIMÉ → déplacer en zone Q"),IF(H586&lt;3,"Péremption &lt; 3 mois",IF(H586&lt;6,"Péremption &lt; 6 mois",""))))</f>
        <v/>
      </c>
      <c r="J586" s="17" t="str">
        <f aca="false">IF(A586="","",IF(COUNTIF(Emplacements!$A$2:$A$1001,A586)=0,"⚠ emplacement inconnu","OK"))</f>
        <v/>
      </c>
      <c r="K586" s="22" t="str">
        <f aca="false">IF(AND(B586&lt;&gt;"",ISNUMBER(SEARCH(Recherche!$C$3,C586&amp;" "&amp;B586&amp;" "&amp;A586&amp;" "&amp;D586))),MAX($K$1:K585)+1,"")</f>
        <v/>
      </c>
    </row>
    <row r="587" customFormat="false" ht="15" hidden="false" customHeight="false" outlineLevel="0" collapsed="false">
      <c r="A587" s="12"/>
      <c r="B587" s="12"/>
      <c r="C587" s="17" t="str">
        <f aca="false">IF(B587="","",IFERROR(INDEX(Produits!$F$2:$F$1001,MATCH(B587,Produits!$A$2:$A$1001,0)),"⚠ code article inconnu"))</f>
        <v/>
      </c>
      <c r="D587" s="12"/>
      <c r="E587" s="23"/>
      <c r="F587" s="24"/>
      <c r="G587" s="23"/>
      <c r="H587" s="21" t="str">
        <f aca="true">IF(E587="","",ROUND((E587-TODAY())/30.4,1))</f>
        <v/>
      </c>
      <c r="I587" s="17" t="str">
        <f aca="false">IF(E587="","",IF(H587&lt;0,IF(LEFT(A587,1)="Q","Périmé (en quarantaine)","PÉRIMÉ → déplacer en zone Q"),IF(H587&lt;3,"Péremption &lt; 3 mois",IF(H587&lt;6,"Péremption &lt; 6 mois",""))))</f>
        <v/>
      </c>
      <c r="J587" s="17" t="str">
        <f aca="false">IF(A587="","",IF(COUNTIF(Emplacements!$A$2:$A$1001,A587)=0,"⚠ emplacement inconnu","OK"))</f>
        <v/>
      </c>
      <c r="K587" s="22" t="str">
        <f aca="false">IF(AND(B587&lt;&gt;"",ISNUMBER(SEARCH(Recherche!$C$3,C587&amp;" "&amp;B587&amp;" "&amp;A587&amp;" "&amp;D587))),MAX($K$1:K586)+1,"")</f>
        <v/>
      </c>
    </row>
    <row r="588" customFormat="false" ht="15" hidden="false" customHeight="false" outlineLevel="0" collapsed="false">
      <c r="A588" s="12"/>
      <c r="B588" s="12"/>
      <c r="C588" s="17" t="str">
        <f aca="false">IF(B588="","",IFERROR(INDEX(Produits!$F$2:$F$1001,MATCH(B588,Produits!$A$2:$A$1001,0)),"⚠ code article inconnu"))</f>
        <v/>
      </c>
      <c r="D588" s="12"/>
      <c r="E588" s="23"/>
      <c r="F588" s="24"/>
      <c r="G588" s="23"/>
      <c r="H588" s="21" t="str">
        <f aca="true">IF(E588="","",ROUND((E588-TODAY())/30.4,1))</f>
        <v/>
      </c>
      <c r="I588" s="17" t="str">
        <f aca="false">IF(E588="","",IF(H588&lt;0,IF(LEFT(A588,1)="Q","Périmé (en quarantaine)","PÉRIMÉ → déplacer en zone Q"),IF(H588&lt;3,"Péremption &lt; 3 mois",IF(H588&lt;6,"Péremption &lt; 6 mois",""))))</f>
        <v/>
      </c>
      <c r="J588" s="17" t="str">
        <f aca="false">IF(A588="","",IF(COUNTIF(Emplacements!$A$2:$A$1001,A588)=0,"⚠ emplacement inconnu","OK"))</f>
        <v/>
      </c>
      <c r="K588" s="22" t="str">
        <f aca="false">IF(AND(B588&lt;&gt;"",ISNUMBER(SEARCH(Recherche!$C$3,C588&amp;" "&amp;B588&amp;" "&amp;A588&amp;" "&amp;D588))),MAX($K$1:K587)+1,"")</f>
        <v/>
      </c>
    </row>
    <row r="589" customFormat="false" ht="15" hidden="false" customHeight="false" outlineLevel="0" collapsed="false">
      <c r="A589" s="12"/>
      <c r="B589" s="12"/>
      <c r="C589" s="17" t="str">
        <f aca="false">IF(B589="","",IFERROR(INDEX(Produits!$F$2:$F$1001,MATCH(B589,Produits!$A$2:$A$1001,0)),"⚠ code article inconnu"))</f>
        <v/>
      </c>
      <c r="D589" s="12"/>
      <c r="E589" s="23"/>
      <c r="F589" s="24"/>
      <c r="G589" s="23"/>
      <c r="H589" s="21" t="str">
        <f aca="true">IF(E589="","",ROUND((E589-TODAY())/30.4,1))</f>
        <v/>
      </c>
      <c r="I589" s="17" t="str">
        <f aca="false">IF(E589="","",IF(H589&lt;0,IF(LEFT(A589,1)="Q","Périmé (en quarantaine)","PÉRIMÉ → déplacer en zone Q"),IF(H589&lt;3,"Péremption &lt; 3 mois",IF(H589&lt;6,"Péremption &lt; 6 mois",""))))</f>
        <v/>
      </c>
      <c r="J589" s="17" t="str">
        <f aca="false">IF(A589="","",IF(COUNTIF(Emplacements!$A$2:$A$1001,A589)=0,"⚠ emplacement inconnu","OK"))</f>
        <v/>
      </c>
      <c r="K589" s="22" t="str">
        <f aca="false">IF(AND(B589&lt;&gt;"",ISNUMBER(SEARCH(Recherche!$C$3,C589&amp;" "&amp;B589&amp;" "&amp;A589&amp;" "&amp;D589))),MAX($K$1:K588)+1,"")</f>
        <v/>
      </c>
    </row>
    <row r="590" customFormat="false" ht="15" hidden="false" customHeight="false" outlineLevel="0" collapsed="false">
      <c r="A590" s="12"/>
      <c r="B590" s="12"/>
      <c r="C590" s="17" t="str">
        <f aca="false">IF(B590="","",IFERROR(INDEX(Produits!$F$2:$F$1001,MATCH(B590,Produits!$A$2:$A$1001,0)),"⚠ code article inconnu"))</f>
        <v/>
      </c>
      <c r="D590" s="12"/>
      <c r="E590" s="23"/>
      <c r="F590" s="24"/>
      <c r="G590" s="23"/>
      <c r="H590" s="21" t="str">
        <f aca="true">IF(E590="","",ROUND((E590-TODAY())/30.4,1))</f>
        <v/>
      </c>
      <c r="I590" s="17" t="str">
        <f aca="false">IF(E590="","",IF(H590&lt;0,IF(LEFT(A590,1)="Q","Périmé (en quarantaine)","PÉRIMÉ → déplacer en zone Q"),IF(H590&lt;3,"Péremption &lt; 3 mois",IF(H590&lt;6,"Péremption &lt; 6 mois",""))))</f>
        <v/>
      </c>
      <c r="J590" s="17" t="str">
        <f aca="false">IF(A590="","",IF(COUNTIF(Emplacements!$A$2:$A$1001,A590)=0,"⚠ emplacement inconnu","OK"))</f>
        <v/>
      </c>
      <c r="K590" s="22" t="str">
        <f aca="false">IF(AND(B590&lt;&gt;"",ISNUMBER(SEARCH(Recherche!$C$3,C590&amp;" "&amp;B590&amp;" "&amp;A590&amp;" "&amp;D590))),MAX($K$1:K589)+1,"")</f>
        <v/>
      </c>
    </row>
    <row r="591" customFormat="false" ht="15" hidden="false" customHeight="false" outlineLevel="0" collapsed="false">
      <c r="A591" s="12"/>
      <c r="B591" s="12"/>
      <c r="C591" s="17" t="str">
        <f aca="false">IF(B591="","",IFERROR(INDEX(Produits!$F$2:$F$1001,MATCH(B591,Produits!$A$2:$A$1001,0)),"⚠ code article inconnu"))</f>
        <v/>
      </c>
      <c r="D591" s="12"/>
      <c r="E591" s="23"/>
      <c r="F591" s="24"/>
      <c r="G591" s="23"/>
      <c r="H591" s="21" t="str">
        <f aca="true">IF(E591="","",ROUND((E591-TODAY())/30.4,1))</f>
        <v/>
      </c>
      <c r="I591" s="17" t="str">
        <f aca="false">IF(E591="","",IF(H591&lt;0,IF(LEFT(A591,1)="Q","Périmé (en quarantaine)","PÉRIMÉ → déplacer en zone Q"),IF(H591&lt;3,"Péremption &lt; 3 mois",IF(H591&lt;6,"Péremption &lt; 6 mois",""))))</f>
        <v/>
      </c>
      <c r="J591" s="17" t="str">
        <f aca="false">IF(A591="","",IF(COUNTIF(Emplacements!$A$2:$A$1001,A591)=0,"⚠ emplacement inconnu","OK"))</f>
        <v/>
      </c>
      <c r="K591" s="22" t="str">
        <f aca="false">IF(AND(B591&lt;&gt;"",ISNUMBER(SEARCH(Recherche!$C$3,C591&amp;" "&amp;B591&amp;" "&amp;A591&amp;" "&amp;D591))),MAX($K$1:K590)+1,"")</f>
        <v/>
      </c>
    </row>
    <row r="592" customFormat="false" ht="15" hidden="false" customHeight="false" outlineLevel="0" collapsed="false">
      <c r="A592" s="12"/>
      <c r="B592" s="12"/>
      <c r="C592" s="17" t="str">
        <f aca="false">IF(B592="","",IFERROR(INDEX(Produits!$F$2:$F$1001,MATCH(B592,Produits!$A$2:$A$1001,0)),"⚠ code article inconnu"))</f>
        <v/>
      </c>
      <c r="D592" s="12"/>
      <c r="E592" s="23"/>
      <c r="F592" s="24"/>
      <c r="G592" s="23"/>
      <c r="H592" s="21" t="str">
        <f aca="true">IF(E592="","",ROUND((E592-TODAY())/30.4,1))</f>
        <v/>
      </c>
      <c r="I592" s="17" t="str">
        <f aca="false">IF(E592="","",IF(H592&lt;0,IF(LEFT(A592,1)="Q","Périmé (en quarantaine)","PÉRIMÉ → déplacer en zone Q"),IF(H592&lt;3,"Péremption &lt; 3 mois",IF(H592&lt;6,"Péremption &lt; 6 mois",""))))</f>
        <v/>
      </c>
      <c r="J592" s="17" t="str">
        <f aca="false">IF(A592="","",IF(COUNTIF(Emplacements!$A$2:$A$1001,A592)=0,"⚠ emplacement inconnu","OK"))</f>
        <v/>
      </c>
      <c r="K592" s="22" t="str">
        <f aca="false">IF(AND(B592&lt;&gt;"",ISNUMBER(SEARCH(Recherche!$C$3,C592&amp;" "&amp;B592&amp;" "&amp;A592&amp;" "&amp;D592))),MAX($K$1:K591)+1,"")</f>
        <v/>
      </c>
    </row>
    <row r="593" customFormat="false" ht="15" hidden="false" customHeight="false" outlineLevel="0" collapsed="false">
      <c r="A593" s="12"/>
      <c r="B593" s="12"/>
      <c r="C593" s="17" t="str">
        <f aca="false">IF(B593="","",IFERROR(INDEX(Produits!$F$2:$F$1001,MATCH(B593,Produits!$A$2:$A$1001,0)),"⚠ code article inconnu"))</f>
        <v/>
      </c>
      <c r="D593" s="12"/>
      <c r="E593" s="23"/>
      <c r="F593" s="24"/>
      <c r="G593" s="23"/>
      <c r="H593" s="21" t="str">
        <f aca="true">IF(E593="","",ROUND((E593-TODAY())/30.4,1))</f>
        <v/>
      </c>
      <c r="I593" s="17" t="str">
        <f aca="false">IF(E593="","",IF(H593&lt;0,IF(LEFT(A593,1)="Q","Périmé (en quarantaine)","PÉRIMÉ → déplacer en zone Q"),IF(H593&lt;3,"Péremption &lt; 3 mois",IF(H593&lt;6,"Péremption &lt; 6 mois",""))))</f>
        <v/>
      </c>
      <c r="J593" s="17" t="str">
        <f aca="false">IF(A593="","",IF(COUNTIF(Emplacements!$A$2:$A$1001,A593)=0,"⚠ emplacement inconnu","OK"))</f>
        <v/>
      </c>
      <c r="K593" s="22" t="str">
        <f aca="false">IF(AND(B593&lt;&gt;"",ISNUMBER(SEARCH(Recherche!$C$3,C593&amp;" "&amp;B593&amp;" "&amp;A593&amp;" "&amp;D593))),MAX($K$1:K592)+1,"")</f>
        <v/>
      </c>
    </row>
    <row r="594" customFormat="false" ht="15" hidden="false" customHeight="false" outlineLevel="0" collapsed="false">
      <c r="A594" s="12"/>
      <c r="B594" s="12"/>
      <c r="C594" s="17" t="str">
        <f aca="false">IF(B594="","",IFERROR(INDEX(Produits!$F$2:$F$1001,MATCH(B594,Produits!$A$2:$A$1001,0)),"⚠ code article inconnu"))</f>
        <v/>
      </c>
      <c r="D594" s="12"/>
      <c r="E594" s="23"/>
      <c r="F594" s="24"/>
      <c r="G594" s="23"/>
      <c r="H594" s="21" t="str">
        <f aca="true">IF(E594="","",ROUND((E594-TODAY())/30.4,1))</f>
        <v/>
      </c>
      <c r="I594" s="17" t="str">
        <f aca="false">IF(E594="","",IF(H594&lt;0,IF(LEFT(A594,1)="Q","Périmé (en quarantaine)","PÉRIMÉ → déplacer en zone Q"),IF(H594&lt;3,"Péremption &lt; 3 mois",IF(H594&lt;6,"Péremption &lt; 6 mois",""))))</f>
        <v/>
      </c>
      <c r="J594" s="17" t="str">
        <f aca="false">IF(A594="","",IF(COUNTIF(Emplacements!$A$2:$A$1001,A594)=0,"⚠ emplacement inconnu","OK"))</f>
        <v/>
      </c>
      <c r="K594" s="22" t="str">
        <f aca="false">IF(AND(B594&lt;&gt;"",ISNUMBER(SEARCH(Recherche!$C$3,C594&amp;" "&amp;B594&amp;" "&amp;A594&amp;" "&amp;D594))),MAX($K$1:K593)+1,"")</f>
        <v/>
      </c>
    </row>
    <row r="595" customFormat="false" ht="15" hidden="false" customHeight="false" outlineLevel="0" collapsed="false">
      <c r="A595" s="12"/>
      <c r="B595" s="12"/>
      <c r="C595" s="17" t="str">
        <f aca="false">IF(B595="","",IFERROR(INDEX(Produits!$F$2:$F$1001,MATCH(B595,Produits!$A$2:$A$1001,0)),"⚠ code article inconnu"))</f>
        <v/>
      </c>
      <c r="D595" s="12"/>
      <c r="E595" s="23"/>
      <c r="F595" s="24"/>
      <c r="G595" s="23"/>
      <c r="H595" s="21" t="str">
        <f aca="true">IF(E595="","",ROUND((E595-TODAY())/30.4,1))</f>
        <v/>
      </c>
      <c r="I595" s="17" t="str">
        <f aca="false">IF(E595="","",IF(H595&lt;0,IF(LEFT(A595,1)="Q","Périmé (en quarantaine)","PÉRIMÉ → déplacer en zone Q"),IF(H595&lt;3,"Péremption &lt; 3 mois",IF(H595&lt;6,"Péremption &lt; 6 mois",""))))</f>
        <v/>
      </c>
      <c r="J595" s="17" t="str">
        <f aca="false">IF(A595="","",IF(COUNTIF(Emplacements!$A$2:$A$1001,A595)=0,"⚠ emplacement inconnu","OK"))</f>
        <v/>
      </c>
      <c r="K595" s="22" t="str">
        <f aca="false">IF(AND(B595&lt;&gt;"",ISNUMBER(SEARCH(Recherche!$C$3,C595&amp;" "&amp;B595&amp;" "&amp;A595&amp;" "&amp;D595))),MAX($K$1:K594)+1,"")</f>
        <v/>
      </c>
    </row>
    <row r="596" customFormat="false" ht="15" hidden="false" customHeight="false" outlineLevel="0" collapsed="false">
      <c r="A596" s="12"/>
      <c r="B596" s="12"/>
      <c r="C596" s="17" t="str">
        <f aca="false">IF(B596="","",IFERROR(INDEX(Produits!$F$2:$F$1001,MATCH(B596,Produits!$A$2:$A$1001,0)),"⚠ code article inconnu"))</f>
        <v/>
      </c>
      <c r="D596" s="12"/>
      <c r="E596" s="23"/>
      <c r="F596" s="24"/>
      <c r="G596" s="23"/>
      <c r="H596" s="21" t="str">
        <f aca="true">IF(E596="","",ROUND((E596-TODAY())/30.4,1))</f>
        <v/>
      </c>
      <c r="I596" s="17" t="str">
        <f aca="false">IF(E596="","",IF(H596&lt;0,IF(LEFT(A596,1)="Q","Périmé (en quarantaine)","PÉRIMÉ → déplacer en zone Q"),IF(H596&lt;3,"Péremption &lt; 3 mois",IF(H596&lt;6,"Péremption &lt; 6 mois",""))))</f>
        <v/>
      </c>
      <c r="J596" s="17" t="str">
        <f aca="false">IF(A596="","",IF(COUNTIF(Emplacements!$A$2:$A$1001,A596)=0,"⚠ emplacement inconnu","OK"))</f>
        <v/>
      </c>
      <c r="K596" s="22" t="str">
        <f aca="false">IF(AND(B596&lt;&gt;"",ISNUMBER(SEARCH(Recherche!$C$3,C596&amp;" "&amp;B596&amp;" "&amp;A596&amp;" "&amp;D596))),MAX($K$1:K595)+1,"")</f>
        <v/>
      </c>
    </row>
    <row r="597" customFormat="false" ht="15" hidden="false" customHeight="false" outlineLevel="0" collapsed="false">
      <c r="A597" s="12"/>
      <c r="B597" s="12"/>
      <c r="C597" s="17" t="str">
        <f aca="false">IF(B597="","",IFERROR(INDEX(Produits!$F$2:$F$1001,MATCH(B597,Produits!$A$2:$A$1001,0)),"⚠ code article inconnu"))</f>
        <v/>
      </c>
      <c r="D597" s="12"/>
      <c r="E597" s="23"/>
      <c r="F597" s="24"/>
      <c r="G597" s="23"/>
      <c r="H597" s="21" t="str">
        <f aca="true">IF(E597="","",ROUND((E597-TODAY())/30.4,1))</f>
        <v/>
      </c>
      <c r="I597" s="17" t="str">
        <f aca="false">IF(E597="","",IF(H597&lt;0,IF(LEFT(A597,1)="Q","Périmé (en quarantaine)","PÉRIMÉ → déplacer en zone Q"),IF(H597&lt;3,"Péremption &lt; 3 mois",IF(H597&lt;6,"Péremption &lt; 6 mois",""))))</f>
        <v/>
      </c>
      <c r="J597" s="17" t="str">
        <f aca="false">IF(A597="","",IF(COUNTIF(Emplacements!$A$2:$A$1001,A597)=0,"⚠ emplacement inconnu","OK"))</f>
        <v/>
      </c>
      <c r="K597" s="22" t="str">
        <f aca="false">IF(AND(B597&lt;&gt;"",ISNUMBER(SEARCH(Recherche!$C$3,C597&amp;" "&amp;B597&amp;" "&amp;A597&amp;" "&amp;D597))),MAX($K$1:K596)+1,"")</f>
        <v/>
      </c>
    </row>
    <row r="598" customFormat="false" ht="15" hidden="false" customHeight="false" outlineLevel="0" collapsed="false">
      <c r="A598" s="12"/>
      <c r="B598" s="12"/>
      <c r="C598" s="17" t="str">
        <f aca="false">IF(B598="","",IFERROR(INDEX(Produits!$F$2:$F$1001,MATCH(B598,Produits!$A$2:$A$1001,0)),"⚠ code article inconnu"))</f>
        <v/>
      </c>
      <c r="D598" s="12"/>
      <c r="E598" s="23"/>
      <c r="F598" s="24"/>
      <c r="G598" s="23"/>
      <c r="H598" s="21" t="str">
        <f aca="true">IF(E598="","",ROUND((E598-TODAY())/30.4,1))</f>
        <v/>
      </c>
      <c r="I598" s="17" t="str">
        <f aca="false">IF(E598="","",IF(H598&lt;0,IF(LEFT(A598,1)="Q","Périmé (en quarantaine)","PÉRIMÉ → déplacer en zone Q"),IF(H598&lt;3,"Péremption &lt; 3 mois",IF(H598&lt;6,"Péremption &lt; 6 mois",""))))</f>
        <v/>
      </c>
      <c r="J598" s="17" t="str">
        <f aca="false">IF(A598="","",IF(COUNTIF(Emplacements!$A$2:$A$1001,A598)=0,"⚠ emplacement inconnu","OK"))</f>
        <v/>
      </c>
      <c r="K598" s="22" t="str">
        <f aca="false">IF(AND(B598&lt;&gt;"",ISNUMBER(SEARCH(Recherche!$C$3,C598&amp;" "&amp;B598&amp;" "&amp;A598&amp;" "&amp;D598))),MAX($K$1:K597)+1,"")</f>
        <v/>
      </c>
    </row>
    <row r="599" customFormat="false" ht="15" hidden="false" customHeight="false" outlineLevel="0" collapsed="false">
      <c r="A599" s="12"/>
      <c r="B599" s="12"/>
      <c r="C599" s="17" t="str">
        <f aca="false">IF(B599="","",IFERROR(INDEX(Produits!$F$2:$F$1001,MATCH(B599,Produits!$A$2:$A$1001,0)),"⚠ code article inconnu"))</f>
        <v/>
      </c>
      <c r="D599" s="12"/>
      <c r="E599" s="23"/>
      <c r="F599" s="24"/>
      <c r="G599" s="23"/>
      <c r="H599" s="21" t="str">
        <f aca="true">IF(E599="","",ROUND((E599-TODAY())/30.4,1))</f>
        <v/>
      </c>
      <c r="I599" s="17" t="str">
        <f aca="false">IF(E599="","",IF(H599&lt;0,IF(LEFT(A599,1)="Q","Périmé (en quarantaine)","PÉRIMÉ → déplacer en zone Q"),IF(H599&lt;3,"Péremption &lt; 3 mois",IF(H599&lt;6,"Péremption &lt; 6 mois",""))))</f>
        <v/>
      </c>
      <c r="J599" s="17" t="str">
        <f aca="false">IF(A599="","",IF(COUNTIF(Emplacements!$A$2:$A$1001,A599)=0,"⚠ emplacement inconnu","OK"))</f>
        <v/>
      </c>
      <c r="K599" s="22" t="str">
        <f aca="false">IF(AND(B599&lt;&gt;"",ISNUMBER(SEARCH(Recherche!$C$3,C599&amp;" "&amp;B599&amp;" "&amp;A599&amp;" "&amp;D599))),MAX($K$1:K598)+1,"")</f>
        <v/>
      </c>
    </row>
    <row r="600" customFormat="false" ht="15" hidden="false" customHeight="false" outlineLevel="0" collapsed="false">
      <c r="A600" s="12"/>
      <c r="B600" s="12"/>
      <c r="C600" s="17" t="str">
        <f aca="false">IF(B600="","",IFERROR(INDEX(Produits!$F$2:$F$1001,MATCH(B600,Produits!$A$2:$A$1001,0)),"⚠ code article inconnu"))</f>
        <v/>
      </c>
      <c r="D600" s="12"/>
      <c r="E600" s="23"/>
      <c r="F600" s="24"/>
      <c r="G600" s="23"/>
      <c r="H600" s="21" t="str">
        <f aca="true">IF(E600="","",ROUND((E600-TODAY())/30.4,1))</f>
        <v/>
      </c>
      <c r="I600" s="17" t="str">
        <f aca="false">IF(E600="","",IF(H600&lt;0,IF(LEFT(A600,1)="Q","Périmé (en quarantaine)","PÉRIMÉ → déplacer en zone Q"),IF(H600&lt;3,"Péremption &lt; 3 mois",IF(H600&lt;6,"Péremption &lt; 6 mois",""))))</f>
        <v/>
      </c>
      <c r="J600" s="17" t="str">
        <f aca="false">IF(A600="","",IF(COUNTIF(Emplacements!$A$2:$A$1001,A600)=0,"⚠ emplacement inconnu","OK"))</f>
        <v/>
      </c>
      <c r="K600" s="22" t="str">
        <f aca="false">IF(AND(B600&lt;&gt;"",ISNUMBER(SEARCH(Recherche!$C$3,C600&amp;" "&amp;B600&amp;" "&amp;A600&amp;" "&amp;D600))),MAX($K$1:K599)+1,"")</f>
        <v/>
      </c>
    </row>
    <row r="601" customFormat="false" ht="15" hidden="false" customHeight="false" outlineLevel="0" collapsed="false">
      <c r="A601" s="12"/>
      <c r="B601" s="12"/>
      <c r="C601" s="17" t="str">
        <f aca="false">IF(B601="","",IFERROR(INDEX(Produits!$F$2:$F$1001,MATCH(B601,Produits!$A$2:$A$1001,0)),"⚠ code article inconnu"))</f>
        <v/>
      </c>
      <c r="D601" s="12"/>
      <c r="E601" s="23"/>
      <c r="F601" s="24"/>
      <c r="G601" s="23"/>
      <c r="H601" s="21" t="str">
        <f aca="true">IF(E601="","",ROUND((E601-TODAY())/30.4,1))</f>
        <v/>
      </c>
      <c r="I601" s="17" t="str">
        <f aca="false">IF(E601="","",IF(H601&lt;0,IF(LEFT(A601,1)="Q","Périmé (en quarantaine)","PÉRIMÉ → déplacer en zone Q"),IF(H601&lt;3,"Péremption &lt; 3 mois",IF(H601&lt;6,"Péremption &lt; 6 mois",""))))</f>
        <v/>
      </c>
      <c r="J601" s="17" t="str">
        <f aca="false">IF(A601="","",IF(COUNTIF(Emplacements!$A$2:$A$1001,A601)=0,"⚠ emplacement inconnu","OK"))</f>
        <v/>
      </c>
      <c r="K601" s="22" t="str">
        <f aca="false">IF(AND(B601&lt;&gt;"",ISNUMBER(SEARCH(Recherche!$C$3,C601&amp;" "&amp;B601&amp;" "&amp;A601&amp;" "&amp;D601))),MAX($K$1:K600)+1,"")</f>
        <v/>
      </c>
    </row>
    <row r="602" customFormat="false" ht="15" hidden="false" customHeight="false" outlineLevel="0" collapsed="false">
      <c r="A602" s="12"/>
      <c r="B602" s="12"/>
      <c r="C602" s="17" t="str">
        <f aca="false">IF(B602="","",IFERROR(INDEX(Produits!$F$2:$F$1001,MATCH(B602,Produits!$A$2:$A$1001,0)),"⚠ code article inconnu"))</f>
        <v/>
      </c>
      <c r="D602" s="12"/>
      <c r="E602" s="23"/>
      <c r="F602" s="24"/>
      <c r="G602" s="23"/>
      <c r="H602" s="21" t="str">
        <f aca="true">IF(E602="","",ROUND((E602-TODAY())/30.4,1))</f>
        <v/>
      </c>
      <c r="I602" s="17" t="str">
        <f aca="false">IF(E602="","",IF(H602&lt;0,IF(LEFT(A602,1)="Q","Périmé (en quarantaine)","PÉRIMÉ → déplacer en zone Q"),IF(H602&lt;3,"Péremption &lt; 3 mois",IF(H602&lt;6,"Péremption &lt; 6 mois",""))))</f>
        <v/>
      </c>
      <c r="J602" s="17" t="str">
        <f aca="false">IF(A602="","",IF(COUNTIF(Emplacements!$A$2:$A$1001,A602)=0,"⚠ emplacement inconnu","OK"))</f>
        <v/>
      </c>
      <c r="K602" s="22" t="str">
        <f aca="false">IF(AND(B602&lt;&gt;"",ISNUMBER(SEARCH(Recherche!$C$3,C602&amp;" "&amp;B602&amp;" "&amp;A602&amp;" "&amp;D602))),MAX($K$1:K601)+1,"")</f>
        <v/>
      </c>
    </row>
    <row r="603" customFormat="false" ht="15" hidden="false" customHeight="false" outlineLevel="0" collapsed="false">
      <c r="A603" s="12"/>
      <c r="B603" s="12"/>
      <c r="C603" s="17" t="str">
        <f aca="false">IF(B603="","",IFERROR(INDEX(Produits!$F$2:$F$1001,MATCH(B603,Produits!$A$2:$A$1001,0)),"⚠ code article inconnu"))</f>
        <v/>
      </c>
      <c r="D603" s="12"/>
      <c r="E603" s="23"/>
      <c r="F603" s="24"/>
      <c r="G603" s="23"/>
      <c r="H603" s="21" t="str">
        <f aca="true">IF(E603="","",ROUND((E603-TODAY())/30.4,1))</f>
        <v/>
      </c>
      <c r="I603" s="17" t="str">
        <f aca="false">IF(E603="","",IF(H603&lt;0,IF(LEFT(A603,1)="Q","Périmé (en quarantaine)","PÉRIMÉ → déplacer en zone Q"),IF(H603&lt;3,"Péremption &lt; 3 mois",IF(H603&lt;6,"Péremption &lt; 6 mois",""))))</f>
        <v/>
      </c>
      <c r="J603" s="17" t="str">
        <f aca="false">IF(A603="","",IF(COUNTIF(Emplacements!$A$2:$A$1001,A603)=0,"⚠ emplacement inconnu","OK"))</f>
        <v/>
      </c>
      <c r="K603" s="22" t="str">
        <f aca="false">IF(AND(B603&lt;&gt;"",ISNUMBER(SEARCH(Recherche!$C$3,C603&amp;" "&amp;B603&amp;" "&amp;A603&amp;" "&amp;D603))),MAX($K$1:K602)+1,"")</f>
        <v/>
      </c>
    </row>
    <row r="604" customFormat="false" ht="15" hidden="false" customHeight="false" outlineLevel="0" collapsed="false">
      <c r="A604" s="12"/>
      <c r="B604" s="12"/>
      <c r="C604" s="17" t="str">
        <f aca="false">IF(B604="","",IFERROR(INDEX(Produits!$F$2:$F$1001,MATCH(B604,Produits!$A$2:$A$1001,0)),"⚠ code article inconnu"))</f>
        <v/>
      </c>
      <c r="D604" s="12"/>
      <c r="E604" s="23"/>
      <c r="F604" s="24"/>
      <c r="G604" s="23"/>
      <c r="H604" s="21" t="str">
        <f aca="true">IF(E604="","",ROUND((E604-TODAY())/30.4,1))</f>
        <v/>
      </c>
      <c r="I604" s="17" t="str">
        <f aca="false">IF(E604="","",IF(H604&lt;0,IF(LEFT(A604,1)="Q","Périmé (en quarantaine)","PÉRIMÉ → déplacer en zone Q"),IF(H604&lt;3,"Péremption &lt; 3 mois",IF(H604&lt;6,"Péremption &lt; 6 mois",""))))</f>
        <v/>
      </c>
      <c r="J604" s="17" t="str">
        <f aca="false">IF(A604="","",IF(COUNTIF(Emplacements!$A$2:$A$1001,A604)=0,"⚠ emplacement inconnu","OK"))</f>
        <v/>
      </c>
      <c r="K604" s="22" t="str">
        <f aca="false">IF(AND(B604&lt;&gt;"",ISNUMBER(SEARCH(Recherche!$C$3,C604&amp;" "&amp;B604&amp;" "&amp;A604&amp;" "&amp;D604))),MAX($K$1:K603)+1,"")</f>
        <v/>
      </c>
    </row>
    <row r="605" customFormat="false" ht="15" hidden="false" customHeight="false" outlineLevel="0" collapsed="false">
      <c r="A605" s="12"/>
      <c r="B605" s="12"/>
      <c r="C605" s="17" t="str">
        <f aca="false">IF(B605="","",IFERROR(INDEX(Produits!$F$2:$F$1001,MATCH(B605,Produits!$A$2:$A$1001,0)),"⚠ code article inconnu"))</f>
        <v/>
      </c>
      <c r="D605" s="12"/>
      <c r="E605" s="23"/>
      <c r="F605" s="24"/>
      <c r="G605" s="23"/>
      <c r="H605" s="21" t="str">
        <f aca="true">IF(E605="","",ROUND((E605-TODAY())/30.4,1))</f>
        <v/>
      </c>
      <c r="I605" s="17" t="str">
        <f aca="false">IF(E605="","",IF(H605&lt;0,IF(LEFT(A605,1)="Q","Périmé (en quarantaine)","PÉRIMÉ → déplacer en zone Q"),IF(H605&lt;3,"Péremption &lt; 3 mois",IF(H605&lt;6,"Péremption &lt; 6 mois",""))))</f>
        <v/>
      </c>
      <c r="J605" s="17" t="str">
        <f aca="false">IF(A605="","",IF(COUNTIF(Emplacements!$A$2:$A$1001,A605)=0,"⚠ emplacement inconnu","OK"))</f>
        <v/>
      </c>
      <c r="K605" s="22" t="str">
        <f aca="false">IF(AND(B605&lt;&gt;"",ISNUMBER(SEARCH(Recherche!$C$3,C605&amp;" "&amp;B605&amp;" "&amp;A605&amp;" "&amp;D605))),MAX($K$1:K604)+1,"")</f>
        <v/>
      </c>
    </row>
    <row r="606" customFormat="false" ht="15" hidden="false" customHeight="false" outlineLevel="0" collapsed="false">
      <c r="A606" s="12"/>
      <c r="B606" s="12"/>
      <c r="C606" s="17" t="str">
        <f aca="false">IF(B606="","",IFERROR(INDEX(Produits!$F$2:$F$1001,MATCH(B606,Produits!$A$2:$A$1001,0)),"⚠ code article inconnu"))</f>
        <v/>
      </c>
      <c r="D606" s="12"/>
      <c r="E606" s="23"/>
      <c r="F606" s="24"/>
      <c r="G606" s="23"/>
      <c r="H606" s="21" t="str">
        <f aca="true">IF(E606="","",ROUND((E606-TODAY())/30.4,1))</f>
        <v/>
      </c>
      <c r="I606" s="17" t="str">
        <f aca="false">IF(E606="","",IF(H606&lt;0,IF(LEFT(A606,1)="Q","Périmé (en quarantaine)","PÉRIMÉ → déplacer en zone Q"),IF(H606&lt;3,"Péremption &lt; 3 mois",IF(H606&lt;6,"Péremption &lt; 6 mois",""))))</f>
        <v/>
      </c>
      <c r="J606" s="17" t="str">
        <f aca="false">IF(A606="","",IF(COUNTIF(Emplacements!$A$2:$A$1001,A606)=0,"⚠ emplacement inconnu","OK"))</f>
        <v/>
      </c>
      <c r="K606" s="22" t="str">
        <f aca="false">IF(AND(B606&lt;&gt;"",ISNUMBER(SEARCH(Recherche!$C$3,C606&amp;" "&amp;B606&amp;" "&amp;A606&amp;" "&amp;D606))),MAX($K$1:K605)+1,"")</f>
        <v/>
      </c>
    </row>
    <row r="607" customFormat="false" ht="15" hidden="false" customHeight="false" outlineLevel="0" collapsed="false">
      <c r="A607" s="12"/>
      <c r="B607" s="12"/>
      <c r="C607" s="17" t="str">
        <f aca="false">IF(B607="","",IFERROR(INDEX(Produits!$F$2:$F$1001,MATCH(B607,Produits!$A$2:$A$1001,0)),"⚠ code article inconnu"))</f>
        <v/>
      </c>
      <c r="D607" s="12"/>
      <c r="E607" s="23"/>
      <c r="F607" s="24"/>
      <c r="G607" s="23"/>
      <c r="H607" s="21" t="str">
        <f aca="true">IF(E607="","",ROUND((E607-TODAY())/30.4,1))</f>
        <v/>
      </c>
      <c r="I607" s="17" t="str">
        <f aca="false">IF(E607="","",IF(H607&lt;0,IF(LEFT(A607,1)="Q","Périmé (en quarantaine)","PÉRIMÉ → déplacer en zone Q"),IF(H607&lt;3,"Péremption &lt; 3 mois",IF(H607&lt;6,"Péremption &lt; 6 mois",""))))</f>
        <v/>
      </c>
      <c r="J607" s="17" t="str">
        <f aca="false">IF(A607="","",IF(COUNTIF(Emplacements!$A$2:$A$1001,A607)=0,"⚠ emplacement inconnu","OK"))</f>
        <v/>
      </c>
      <c r="K607" s="22" t="str">
        <f aca="false">IF(AND(B607&lt;&gt;"",ISNUMBER(SEARCH(Recherche!$C$3,C607&amp;" "&amp;B607&amp;" "&amp;A607&amp;" "&amp;D607))),MAX($K$1:K606)+1,"")</f>
        <v/>
      </c>
    </row>
    <row r="608" customFormat="false" ht="15" hidden="false" customHeight="false" outlineLevel="0" collapsed="false">
      <c r="A608" s="12"/>
      <c r="B608" s="12"/>
      <c r="C608" s="17" t="str">
        <f aca="false">IF(B608="","",IFERROR(INDEX(Produits!$F$2:$F$1001,MATCH(B608,Produits!$A$2:$A$1001,0)),"⚠ code article inconnu"))</f>
        <v/>
      </c>
      <c r="D608" s="12"/>
      <c r="E608" s="23"/>
      <c r="F608" s="24"/>
      <c r="G608" s="23"/>
      <c r="H608" s="21" t="str">
        <f aca="true">IF(E608="","",ROUND((E608-TODAY())/30.4,1))</f>
        <v/>
      </c>
      <c r="I608" s="17" t="str">
        <f aca="false">IF(E608="","",IF(H608&lt;0,IF(LEFT(A608,1)="Q","Périmé (en quarantaine)","PÉRIMÉ → déplacer en zone Q"),IF(H608&lt;3,"Péremption &lt; 3 mois",IF(H608&lt;6,"Péremption &lt; 6 mois",""))))</f>
        <v/>
      </c>
      <c r="J608" s="17" t="str">
        <f aca="false">IF(A608="","",IF(COUNTIF(Emplacements!$A$2:$A$1001,A608)=0,"⚠ emplacement inconnu","OK"))</f>
        <v/>
      </c>
      <c r="K608" s="22" t="str">
        <f aca="false">IF(AND(B608&lt;&gt;"",ISNUMBER(SEARCH(Recherche!$C$3,C608&amp;" "&amp;B608&amp;" "&amp;A608&amp;" "&amp;D608))),MAX($K$1:K607)+1,"")</f>
        <v/>
      </c>
    </row>
    <row r="609" customFormat="false" ht="15" hidden="false" customHeight="false" outlineLevel="0" collapsed="false">
      <c r="A609" s="12"/>
      <c r="B609" s="12"/>
      <c r="C609" s="17" t="str">
        <f aca="false">IF(B609="","",IFERROR(INDEX(Produits!$F$2:$F$1001,MATCH(B609,Produits!$A$2:$A$1001,0)),"⚠ code article inconnu"))</f>
        <v/>
      </c>
      <c r="D609" s="12"/>
      <c r="E609" s="23"/>
      <c r="F609" s="24"/>
      <c r="G609" s="23"/>
      <c r="H609" s="21" t="str">
        <f aca="true">IF(E609="","",ROUND((E609-TODAY())/30.4,1))</f>
        <v/>
      </c>
      <c r="I609" s="17" t="str">
        <f aca="false">IF(E609="","",IF(H609&lt;0,IF(LEFT(A609,1)="Q","Périmé (en quarantaine)","PÉRIMÉ → déplacer en zone Q"),IF(H609&lt;3,"Péremption &lt; 3 mois",IF(H609&lt;6,"Péremption &lt; 6 mois",""))))</f>
        <v/>
      </c>
      <c r="J609" s="17" t="str">
        <f aca="false">IF(A609="","",IF(COUNTIF(Emplacements!$A$2:$A$1001,A609)=0,"⚠ emplacement inconnu","OK"))</f>
        <v/>
      </c>
      <c r="K609" s="22" t="str">
        <f aca="false">IF(AND(B609&lt;&gt;"",ISNUMBER(SEARCH(Recherche!$C$3,C609&amp;" "&amp;B609&amp;" "&amp;A609&amp;" "&amp;D609))),MAX($K$1:K608)+1,"")</f>
        <v/>
      </c>
    </row>
    <row r="610" customFormat="false" ht="15" hidden="false" customHeight="false" outlineLevel="0" collapsed="false">
      <c r="A610" s="12"/>
      <c r="B610" s="12"/>
      <c r="C610" s="17" t="str">
        <f aca="false">IF(B610="","",IFERROR(INDEX(Produits!$F$2:$F$1001,MATCH(B610,Produits!$A$2:$A$1001,0)),"⚠ code article inconnu"))</f>
        <v/>
      </c>
      <c r="D610" s="12"/>
      <c r="E610" s="23"/>
      <c r="F610" s="24"/>
      <c r="G610" s="23"/>
      <c r="H610" s="21" t="str">
        <f aca="true">IF(E610="","",ROUND((E610-TODAY())/30.4,1))</f>
        <v/>
      </c>
      <c r="I610" s="17" t="str">
        <f aca="false">IF(E610="","",IF(H610&lt;0,IF(LEFT(A610,1)="Q","Périmé (en quarantaine)","PÉRIMÉ → déplacer en zone Q"),IF(H610&lt;3,"Péremption &lt; 3 mois",IF(H610&lt;6,"Péremption &lt; 6 mois",""))))</f>
        <v/>
      </c>
      <c r="J610" s="17" t="str">
        <f aca="false">IF(A610="","",IF(COUNTIF(Emplacements!$A$2:$A$1001,A610)=0,"⚠ emplacement inconnu","OK"))</f>
        <v/>
      </c>
      <c r="K610" s="22" t="str">
        <f aca="false">IF(AND(B610&lt;&gt;"",ISNUMBER(SEARCH(Recherche!$C$3,C610&amp;" "&amp;B610&amp;" "&amp;A610&amp;" "&amp;D610))),MAX($K$1:K609)+1,"")</f>
        <v/>
      </c>
    </row>
    <row r="611" customFormat="false" ht="15" hidden="false" customHeight="false" outlineLevel="0" collapsed="false">
      <c r="A611" s="12"/>
      <c r="B611" s="12"/>
      <c r="C611" s="17" t="str">
        <f aca="false">IF(B611="","",IFERROR(INDEX(Produits!$F$2:$F$1001,MATCH(B611,Produits!$A$2:$A$1001,0)),"⚠ code article inconnu"))</f>
        <v/>
      </c>
      <c r="D611" s="12"/>
      <c r="E611" s="23"/>
      <c r="F611" s="24"/>
      <c r="G611" s="23"/>
      <c r="H611" s="21" t="str">
        <f aca="true">IF(E611="","",ROUND((E611-TODAY())/30.4,1))</f>
        <v/>
      </c>
      <c r="I611" s="17" t="str">
        <f aca="false">IF(E611="","",IF(H611&lt;0,IF(LEFT(A611,1)="Q","Périmé (en quarantaine)","PÉRIMÉ → déplacer en zone Q"),IF(H611&lt;3,"Péremption &lt; 3 mois",IF(H611&lt;6,"Péremption &lt; 6 mois",""))))</f>
        <v/>
      </c>
      <c r="J611" s="17" t="str">
        <f aca="false">IF(A611="","",IF(COUNTIF(Emplacements!$A$2:$A$1001,A611)=0,"⚠ emplacement inconnu","OK"))</f>
        <v/>
      </c>
      <c r="K611" s="22" t="str">
        <f aca="false">IF(AND(B611&lt;&gt;"",ISNUMBER(SEARCH(Recherche!$C$3,C611&amp;" "&amp;B611&amp;" "&amp;A611&amp;" "&amp;D611))),MAX($K$1:K610)+1,"")</f>
        <v/>
      </c>
    </row>
    <row r="612" customFormat="false" ht="15" hidden="false" customHeight="false" outlineLevel="0" collapsed="false">
      <c r="A612" s="12"/>
      <c r="B612" s="12"/>
      <c r="C612" s="17" t="str">
        <f aca="false">IF(B612="","",IFERROR(INDEX(Produits!$F$2:$F$1001,MATCH(B612,Produits!$A$2:$A$1001,0)),"⚠ code article inconnu"))</f>
        <v/>
      </c>
      <c r="D612" s="12"/>
      <c r="E612" s="23"/>
      <c r="F612" s="24"/>
      <c r="G612" s="23"/>
      <c r="H612" s="21" t="str">
        <f aca="true">IF(E612="","",ROUND((E612-TODAY())/30.4,1))</f>
        <v/>
      </c>
      <c r="I612" s="17" t="str">
        <f aca="false">IF(E612="","",IF(H612&lt;0,IF(LEFT(A612,1)="Q","Périmé (en quarantaine)","PÉRIMÉ → déplacer en zone Q"),IF(H612&lt;3,"Péremption &lt; 3 mois",IF(H612&lt;6,"Péremption &lt; 6 mois",""))))</f>
        <v/>
      </c>
      <c r="J612" s="17" t="str">
        <f aca="false">IF(A612="","",IF(COUNTIF(Emplacements!$A$2:$A$1001,A612)=0,"⚠ emplacement inconnu","OK"))</f>
        <v/>
      </c>
      <c r="K612" s="22" t="str">
        <f aca="false">IF(AND(B612&lt;&gt;"",ISNUMBER(SEARCH(Recherche!$C$3,C612&amp;" "&amp;B612&amp;" "&amp;A612&amp;" "&amp;D612))),MAX($K$1:K611)+1,"")</f>
        <v/>
      </c>
    </row>
    <row r="613" customFormat="false" ht="15" hidden="false" customHeight="false" outlineLevel="0" collapsed="false">
      <c r="A613" s="12"/>
      <c r="B613" s="12"/>
      <c r="C613" s="17" t="str">
        <f aca="false">IF(B613="","",IFERROR(INDEX(Produits!$F$2:$F$1001,MATCH(B613,Produits!$A$2:$A$1001,0)),"⚠ code article inconnu"))</f>
        <v/>
      </c>
      <c r="D613" s="12"/>
      <c r="E613" s="23"/>
      <c r="F613" s="24"/>
      <c r="G613" s="23"/>
      <c r="H613" s="21" t="str">
        <f aca="true">IF(E613="","",ROUND((E613-TODAY())/30.4,1))</f>
        <v/>
      </c>
      <c r="I613" s="17" t="str">
        <f aca="false">IF(E613="","",IF(H613&lt;0,IF(LEFT(A613,1)="Q","Périmé (en quarantaine)","PÉRIMÉ → déplacer en zone Q"),IF(H613&lt;3,"Péremption &lt; 3 mois",IF(H613&lt;6,"Péremption &lt; 6 mois",""))))</f>
        <v/>
      </c>
      <c r="J613" s="17" t="str">
        <f aca="false">IF(A613="","",IF(COUNTIF(Emplacements!$A$2:$A$1001,A613)=0,"⚠ emplacement inconnu","OK"))</f>
        <v/>
      </c>
      <c r="K613" s="22" t="str">
        <f aca="false">IF(AND(B613&lt;&gt;"",ISNUMBER(SEARCH(Recherche!$C$3,C613&amp;" "&amp;B613&amp;" "&amp;A613&amp;" "&amp;D613))),MAX($K$1:K612)+1,"")</f>
        <v/>
      </c>
    </row>
    <row r="614" customFormat="false" ht="15" hidden="false" customHeight="false" outlineLevel="0" collapsed="false">
      <c r="A614" s="12"/>
      <c r="B614" s="12"/>
      <c r="C614" s="17" t="str">
        <f aca="false">IF(B614="","",IFERROR(INDEX(Produits!$F$2:$F$1001,MATCH(B614,Produits!$A$2:$A$1001,0)),"⚠ code article inconnu"))</f>
        <v/>
      </c>
      <c r="D614" s="12"/>
      <c r="E614" s="23"/>
      <c r="F614" s="24"/>
      <c r="G614" s="23"/>
      <c r="H614" s="21" t="str">
        <f aca="true">IF(E614="","",ROUND((E614-TODAY())/30.4,1))</f>
        <v/>
      </c>
      <c r="I614" s="17" t="str">
        <f aca="false">IF(E614="","",IF(H614&lt;0,IF(LEFT(A614,1)="Q","Périmé (en quarantaine)","PÉRIMÉ → déplacer en zone Q"),IF(H614&lt;3,"Péremption &lt; 3 mois",IF(H614&lt;6,"Péremption &lt; 6 mois",""))))</f>
        <v/>
      </c>
      <c r="J614" s="17" t="str">
        <f aca="false">IF(A614="","",IF(COUNTIF(Emplacements!$A$2:$A$1001,A614)=0,"⚠ emplacement inconnu","OK"))</f>
        <v/>
      </c>
      <c r="K614" s="22" t="str">
        <f aca="false">IF(AND(B614&lt;&gt;"",ISNUMBER(SEARCH(Recherche!$C$3,C614&amp;" "&amp;B614&amp;" "&amp;A614&amp;" "&amp;D614))),MAX($K$1:K613)+1,"")</f>
        <v/>
      </c>
    </row>
    <row r="615" customFormat="false" ht="15" hidden="false" customHeight="false" outlineLevel="0" collapsed="false">
      <c r="A615" s="12"/>
      <c r="B615" s="12"/>
      <c r="C615" s="17" t="str">
        <f aca="false">IF(B615="","",IFERROR(INDEX(Produits!$F$2:$F$1001,MATCH(B615,Produits!$A$2:$A$1001,0)),"⚠ code article inconnu"))</f>
        <v/>
      </c>
      <c r="D615" s="12"/>
      <c r="E615" s="23"/>
      <c r="F615" s="24"/>
      <c r="G615" s="23"/>
      <c r="H615" s="21" t="str">
        <f aca="true">IF(E615="","",ROUND((E615-TODAY())/30.4,1))</f>
        <v/>
      </c>
      <c r="I615" s="17" t="str">
        <f aca="false">IF(E615="","",IF(H615&lt;0,IF(LEFT(A615,1)="Q","Périmé (en quarantaine)","PÉRIMÉ → déplacer en zone Q"),IF(H615&lt;3,"Péremption &lt; 3 mois",IF(H615&lt;6,"Péremption &lt; 6 mois",""))))</f>
        <v/>
      </c>
      <c r="J615" s="17" t="str">
        <f aca="false">IF(A615="","",IF(COUNTIF(Emplacements!$A$2:$A$1001,A615)=0,"⚠ emplacement inconnu","OK"))</f>
        <v/>
      </c>
      <c r="K615" s="22" t="str">
        <f aca="false">IF(AND(B615&lt;&gt;"",ISNUMBER(SEARCH(Recherche!$C$3,C615&amp;" "&amp;B615&amp;" "&amp;A615&amp;" "&amp;D615))),MAX($K$1:K614)+1,"")</f>
        <v/>
      </c>
    </row>
    <row r="616" customFormat="false" ht="15" hidden="false" customHeight="false" outlineLevel="0" collapsed="false">
      <c r="A616" s="12"/>
      <c r="B616" s="12"/>
      <c r="C616" s="17" t="str">
        <f aca="false">IF(B616="","",IFERROR(INDEX(Produits!$F$2:$F$1001,MATCH(B616,Produits!$A$2:$A$1001,0)),"⚠ code article inconnu"))</f>
        <v/>
      </c>
      <c r="D616" s="12"/>
      <c r="E616" s="23"/>
      <c r="F616" s="24"/>
      <c r="G616" s="23"/>
      <c r="H616" s="21" t="str">
        <f aca="true">IF(E616="","",ROUND((E616-TODAY())/30.4,1))</f>
        <v/>
      </c>
      <c r="I616" s="17" t="str">
        <f aca="false">IF(E616="","",IF(H616&lt;0,IF(LEFT(A616,1)="Q","Périmé (en quarantaine)","PÉRIMÉ → déplacer en zone Q"),IF(H616&lt;3,"Péremption &lt; 3 mois",IF(H616&lt;6,"Péremption &lt; 6 mois",""))))</f>
        <v/>
      </c>
      <c r="J616" s="17" t="str">
        <f aca="false">IF(A616="","",IF(COUNTIF(Emplacements!$A$2:$A$1001,A616)=0,"⚠ emplacement inconnu","OK"))</f>
        <v/>
      </c>
      <c r="K616" s="22" t="str">
        <f aca="false">IF(AND(B616&lt;&gt;"",ISNUMBER(SEARCH(Recherche!$C$3,C616&amp;" "&amp;B616&amp;" "&amp;A616&amp;" "&amp;D616))),MAX($K$1:K615)+1,"")</f>
        <v/>
      </c>
    </row>
    <row r="617" customFormat="false" ht="15" hidden="false" customHeight="false" outlineLevel="0" collapsed="false">
      <c r="A617" s="12"/>
      <c r="B617" s="12"/>
      <c r="C617" s="17" t="str">
        <f aca="false">IF(B617="","",IFERROR(INDEX(Produits!$F$2:$F$1001,MATCH(B617,Produits!$A$2:$A$1001,0)),"⚠ code article inconnu"))</f>
        <v/>
      </c>
      <c r="D617" s="12"/>
      <c r="E617" s="23"/>
      <c r="F617" s="24"/>
      <c r="G617" s="23"/>
      <c r="H617" s="21" t="str">
        <f aca="true">IF(E617="","",ROUND((E617-TODAY())/30.4,1))</f>
        <v/>
      </c>
      <c r="I617" s="17" t="str">
        <f aca="false">IF(E617="","",IF(H617&lt;0,IF(LEFT(A617,1)="Q","Périmé (en quarantaine)","PÉRIMÉ → déplacer en zone Q"),IF(H617&lt;3,"Péremption &lt; 3 mois",IF(H617&lt;6,"Péremption &lt; 6 mois",""))))</f>
        <v/>
      </c>
      <c r="J617" s="17" t="str">
        <f aca="false">IF(A617="","",IF(COUNTIF(Emplacements!$A$2:$A$1001,A617)=0,"⚠ emplacement inconnu","OK"))</f>
        <v/>
      </c>
      <c r="K617" s="22" t="str">
        <f aca="false">IF(AND(B617&lt;&gt;"",ISNUMBER(SEARCH(Recherche!$C$3,C617&amp;" "&amp;B617&amp;" "&amp;A617&amp;" "&amp;D617))),MAX($K$1:K616)+1,"")</f>
        <v/>
      </c>
    </row>
    <row r="618" customFormat="false" ht="15" hidden="false" customHeight="false" outlineLevel="0" collapsed="false">
      <c r="A618" s="12"/>
      <c r="B618" s="12"/>
      <c r="C618" s="17" t="str">
        <f aca="false">IF(B618="","",IFERROR(INDEX(Produits!$F$2:$F$1001,MATCH(B618,Produits!$A$2:$A$1001,0)),"⚠ code article inconnu"))</f>
        <v/>
      </c>
      <c r="D618" s="12"/>
      <c r="E618" s="23"/>
      <c r="F618" s="24"/>
      <c r="G618" s="23"/>
      <c r="H618" s="21" t="str">
        <f aca="true">IF(E618="","",ROUND((E618-TODAY())/30.4,1))</f>
        <v/>
      </c>
      <c r="I618" s="17" t="str">
        <f aca="false">IF(E618="","",IF(H618&lt;0,IF(LEFT(A618,1)="Q","Périmé (en quarantaine)","PÉRIMÉ → déplacer en zone Q"),IF(H618&lt;3,"Péremption &lt; 3 mois",IF(H618&lt;6,"Péremption &lt; 6 mois",""))))</f>
        <v/>
      </c>
      <c r="J618" s="17" t="str">
        <f aca="false">IF(A618="","",IF(COUNTIF(Emplacements!$A$2:$A$1001,A618)=0,"⚠ emplacement inconnu","OK"))</f>
        <v/>
      </c>
      <c r="K618" s="22" t="str">
        <f aca="false">IF(AND(B618&lt;&gt;"",ISNUMBER(SEARCH(Recherche!$C$3,C618&amp;" "&amp;B618&amp;" "&amp;A618&amp;" "&amp;D618))),MAX($K$1:K617)+1,"")</f>
        <v/>
      </c>
    </row>
    <row r="619" customFormat="false" ht="15" hidden="false" customHeight="false" outlineLevel="0" collapsed="false">
      <c r="A619" s="12"/>
      <c r="B619" s="12"/>
      <c r="C619" s="17" t="str">
        <f aca="false">IF(B619="","",IFERROR(INDEX(Produits!$F$2:$F$1001,MATCH(B619,Produits!$A$2:$A$1001,0)),"⚠ code article inconnu"))</f>
        <v/>
      </c>
      <c r="D619" s="12"/>
      <c r="E619" s="23"/>
      <c r="F619" s="24"/>
      <c r="G619" s="23"/>
      <c r="H619" s="21" t="str">
        <f aca="true">IF(E619="","",ROUND((E619-TODAY())/30.4,1))</f>
        <v/>
      </c>
      <c r="I619" s="17" t="str">
        <f aca="false">IF(E619="","",IF(H619&lt;0,IF(LEFT(A619,1)="Q","Périmé (en quarantaine)","PÉRIMÉ → déplacer en zone Q"),IF(H619&lt;3,"Péremption &lt; 3 mois",IF(H619&lt;6,"Péremption &lt; 6 mois",""))))</f>
        <v/>
      </c>
      <c r="J619" s="17" t="str">
        <f aca="false">IF(A619="","",IF(COUNTIF(Emplacements!$A$2:$A$1001,A619)=0,"⚠ emplacement inconnu","OK"))</f>
        <v/>
      </c>
      <c r="K619" s="22" t="str">
        <f aca="false">IF(AND(B619&lt;&gt;"",ISNUMBER(SEARCH(Recherche!$C$3,C619&amp;" "&amp;B619&amp;" "&amp;A619&amp;" "&amp;D619))),MAX($K$1:K618)+1,"")</f>
        <v/>
      </c>
    </row>
    <row r="620" customFormat="false" ht="15" hidden="false" customHeight="false" outlineLevel="0" collapsed="false">
      <c r="A620" s="12"/>
      <c r="B620" s="12"/>
      <c r="C620" s="17" t="str">
        <f aca="false">IF(B620="","",IFERROR(INDEX(Produits!$F$2:$F$1001,MATCH(B620,Produits!$A$2:$A$1001,0)),"⚠ code article inconnu"))</f>
        <v/>
      </c>
      <c r="D620" s="12"/>
      <c r="E620" s="23"/>
      <c r="F620" s="24"/>
      <c r="G620" s="23"/>
      <c r="H620" s="21" t="str">
        <f aca="true">IF(E620="","",ROUND((E620-TODAY())/30.4,1))</f>
        <v/>
      </c>
      <c r="I620" s="17" t="str">
        <f aca="false">IF(E620="","",IF(H620&lt;0,IF(LEFT(A620,1)="Q","Périmé (en quarantaine)","PÉRIMÉ → déplacer en zone Q"),IF(H620&lt;3,"Péremption &lt; 3 mois",IF(H620&lt;6,"Péremption &lt; 6 mois",""))))</f>
        <v/>
      </c>
      <c r="J620" s="17" t="str">
        <f aca="false">IF(A620="","",IF(COUNTIF(Emplacements!$A$2:$A$1001,A620)=0,"⚠ emplacement inconnu","OK"))</f>
        <v/>
      </c>
      <c r="K620" s="22" t="str">
        <f aca="false">IF(AND(B620&lt;&gt;"",ISNUMBER(SEARCH(Recherche!$C$3,C620&amp;" "&amp;B620&amp;" "&amp;A620&amp;" "&amp;D620))),MAX($K$1:K619)+1,"")</f>
        <v/>
      </c>
    </row>
    <row r="621" customFormat="false" ht="15" hidden="false" customHeight="false" outlineLevel="0" collapsed="false">
      <c r="A621" s="12"/>
      <c r="B621" s="12"/>
      <c r="C621" s="17" t="str">
        <f aca="false">IF(B621="","",IFERROR(INDEX(Produits!$F$2:$F$1001,MATCH(B621,Produits!$A$2:$A$1001,0)),"⚠ code article inconnu"))</f>
        <v/>
      </c>
      <c r="D621" s="12"/>
      <c r="E621" s="23"/>
      <c r="F621" s="24"/>
      <c r="G621" s="23"/>
      <c r="H621" s="21" t="str">
        <f aca="true">IF(E621="","",ROUND((E621-TODAY())/30.4,1))</f>
        <v/>
      </c>
      <c r="I621" s="17" t="str">
        <f aca="false">IF(E621="","",IF(H621&lt;0,IF(LEFT(A621,1)="Q","Périmé (en quarantaine)","PÉRIMÉ → déplacer en zone Q"),IF(H621&lt;3,"Péremption &lt; 3 mois",IF(H621&lt;6,"Péremption &lt; 6 mois",""))))</f>
        <v/>
      </c>
      <c r="J621" s="17" t="str">
        <f aca="false">IF(A621="","",IF(COUNTIF(Emplacements!$A$2:$A$1001,A621)=0,"⚠ emplacement inconnu","OK"))</f>
        <v/>
      </c>
      <c r="K621" s="22" t="str">
        <f aca="false">IF(AND(B621&lt;&gt;"",ISNUMBER(SEARCH(Recherche!$C$3,C621&amp;" "&amp;B621&amp;" "&amp;A621&amp;" "&amp;D621))),MAX($K$1:K620)+1,"")</f>
        <v/>
      </c>
    </row>
    <row r="622" customFormat="false" ht="15" hidden="false" customHeight="false" outlineLevel="0" collapsed="false">
      <c r="A622" s="12"/>
      <c r="B622" s="12"/>
      <c r="C622" s="17" t="str">
        <f aca="false">IF(B622="","",IFERROR(INDEX(Produits!$F$2:$F$1001,MATCH(B622,Produits!$A$2:$A$1001,0)),"⚠ code article inconnu"))</f>
        <v/>
      </c>
      <c r="D622" s="12"/>
      <c r="E622" s="23"/>
      <c r="F622" s="24"/>
      <c r="G622" s="23"/>
      <c r="H622" s="21" t="str">
        <f aca="true">IF(E622="","",ROUND((E622-TODAY())/30.4,1))</f>
        <v/>
      </c>
      <c r="I622" s="17" t="str">
        <f aca="false">IF(E622="","",IF(H622&lt;0,IF(LEFT(A622,1)="Q","Périmé (en quarantaine)","PÉRIMÉ → déplacer en zone Q"),IF(H622&lt;3,"Péremption &lt; 3 mois",IF(H622&lt;6,"Péremption &lt; 6 mois",""))))</f>
        <v/>
      </c>
      <c r="J622" s="17" t="str">
        <f aca="false">IF(A622="","",IF(COUNTIF(Emplacements!$A$2:$A$1001,A622)=0,"⚠ emplacement inconnu","OK"))</f>
        <v/>
      </c>
      <c r="K622" s="22" t="str">
        <f aca="false">IF(AND(B622&lt;&gt;"",ISNUMBER(SEARCH(Recherche!$C$3,C622&amp;" "&amp;B622&amp;" "&amp;A622&amp;" "&amp;D622))),MAX($K$1:K621)+1,"")</f>
        <v/>
      </c>
    </row>
    <row r="623" customFormat="false" ht="15" hidden="false" customHeight="false" outlineLevel="0" collapsed="false">
      <c r="A623" s="12"/>
      <c r="B623" s="12"/>
      <c r="C623" s="17" t="str">
        <f aca="false">IF(B623="","",IFERROR(INDEX(Produits!$F$2:$F$1001,MATCH(B623,Produits!$A$2:$A$1001,0)),"⚠ code article inconnu"))</f>
        <v/>
      </c>
      <c r="D623" s="12"/>
      <c r="E623" s="23"/>
      <c r="F623" s="24"/>
      <c r="G623" s="23"/>
      <c r="H623" s="21" t="str">
        <f aca="true">IF(E623="","",ROUND((E623-TODAY())/30.4,1))</f>
        <v/>
      </c>
      <c r="I623" s="17" t="str">
        <f aca="false">IF(E623="","",IF(H623&lt;0,IF(LEFT(A623,1)="Q","Périmé (en quarantaine)","PÉRIMÉ → déplacer en zone Q"),IF(H623&lt;3,"Péremption &lt; 3 mois",IF(H623&lt;6,"Péremption &lt; 6 mois",""))))</f>
        <v/>
      </c>
      <c r="J623" s="17" t="str">
        <f aca="false">IF(A623="","",IF(COUNTIF(Emplacements!$A$2:$A$1001,A623)=0,"⚠ emplacement inconnu","OK"))</f>
        <v/>
      </c>
      <c r="K623" s="22" t="str">
        <f aca="false">IF(AND(B623&lt;&gt;"",ISNUMBER(SEARCH(Recherche!$C$3,C623&amp;" "&amp;B623&amp;" "&amp;A623&amp;" "&amp;D623))),MAX($K$1:K622)+1,"")</f>
        <v/>
      </c>
    </row>
    <row r="624" customFormat="false" ht="15" hidden="false" customHeight="false" outlineLevel="0" collapsed="false">
      <c r="A624" s="12"/>
      <c r="B624" s="12"/>
      <c r="C624" s="17" t="str">
        <f aca="false">IF(B624="","",IFERROR(INDEX(Produits!$F$2:$F$1001,MATCH(B624,Produits!$A$2:$A$1001,0)),"⚠ code article inconnu"))</f>
        <v/>
      </c>
      <c r="D624" s="12"/>
      <c r="E624" s="23"/>
      <c r="F624" s="24"/>
      <c r="G624" s="23"/>
      <c r="H624" s="21" t="str">
        <f aca="true">IF(E624="","",ROUND((E624-TODAY())/30.4,1))</f>
        <v/>
      </c>
      <c r="I624" s="17" t="str">
        <f aca="false">IF(E624="","",IF(H624&lt;0,IF(LEFT(A624,1)="Q","Périmé (en quarantaine)","PÉRIMÉ → déplacer en zone Q"),IF(H624&lt;3,"Péremption &lt; 3 mois",IF(H624&lt;6,"Péremption &lt; 6 mois",""))))</f>
        <v/>
      </c>
      <c r="J624" s="17" t="str">
        <f aca="false">IF(A624="","",IF(COUNTIF(Emplacements!$A$2:$A$1001,A624)=0,"⚠ emplacement inconnu","OK"))</f>
        <v/>
      </c>
      <c r="K624" s="22" t="str">
        <f aca="false">IF(AND(B624&lt;&gt;"",ISNUMBER(SEARCH(Recherche!$C$3,C624&amp;" "&amp;B624&amp;" "&amp;A624&amp;" "&amp;D624))),MAX($K$1:K623)+1,"")</f>
        <v/>
      </c>
    </row>
    <row r="625" customFormat="false" ht="15" hidden="false" customHeight="false" outlineLevel="0" collapsed="false">
      <c r="A625" s="12"/>
      <c r="B625" s="12"/>
      <c r="C625" s="17" t="str">
        <f aca="false">IF(B625="","",IFERROR(INDEX(Produits!$F$2:$F$1001,MATCH(B625,Produits!$A$2:$A$1001,0)),"⚠ code article inconnu"))</f>
        <v/>
      </c>
      <c r="D625" s="12"/>
      <c r="E625" s="23"/>
      <c r="F625" s="24"/>
      <c r="G625" s="23"/>
      <c r="H625" s="21" t="str">
        <f aca="true">IF(E625="","",ROUND((E625-TODAY())/30.4,1))</f>
        <v/>
      </c>
      <c r="I625" s="17" t="str">
        <f aca="false">IF(E625="","",IF(H625&lt;0,IF(LEFT(A625,1)="Q","Périmé (en quarantaine)","PÉRIMÉ → déplacer en zone Q"),IF(H625&lt;3,"Péremption &lt; 3 mois",IF(H625&lt;6,"Péremption &lt; 6 mois",""))))</f>
        <v/>
      </c>
      <c r="J625" s="17" t="str">
        <f aca="false">IF(A625="","",IF(COUNTIF(Emplacements!$A$2:$A$1001,A625)=0,"⚠ emplacement inconnu","OK"))</f>
        <v/>
      </c>
      <c r="K625" s="22" t="str">
        <f aca="false">IF(AND(B625&lt;&gt;"",ISNUMBER(SEARCH(Recherche!$C$3,C625&amp;" "&amp;B625&amp;" "&amp;A625&amp;" "&amp;D625))),MAX($K$1:K624)+1,"")</f>
        <v/>
      </c>
    </row>
    <row r="626" customFormat="false" ht="15" hidden="false" customHeight="false" outlineLevel="0" collapsed="false">
      <c r="A626" s="12"/>
      <c r="B626" s="12"/>
      <c r="C626" s="17" t="str">
        <f aca="false">IF(B626="","",IFERROR(INDEX(Produits!$F$2:$F$1001,MATCH(B626,Produits!$A$2:$A$1001,0)),"⚠ code article inconnu"))</f>
        <v/>
      </c>
      <c r="D626" s="12"/>
      <c r="E626" s="23"/>
      <c r="F626" s="24"/>
      <c r="G626" s="23"/>
      <c r="H626" s="21" t="str">
        <f aca="true">IF(E626="","",ROUND((E626-TODAY())/30.4,1))</f>
        <v/>
      </c>
      <c r="I626" s="17" t="str">
        <f aca="false">IF(E626="","",IF(H626&lt;0,IF(LEFT(A626,1)="Q","Périmé (en quarantaine)","PÉRIMÉ → déplacer en zone Q"),IF(H626&lt;3,"Péremption &lt; 3 mois",IF(H626&lt;6,"Péremption &lt; 6 mois",""))))</f>
        <v/>
      </c>
      <c r="J626" s="17" t="str">
        <f aca="false">IF(A626="","",IF(COUNTIF(Emplacements!$A$2:$A$1001,A626)=0,"⚠ emplacement inconnu","OK"))</f>
        <v/>
      </c>
      <c r="K626" s="22" t="str">
        <f aca="false">IF(AND(B626&lt;&gt;"",ISNUMBER(SEARCH(Recherche!$C$3,C626&amp;" "&amp;B626&amp;" "&amp;A626&amp;" "&amp;D626))),MAX($K$1:K625)+1,"")</f>
        <v/>
      </c>
    </row>
    <row r="627" customFormat="false" ht="15" hidden="false" customHeight="false" outlineLevel="0" collapsed="false">
      <c r="A627" s="12"/>
      <c r="B627" s="12"/>
      <c r="C627" s="17" t="str">
        <f aca="false">IF(B627="","",IFERROR(INDEX(Produits!$F$2:$F$1001,MATCH(B627,Produits!$A$2:$A$1001,0)),"⚠ code article inconnu"))</f>
        <v/>
      </c>
      <c r="D627" s="12"/>
      <c r="E627" s="23"/>
      <c r="F627" s="24"/>
      <c r="G627" s="23"/>
      <c r="H627" s="21" t="str">
        <f aca="true">IF(E627="","",ROUND((E627-TODAY())/30.4,1))</f>
        <v/>
      </c>
      <c r="I627" s="17" t="str">
        <f aca="false">IF(E627="","",IF(H627&lt;0,IF(LEFT(A627,1)="Q","Périmé (en quarantaine)","PÉRIMÉ → déplacer en zone Q"),IF(H627&lt;3,"Péremption &lt; 3 mois",IF(H627&lt;6,"Péremption &lt; 6 mois",""))))</f>
        <v/>
      </c>
      <c r="J627" s="17" t="str">
        <f aca="false">IF(A627="","",IF(COUNTIF(Emplacements!$A$2:$A$1001,A627)=0,"⚠ emplacement inconnu","OK"))</f>
        <v/>
      </c>
      <c r="K627" s="22" t="str">
        <f aca="false">IF(AND(B627&lt;&gt;"",ISNUMBER(SEARCH(Recherche!$C$3,C627&amp;" "&amp;B627&amp;" "&amp;A627&amp;" "&amp;D627))),MAX($K$1:K626)+1,"")</f>
        <v/>
      </c>
    </row>
    <row r="628" customFormat="false" ht="15" hidden="false" customHeight="false" outlineLevel="0" collapsed="false">
      <c r="A628" s="12"/>
      <c r="B628" s="12"/>
      <c r="C628" s="17" t="str">
        <f aca="false">IF(B628="","",IFERROR(INDEX(Produits!$F$2:$F$1001,MATCH(B628,Produits!$A$2:$A$1001,0)),"⚠ code article inconnu"))</f>
        <v/>
      </c>
      <c r="D628" s="12"/>
      <c r="E628" s="23"/>
      <c r="F628" s="24"/>
      <c r="G628" s="23"/>
      <c r="H628" s="21" t="str">
        <f aca="true">IF(E628="","",ROUND((E628-TODAY())/30.4,1))</f>
        <v/>
      </c>
      <c r="I628" s="17" t="str">
        <f aca="false">IF(E628="","",IF(H628&lt;0,IF(LEFT(A628,1)="Q","Périmé (en quarantaine)","PÉRIMÉ → déplacer en zone Q"),IF(H628&lt;3,"Péremption &lt; 3 mois",IF(H628&lt;6,"Péremption &lt; 6 mois",""))))</f>
        <v/>
      </c>
      <c r="J628" s="17" t="str">
        <f aca="false">IF(A628="","",IF(COUNTIF(Emplacements!$A$2:$A$1001,A628)=0,"⚠ emplacement inconnu","OK"))</f>
        <v/>
      </c>
      <c r="K628" s="22" t="str">
        <f aca="false">IF(AND(B628&lt;&gt;"",ISNUMBER(SEARCH(Recherche!$C$3,C628&amp;" "&amp;B628&amp;" "&amp;A628&amp;" "&amp;D628))),MAX($K$1:K627)+1,"")</f>
        <v/>
      </c>
    </row>
    <row r="629" customFormat="false" ht="15" hidden="false" customHeight="false" outlineLevel="0" collapsed="false">
      <c r="A629" s="12"/>
      <c r="B629" s="12"/>
      <c r="C629" s="17" t="str">
        <f aca="false">IF(B629="","",IFERROR(INDEX(Produits!$F$2:$F$1001,MATCH(B629,Produits!$A$2:$A$1001,0)),"⚠ code article inconnu"))</f>
        <v/>
      </c>
      <c r="D629" s="12"/>
      <c r="E629" s="23"/>
      <c r="F629" s="24"/>
      <c r="G629" s="23"/>
      <c r="H629" s="21" t="str">
        <f aca="true">IF(E629="","",ROUND((E629-TODAY())/30.4,1))</f>
        <v/>
      </c>
      <c r="I629" s="17" t="str">
        <f aca="false">IF(E629="","",IF(H629&lt;0,IF(LEFT(A629,1)="Q","Périmé (en quarantaine)","PÉRIMÉ → déplacer en zone Q"),IF(H629&lt;3,"Péremption &lt; 3 mois",IF(H629&lt;6,"Péremption &lt; 6 mois",""))))</f>
        <v/>
      </c>
      <c r="J629" s="17" t="str">
        <f aca="false">IF(A629="","",IF(COUNTIF(Emplacements!$A$2:$A$1001,A629)=0,"⚠ emplacement inconnu","OK"))</f>
        <v/>
      </c>
      <c r="K629" s="22" t="str">
        <f aca="false">IF(AND(B629&lt;&gt;"",ISNUMBER(SEARCH(Recherche!$C$3,C629&amp;" "&amp;B629&amp;" "&amp;A629&amp;" "&amp;D629))),MAX($K$1:K628)+1,"")</f>
        <v/>
      </c>
    </row>
    <row r="630" customFormat="false" ht="15" hidden="false" customHeight="false" outlineLevel="0" collapsed="false">
      <c r="A630" s="12"/>
      <c r="B630" s="12"/>
      <c r="C630" s="17" t="str">
        <f aca="false">IF(B630="","",IFERROR(INDEX(Produits!$F$2:$F$1001,MATCH(B630,Produits!$A$2:$A$1001,0)),"⚠ code article inconnu"))</f>
        <v/>
      </c>
      <c r="D630" s="12"/>
      <c r="E630" s="23"/>
      <c r="F630" s="24"/>
      <c r="G630" s="23"/>
      <c r="H630" s="21" t="str">
        <f aca="true">IF(E630="","",ROUND((E630-TODAY())/30.4,1))</f>
        <v/>
      </c>
      <c r="I630" s="17" t="str">
        <f aca="false">IF(E630="","",IF(H630&lt;0,IF(LEFT(A630,1)="Q","Périmé (en quarantaine)","PÉRIMÉ → déplacer en zone Q"),IF(H630&lt;3,"Péremption &lt; 3 mois",IF(H630&lt;6,"Péremption &lt; 6 mois",""))))</f>
        <v/>
      </c>
      <c r="J630" s="17" t="str">
        <f aca="false">IF(A630="","",IF(COUNTIF(Emplacements!$A$2:$A$1001,A630)=0,"⚠ emplacement inconnu","OK"))</f>
        <v/>
      </c>
      <c r="K630" s="22" t="str">
        <f aca="false">IF(AND(B630&lt;&gt;"",ISNUMBER(SEARCH(Recherche!$C$3,C630&amp;" "&amp;B630&amp;" "&amp;A630&amp;" "&amp;D630))),MAX($K$1:K629)+1,"")</f>
        <v/>
      </c>
    </row>
    <row r="631" customFormat="false" ht="15" hidden="false" customHeight="false" outlineLevel="0" collapsed="false">
      <c r="A631" s="12"/>
      <c r="B631" s="12"/>
      <c r="C631" s="17" t="str">
        <f aca="false">IF(B631="","",IFERROR(INDEX(Produits!$F$2:$F$1001,MATCH(B631,Produits!$A$2:$A$1001,0)),"⚠ code article inconnu"))</f>
        <v/>
      </c>
      <c r="D631" s="12"/>
      <c r="E631" s="23"/>
      <c r="F631" s="24"/>
      <c r="G631" s="23"/>
      <c r="H631" s="21" t="str">
        <f aca="true">IF(E631="","",ROUND((E631-TODAY())/30.4,1))</f>
        <v/>
      </c>
      <c r="I631" s="17" t="str">
        <f aca="false">IF(E631="","",IF(H631&lt;0,IF(LEFT(A631,1)="Q","Périmé (en quarantaine)","PÉRIMÉ → déplacer en zone Q"),IF(H631&lt;3,"Péremption &lt; 3 mois",IF(H631&lt;6,"Péremption &lt; 6 mois",""))))</f>
        <v/>
      </c>
      <c r="J631" s="17" t="str">
        <f aca="false">IF(A631="","",IF(COUNTIF(Emplacements!$A$2:$A$1001,A631)=0,"⚠ emplacement inconnu","OK"))</f>
        <v/>
      </c>
      <c r="K631" s="22" t="str">
        <f aca="false">IF(AND(B631&lt;&gt;"",ISNUMBER(SEARCH(Recherche!$C$3,C631&amp;" "&amp;B631&amp;" "&amp;A631&amp;" "&amp;D631))),MAX($K$1:K630)+1,"")</f>
        <v/>
      </c>
    </row>
    <row r="632" customFormat="false" ht="15" hidden="false" customHeight="false" outlineLevel="0" collapsed="false">
      <c r="A632" s="12"/>
      <c r="B632" s="12"/>
      <c r="C632" s="17" t="str">
        <f aca="false">IF(B632="","",IFERROR(INDEX(Produits!$F$2:$F$1001,MATCH(B632,Produits!$A$2:$A$1001,0)),"⚠ code article inconnu"))</f>
        <v/>
      </c>
      <c r="D632" s="12"/>
      <c r="E632" s="23"/>
      <c r="F632" s="24"/>
      <c r="G632" s="23"/>
      <c r="H632" s="21" t="str">
        <f aca="true">IF(E632="","",ROUND((E632-TODAY())/30.4,1))</f>
        <v/>
      </c>
      <c r="I632" s="17" t="str">
        <f aca="false">IF(E632="","",IF(H632&lt;0,IF(LEFT(A632,1)="Q","Périmé (en quarantaine)","PÉRIMÉ → déplacer en zone Q"),IF(H632&lt;3,"Péremption &lt; 3 mois",IF(H632&lt;6,"Péremption &lt; 6 mois",""))))</f>
        <v/>
      </c>
      <c r="J632" s="17" t="str">
        <f aca="false">IF(A632="","",IF(COUNTIF(Emplacements!$A$2:$A$1001,A632)=0,"⚠ emplacement inconnu","OK"))</f>
        <v/>
      </c>
      <c r="K632" s="22" t="str">
        <f aca="false">IF(AND(B632&lt;&gt;"",ISNUMBER(SEARCH(Recherche!$C$3,C632&amp;" "&amp;B632&amp;" "&amp;A632&amp;" "&amp;D632))),MAX($K$1:K631)+1,"")</f>
        <v/>
      </c>
    </row>
    <row r="633" customFormat="false" ht="15" hidden="false" customHeight="false" outlineLevel="0" collapsed="false">
      <c r="A633" s="12"/>
      <c r="B633" s="12"/>
      <c r="C633" s="17" t="str">
        <f aca="false">IF(B633="","",IFERROR(INDEX(Produits!$F$2:$F$1001,MATCH(B633,Produits!$A$2:$A$1001,0)),"⚠ code article inconnu"))</f>
        <v/>
      </c>
      <c r="D633" s="12"/>
      <c r="E633" s="23"/>
      <c r="F633" s="24"/>
      <c r="G633" s="23"/>
      <c r="H633" s="21" t="str">
        <f aca="true">IF(E633="","",ROUND((E633-TODAY())/30.4,1))</f>
        <v/>
      </c>
      <c r="I633" s="17" t="str">
        <f aca="false">IF(E633="","",IF(H633&lt;0,IF(LEFT(A633,1)="Q","Périmé (en quarantaine)","PÉRIMÉ → déplacer en zone Q"),IF(H633&lt;3,"Péremption &lt; 3 mois",IF(H633&lt;6,"Péremption &lt; 6 mois",""))))</f>
        <v/>
      </c>
      <c r="J633" s="17" t="str">
        <f aca="false">IF(A633="","",IF(COUNTIF(Emplacements!$A$2:$A$1001,A633)=0,"⚠ emplacement inconnu","OK"))</f>
        <v/>
      </c>
      <c r="K633" s="22" t="str">
        <f aca="false">IF(AND(B633&lt;&gt;"",ISNUMBER(SEARCH(Recherche!$C$3,C633&amp;" "&amp;B633&amp;" "&amp;A633&amp;" "&amp;D633))),MAX($K$1:K632)+1,"")</f>
        <v/>
      </c>
    </row>
    <row r="634" customFormat="false" ht="15" hidden="false" customHeight="false" outlineLevel="0" collapsed="false">
      <c r="A634" s="12"/>
      <c r="B634" s="12"/>
      <c r="C634" s="17" t="str">
        <f aca="false">IF(B634="","",IFERROR(INDEX(Produits!$F$2:$F$1001,MATCH(B634,Produits!$A$2:$A$1001,0)),"⚠ code article inconnu"))</f>
        <v/>
      </c>
      <c r="D634" s="12"/>
      <c r="E634" s="23"/>
      <c r="F634" s="24"/>
      <c r="G634" s="23"/>
      <c r="H634" s="21" t="str">
        <f aca="true">IF(E634="","",ROUND((E634-TODAY())/30.4,1))</f>
        <v/>
      </c>
      <c r="I634" s="17" t="str">
        <f aca="false">IF(E634="","",IF(H634&lt;0,IF(LEFT(A634,1)="Q","Périmé (en quarantaine)","PÉRIMÉ → déplacer en zone Q"),IF(H634&lt;3,"Péremption &lt; 3 mois",IF(H634&lt;6,"Péremption &lt; 6 mois",""))))</f>
        <v/>
      </c>
      <c r="J634" s="17" t="str">
        <f aca="false">IF(A634="","",IF(COUNTIF(Emplacements!$A$2:$A$1001,A634)=0,"⚠ emplacement inconnu","OK"))</f>
        <v/>
      </c>
      <c r="K634" s="22" t="str">
        <f aca="false">IF(AND(B634&lt;&gt;"",ISNUMBER(SEARCH(Recherche!$C$3,C634&amp;" "&amp;B634&amp;" "&amp;A634&amp;" "&amp;D634))),MAX($K$1:K633)+1,"")</f>
        <v/>
      </c>
    </row>
    <row r="635" customFormat="false" ht="15" hidden="false" customHeight="false" outlineLevel="0" collapsed="false">
      <c r="A635" s="12"/>
      <c r="B635" s="12"/>
      <c r="C635" s="17" t="str">
        <f aca="false">IF(B635="","",IFERROR(INDEX(Produits!$F$2:$F$1001,MATCH(B635,Produits!$A$2:$A$1001,0)),"⚠ code article inconnu"))</f>
        <v/>
      </c>
      <c r="D635" s="12"/>
      <c r="E635" s="23"/>
      <c r="F635" s="24"/>
      <c r="G635" s="23"/>
      <c r="H635" s="21" t="str">
        <f aca="true">IF(E635="","",ROUND((E635-TODAY())/30.4,1))</f>
        <v/>
      </c>
      <c r="I635" s="17" t="str">
        <f aca="false">IF(E635="","",IF(H635&lt;0,IF(LEFT(A635,1)="Q","Périmé (en quarantaine)","PÉRIMÉ → déplacer en zone Q"),IF(H635&lt;3,"Péremption &lt; 3 mois",IF(H635&lt;6,"Péremption &lt; 6 mois",""))))</f>
        <v/>
      </c>
      <c r="J635" s="17" t="str">
        <f aca="false">IF(A635="","",IF(COUNTIF(Emplacements!$A$2:$A$1001,A635)=0,"⚠ emplacement inconnu","OK"))</f>
        <v/>
      </c>
      <c r="K635" s="22" t="str">
        <f aca="false">IF(AND(B635&lt;&gt;"",ISNUMBER(SEARCH(Recherche!$C$3,C635&amp;" "&amp;B635&amp;" "&amp;A635&amp;" "&amp;D635))),MAX($K$1:K634)+1,"")</f>
        <v/>
      </c>
    </row>
    <row r="636" customFormat="false" ht="15" hidden="false" customHeight="false" outlineLevel="0" collapsed="false">
      <c r="A636" s="12"/>
      <c r="B636" s="12"/>
      <c r="C636" s="17" t="str">
        <f aca="false">IF(B636="","",IFERROR(INDEX(Produits!$F$2:$F$1001,MATCH(B636,Produits!$A$2:$A$1001,0)),"⚠ code article inconnu"))</f>
        <v/>
      </c>
      <c r="D636" s="12"/>
      <c r="E636" s="23"/>
      <c r="F636" s="24"/>
      <c r="G636" s="23"/>
      <c r="H636" s="21" t="str">
        <f aca="true">IF(E636="","",ROUND((E636-TODAY())/30.4,1))</f>
        <v/>
      </c>
      <c r="I636" s="17" t="str">
        <f aca="false">IF(E636="","",IF(H636&lt;0,IF(LEFT(A636,1)="Q","Périmé (en quarantaine)","PÉRIMÉ → déplacer en zone Q"),IF(H636&lt;3,"Péremption &lt; 3 mois",IF(H636&lt;6,"Péremption &lt; 6 mois",""))))</f>
        <v/>
      </c>
      <c r="J636" s="17" t="str">
        <f aca="false">IF(A636="","",IF(COUNTIF(Emplacements!$A$2:$A$1001,A636)=0,"⚠ emplacement inconnu","OK"))</f>
        <v/>
      </c>
      <c r="K636" s="22" t="str">
        <f aca="false">IF(AND(B636&lt;&gt;"",ISNUMBER(SEARCH(Recherche!$C$3,C636&amp;" "&amp;B636&amp;" "&amp;A636&amp;" "&amp;D636))),MAX($K$1:K635)+1,"")</f>
        <v/>
      </c>
    </row>
    <row r="637" customFormat="false" ht="15" hidden="false" customHeight="false" outlineLevel="0" collapsed="false">
      <c r="A637" s="12"/>
      <c r="B637" s="12"/>
      <c r="C637" s="17" t="str">
        <f aca="false">IF(B637="","",IFERROR(INDEX(Produits!$F$2:$F$1001,MATCH(B637,Produits!$A$2:$A$1001,0)),"⚠ code article inconnu"))</f>
        <v/>
      </c>
      <c r="D637" s="12"/>
      <c r="E637" s="23"/>
      <c r="F637" s="24"/>
      <c r="G637" s="23"/>
      <c r="H637" s="21" t="str">
        <f aca="true">IF(E637="","",ROUND((E637-TODAY())/30.4,1))</f>
        <v/>
      </c>
      <c r="I637" s="17" t="str">
        <f aca="false">IF(E637="","",IF(H637&lt;0,IF(LEFT(A637,1)="Q","Périmé (en quarantaine)","PÉRIMÉ → déplacer en zone Q"),IF(H637&lt;3,"Péremption &lt; 3 mois",IF(H637&lt;6,"Péremption &lt; 6 mois",""))))</f>
        <v/>
      </c>
      <c r="J637" s="17" t="str">
        <f aca="false">IF(A637="","",IF(COUNTIF(Emplacements!$A$2:$A$1001,A637)=0,"⚠ emplacement inconnu","OK"))</f>
        <v/>
      </c>
      <c r="K637" s="22" t="str">
        <f aca="false">IF(AND(B637&lt;&gt;"",ISNUMBER(SEARCH(Recherche!$C$3,C637&amp;" "&amp;B637&amp;" "&amp;A637&amp;" "&amp;D637))),MAX($K$1:K636)+1,"")</f>
        <v/>
      </c>
    </row>
    <row r="638" customFormat="false" ht="15" hidden="false" customHeight="false" outlineLevel="0" collapsed="false">
      <c r="A638" s="12"/>
      <c r="B638" s="12"/>
      <c r="C638" s="17" t="str">
        <f aca="false">IF(B638="","",IFERROR(INDEX(Produits!$F$2:$F$1001,MATCH(B638,Produits!$A$2:$A$1001,0)),"⚠ code article inconnu"))</f>
        <v/>
      </c>
      <c r="D638" s="12"/>
      <c r="E638" s="23"/>
      <c r="F638" s="24"/>
      <c r="G638" s="23"/>
      <c r="H638" s="21" t="str">
        <f aca="true">IF(E638="","",ROUND((E638-TODAY())/30.4,1))</f>
        <v/>
      </c>
      <c r="I638" s="17" t="str">
        <f aca="false">IF(E638="","",IF(H638&lt;0,IF(LEFT(A638,1)="Q","Périmé (en quarantaine)","PÉRIMÉ → déplacer en zone Q"),IF(H638&lt;3,"Péremption &lt; 3 mois",IF(H638&lt;6,"Péremption &lt; 6 mois",""))))</f>
        <v/>
      </c>
      <c r="J638" s="17" t="str">
        <f aca="false">IF(A638="","",IF(COUNTIF(Emplacements!$A$2:$A$1001,A638)=0,"⚠ emplacement inconnu","OK"))</f>
        <v/>
      </c>
      <c r="K638" s="22" t="str">
        <f aca="false">IF(AND(B638&lt;&gt;"",ISNUMBER(SEARCH(Recherche!$C$3,C638&amp;" "&amp;B638&amp;" "&amp;A638&amp;" "&amp;D638))),MAX($K$1:K637)+1,"")</f>
        <v/>
      </c>
    </row>
    <row r="639" customFormat="false" ht="15" hidden="false" customHeight="false" outlineLevel="0" collapsed="false">
      <c r="A639" s="12"/>
      <c r="B639" s="12"/>
      <c r="C639" s="17" t="str">
        <f aca="false">IF(B639="","",IFERROR(INDEX(Produits!$F$2:$F$1001,MATCH(B639,Produits!$A$2:$A$1001,0)),"⚠ code article inconnu"))</f>
        <v/>
      </c>
      <c r="D639" s="12"/>
      <c r="E639" s="23"/>
      <c r="F639" s="24"/>
      <c r="G639" s="23"/>
      <c r="H639" s="21" t="str">
        <f aca="true">IF(E639="","",ROUND((E639-TODAY())/30.4,1))</f>
        <v/>
      </c>
      <c r="I639" s="17" t="str">
        <f aca="false">IF(E639="","",IF(H639&lt;0,IF(LEFT(A639,1)="Q","Périmé (en quarantaine)","PÉRIMÉ → déplacer en zone Q"),IF(H639&lt;3,"Péremption &lt; 3 mois",IF(H639&lt;6,"Péremption &lt; 6 mois",""))))</f>
        <v/>
      </c>
      <c r="J639" s="17" t="str">
        <f aca="false">IF(A639="","",IF(COUNTIF(Emplacements!$A$2:$A$1001,A639)=0,"⚠ emplacement inconnu","OK"))</f>
        <v/>
      </c>
      <c r="K639" s="22" t="str">
        <f aca="false">IF(AND(B639&lt;&gt;"",ISNUMBER(SEARCH(Recherche!$C$3,C639&amp;" "&amp;B639&amp;" "&amp;A639&amp;" "&amp;D639))),MAX($K$1:K638)+1,"")</f>
        <v/>
      </c>
    </row>
    <row r="640" customFormat="false" ht="15" hidden="false" customHeight="false" outlineLevel="0" collapsed="false">
      <c r="A640" s="12"/>
      <c r="B640" s="12"/>
      <c r="C640" s="17" t="str">
        <f aca="false">IF(B640="","",IFERROR(INDEX(Produits!$F$2:$F$1001,MATCH(B640,Produits!$A$2:$A$1001,0)),"⚠ code article inconnu"))</f>
        <v/>
      </c>
      <c r="D640" s="12"/>
      <c r="E640" s="23"/>
      <c r="F640" s="24"/>
      <c r="G640" s="23"/>
      <c r="H640" s="21" t="str">
        <f aca="true">IF(E640="","",ROUND((E640-TODAY())/30.4,1))</f>
        <v/>
      </c>
      <c r="I640" s="17" t="str">
        <f aca="false">IF(E640="","",IF(H640&lt;0,IF(LEFT(A640,1)="Q","Périmé (en quarantaine)","PÉRIMÉ → déplacer en zone Q"),IF(H640&lt;3,"Péremption &lt; 3 mois",IF(H640&lt;6,"Péremption &lt; 6 mois",""))))</f>
        <v/>
      </c>
      <c r="J640" s="17" t="str">
        <f aca="false">IF(A640="","",IF(COUNTIF(Emplacements!$A$2:$A$1001,A640)=0,"⚠ emplacement inconnu","OK"))</f>
        <v/>
      </c>
      <c r="K640" s="22" t="str">
        <f aca="false">IF(AND(B640&lt;&gt;"",ISNUMBER(SEARCH(Recherche!$C$3,C640&amp;" "&amp;B640&amp;" "&amp;A640&amp;" "&amp;D640))),MAX($K$1:K639)+1,"")</f>
        <v/>
      </c>
    </row>
    <row r="641" customFormat="false" ht="15" hidden="false" customHeight="false" outlineLevel="0" collapsed="false">
      <c r="A641" s="12"/>
      <c r="B641" s="12"/>
      <c r="C641" s="17" t="str">
        <f aca="false">IF(B641="","",IFERROR(INDEX(Produits!$F$2:$F$1001,MATCH(B641,Produits!$A$2:$A$1001,0)),"⚠ code article inconnu"))</f>
        <v/>
      </c>
      <c r="D641" s="12"/>
      <c r="E641" s="23"/>
      <c r="F641" s="24"/>
      <c r="G641" s="23"/>
      <c r="H641" s="21" t="str">
        <f aca="true">IF(E641="","",ROUND((E641-TODAY())/30.4,1))</f>
        <v/>
      </c>
      <c r="I641" s="17" t="str">
        <f aca="false">IF(E641="","",IF(H641&lt;0,IF(LEFT(A641,1)="Q","Périmé (en quarantaine)","PÉRIMÉ → déplacer en zone Q"),IF(H641&lt;3,"Péremption &lt; 3 mois",IF(H641&lt;6,"Péremption &lt; 6 mois",""))))</f>
        <v/>
      </c>
      <c r="J641" s="17" t="str">
        <f aca="false">IF(A641="","",IF(COUNTIF(Emplacements!$A$2:$A$1001,A641)=0,"⚠ emplacement inconnu","OK"))</f>
        <v/>
      </c>
      <c r="K641" s="22" t="str">
        <f aca="false">IF(AND(B641&lt;&gt;"",ISNUMBER(SEARCH(Recherche!$C$3,C641&amp;" "&amp;B641&amp;" "&amp;A641&amp;" "&amp;D641))),MAX($K$1:K640)+1,"")</f>
        <v/>
      </c>
    </row>
    <row r="642" customFormat="false" ht="15" hidden="false" customHeight="false" outlineLevel="0" collapsed="false">
      <c r="A642" s="12"/>
      <c r="B642" s="12"/>
      <c r="C642" s="17" t="str">
        <f aca="false">IF(B642="","",IFERROR(INDEX(Produits!$F$2:$F$1001,MATCH(B642,Produits!$A$2:$A$1001,0)),"⚠ code article inconnu"))</f>
        <v/>
      </c>
      <c r="D642" s="12"/>
      <c r="E642" s="23"/>
      <c r="F642" s="24"/>
      <c r="G642" s="23"/>
      <c r="H642" s="21" t="str">
        <f aca="true">IF(E642="","",ROUND((E642-TODAY())/30.4,1))</f>
        <v/>
      </c>
      <c r="I642" s="17" t="str">
        <f aca="false">IF(E642="","",IF(H642&lt;0,IF(LEFT(A642,1)="Q","Périmé (en quarantaine)","PÉRIMÉ → déplacer en zone Q"),IF(H642&lt;3,"Péremption &lt; 3 mois",IF(H642&lt;6,"Péremption &lt; 6 mois",""))))</f>
        <v/>
      </c>
      <c r="J642" s="17" t="str">
        <f aca="false">IF(A642="","",IF(COUNTIF(Emplacements!$A$2:$A$1001,A642)=0,"⚠ emplacement inconnu","OK"))</f>
        <v/>
      </c>
      <c r="K642" s="22" t="str">
        <f aca="false">IF(AND(B642&lt;&gt;"",ISNUMBER(SEARCH(Recherche!$C$3,C642&amp;" "&amp;B642&amp;" "&amp;A642&amp;" "&amp;D642))),MAX($K$1:K641)+1,"")</f>
        <v/>
      </c>
    </row>
    <row r="643" customFormat="false" ht="15" hidden="false" customHeight="false" outlineLevel="0" collapsed="false">
      <c r="A643" s="12"/>
      <c r="B643" s="12"/>
      <c r="C643" s="17" t="str">
        <f aca="false">IF(B643="","",IFERROR(INDEX(Produits!$F$2:$F$1001,MATCH(B643,Produits!$A$2:$A$1001,0)),"⚠ code article inconnu"))</f>
        <v/>
      </c>
      <c r="D643" s="12"/>
      <c r="E643" s="23"/>
      <c r="F643" s="24"/>
      <c r="G643" s="23"/>
      <c r="H643" s="21" t="str">
        <f aca="true">IF(E643="","",ROUND((E643-TODAY())/30.4,1))</f>
        <v/>
      </c>
      <c r="I643" s="17" t="str">
        <f aca="false">IF(E643="","",IF(H643&lt;0,IF(LEFT(A643,1)="Q","Périmé (en quarantaine)","PÉRIMÉ → déplacer en zone Q"),IF(H643&lt;3,"Péremption &lt; 3 mois",IF(H643&lt;6,"Péremption &lt; 6 mois",""))))</f>
        <v/>
      </c>
      <c r="J643" s="17" t="str">
        <f aca="false">IF(A643="","",IF(COUNTIF(Emplacements!$A$2:$A$1001,A643)=0,"⚠ emplacement inconnu","OK"))</f>
        <v/>
      </c>
      <c r="K643" s="22" t="str">
        <f aca="false">IF(AND(B643&lt;&gt;"",ISNUMBER(SEARCH(Recherche!$C$3,C643&amp;" "&amp;B643&amp;" "&amp;A643&amp;" "&amp;D643))),MAX($K$1:K642)+1,"")</f>
        <v/>
      </c>
    </row>
    <row r="644" customFormat="false" ht="15" hidden="false" customHeight="false" outlineLevel="0" collapsed="false">
      <c r="A644" s="12"/>
      <c r="B644" s="12"/>
      <c r="C644" s="17" t="str">
        <f aca="false">IF(B644="","",IFERROR(INDEX(Produits!$F$2:$F$1001,MATCH(B644,Produits!$A$2:$A$1001,0)),"⚠ code article inconnu"))</f>
        <v/>
      </c>
      <c r="D644" s="12"/>
      <c r="E644" s="23"/>
      <c r="F644" s="24"/>
      <c r="G644" s="23"/>
      <c r="H644" s="21" t="str">
        <f aca="true">IF(E644="","",ROUND((E644-TODAY())/30.4,1))</f>
        <v/>
      </c>
      <c r="I644" s="17" t="str">
        <f aca="false">IF(E644="","",IF(H644&lt;0,IF(LEFT(A644,1)="Q","Périmé (en quarantaine)","PÉRIMÉ → déplacer en zone Q"),IF(H644&lt;3,"Péremption &lt; 3 mois",IF(H644&lt;6,"Péremption &lt; 6 mois",""))))</f>
        <v/>
      </c>
      <c r="J644" s="17" t="str">
        <f aca="false">IF(A644="","",IF(COUNTIF(Emplacements!$A$2:$A$1001,A644)=0,"⚠ emplacement inconnu","OK"))</f>
        <v/>
      </c>
      <c r="K644" s="22" t="str">
        <f aca="false">IF(AND(B644&lt;&gt;"",ISNUMBER(SEARCH(Recherche!$C$3,C644&amp;" "&amp;B644&amp;" "&amp;A644&amp;" "&amp;D644))),MAX($K$1:K643)+1,"")</f>
        <v/>
      </c>
    </row>
    <row r="645" customFormat="false" ht="15" hidden="false" customHeight="false" outlineLevel="0" collapsed="false">
      <c r="A645" s="12"/>
      <c r="B645" s="12"/>
      <c r="C645" s="17" t="str">
        <f aca="false">IF(B645="","",IFERROR(INDEX(Produits!$F$2:$F$1001,MATCH(B645,Produits!$A$2:$A$1001,0)),"⚠ code article inconnu"))</f>
        <v/>
      </c>
      <c r="D645" s="12"/>
      <c r="E645" s="23"/>
      <c r="F645" s="24"/>
      <c r="G645" s="23"/>
      <c r="H645" s="21" t="str">
        <f aca="true">IF(E645="","",ROUND((E645-TODAY())/30.4,1))</f>
        <v/>
      </c>
      <c r="I645" s="17" t="str">
        <f aca="false">IF(E645="","",IF(H645&lt;0,IF(LEFT(A645,1)="Q","Périmé (en quarantaine)","PÉRIMÉ → déplacer en zone Q"),IF(H645&lt;3,"Péremption &lt; 3 mois",IF(H645&lt;6,"Péremption &lt; 6 mois",""))))</f>
        <v/>
      </c>
      <c r="J645" s="17" t="str">
        <f aca="false">IF(A645="","",IF(COUNTIF(Emplacements!$A$2:$A$1001,A645)=0,"⚠ emplacement inconnu","OK"))</f>
        <v/>
      </c>
      <c r="K645" s="22" t="str">
        <f aca="false">IF(AND(B645&lt;&gt;"",ISNUMBER(SEARCH(Recherche!$C$3,C645&amp;" "&amp;B645&amp;" "&amp;A645&amp;" "&amp;D645))),MAX($K$1:K644)+1,"")</f>
        <v/>
      </c>
    </row>
    <row r="646" customFormat="false" ht="15" hidden="false" customHeight="false" outlineLevel="0" collapsed="false">
      <c r="A646" s="12"/>
      <c r="B646" s="12"/>
      <c r="C646" s="17" t="str">
        <f aca="false">IF(B646="","",IFERROR(INDEX(Produits!$F$2:$F$1001,MATCH(B646,Produits!$A$2:$A$1001,0)),"⚠ code article inconnu"))</f>
        <v/>
      </c>
      <c r="D646" s="12"/>
      <c r="E646" s="23"/>
      <c r="F646" s="24"/>
      <c r="G646" s="23"/>
      <c r="H646" s="21" t="str">
        <f aca="true">IF(E646="","",ROUND((E646-TODAY())/30.4,1))</f>
        <v/>
      </c>
      <c r="I646" s="17" t="str">
        <f aca="false">IF(E646="","",IF(H646&lt;0,IF(LEFT(A646,1)="Q","Périmé (en quarantaine)","PÉRIMÉ → déplacer en zone Q"),IF(H646&lt;3,"Péremption &lt; 3 mois",IF(H646&lt;6,"Péremption &lt; 6 mois",""))))</f>
        <v/>
      </c>
      <c r="J646" s="17" t="str">
        <f aca="false">IF(A646="","",IF(COUNTIF(Emplacements!$A$2:$A$1001,A646)=0,"⚠ emplacement inconnu","OK"))</f>
        <v/>
      </c>
      <c r="K646" s="22" t="str">
        <f aca="false">IF(AND(B646&lt;&gt;"",ISNUMBER(SEARCH(Recherche!$C$3,C646&amp;" "&amp;B646&amp;" "&amp;A646&amp;" "&amp;D646))),MAX($K$1:K645)+1,"")</f>
        <v/>
      </c>
    </row>
    <row r="647" customFormat="false" ht="15" hidden="false" customHeight="false" outlineLevel="0" collapsed="false">
      <c r="A647" s="12"/>
      <c r="B647" s="12"/>
      <c r="C647" s="17" t="str">
        <f aca="false">IF(B647="","",IFERROR(INDEX(Produits!$F$2:$F$1001,MATCH(B647,Produits!$A$2:$A$1001,0)),"⚠ code article inconnu"))</f>
        <v/>
      </c>
      <c r="D647" s="12"/>
      <c r="E647" s="23"/>
      <c r="F647" s="24"/>
      <c r="G647" s="23"/>
      <c r="H647" s="21" t="str">
        <f aca="true">IF(E647="","",ROUND((E647-TODAY())/30.4,1))</f>
        <v/>
      </c>
      <c r="I647" s="17" t="str">
        <f aca="false">IF(E647="","",IF(H647&lt;0,IF(LEFT(A647,1)="Q","Périmé (en quarantaine)","PÉRIMÉ → déplacer en zone Q"),IF(H647&lt;3,"Péremption &lt; 3 mois",IF(H647&lt;6,"Péremption &lt; 6 mois",""))))</f>
        <v/>
      </c>
      <c r="J647" s="17" t="str">
        <f aca="false">IF(A647="","",IF(COUNTIF(Emplacements!$A$2:$A$1001,A647)=0,"⚠ emplacement inconnu","OK"))</f>
        <v/>
      </c>
      <c r="K647" s="22" t="str">
        <f aca="false">IF(AND(B647&lt;&gt;"",ISNUMBER(SEARCH(Recherche!$C$3,C647&amp;" "&amp;B647&amp;" "&amp;A647&amp;" "&amp;D647))),MAX($K$1:K646)+1,"")</f>
        <v/>
      </c>
    </row>
    <row r="648" customFormat="false" ht="15" hidden="false" customHeight="false" outlineLevel="0" collapsed="false">
      <c r="A648" s="12"/>
      <c r="B648" s="12"/>
      <c r="C648" s="17" t="str">
        <f aca="false">IF(B648="","",IFERROR(INDEX(Produits!$F$2:$F$1001,MATCH(B648,Produits!$A$2:$A$1001,0)),"⚠ code article inconnu"))</f>
        <v/>
      </c>
      <c r="D648" s="12"/>
      <c r="E648" s="23"/>
      <c r="F648" s="24"/>
      <c r="G648" s="23"/>
      <c r="H648" s="21" t="str">
        <f aca="true">IF(E648="","",ROUND((E648-TODAY())/30.4,1))</f>
        <v/>
      </c>
      <c r="I648" s="17" t="str">
        <f aca="false">IF(E648="","",IF(H648&lt;0,IF(LEFT(A648,1)="Q","Périmé (en quarantaine)","PÉRIMÉ → déplacer en zone Q"),IF(H648&lt;3,"Péremption &lt; 3 mois",IF(H648&lt;6,"Péremption &lt; 6 mois",""))))</f>
        <v/>
      </c>
      <c r="J648" s="17" t="str">
        <f aca="false">IF(A648="","",IF(COUNTIF(Emplacements!$A$2:$A$1001,A648)=0,"⚠ emplacement inconnu","OK"))</f>
        <v/>
      </c>
      <c r="K648" s="22" t="str">
        <f aca="false">IF(AND(B648&lt;&gt;"",ISNUMBER(SEARCH(Recherche!$C$3,C648&amp;" "&amp;B648&amp;" "&amp;A648&amp;" "&amp;D648))),MAX($K$1:K647)+1,"")</f>
        <v/>
      </c>
    </row>
    <row r="649" customFormat="false" ht="15" hidden="false" customHeight="false" outlineLevel="0" collapsed="false">
      <c r="A649" s="12"/>
      <c r="B649" s="12"/>
      <c r="C649" s="17" t="str">
        <f aca="false">IF(B649="","",IFERROR(INDEX(Produits!$F$2:$F$1001,MATCH(B649,Produits!$A$2:$A$1001,0)),"⚠ code article inconnu"))</f>
        <v/>
      </c>
      <c r="D649" s="12"/>
      <c r="E649" s="23"/>
      <c r="F649" s="24"/>
      <c r="G649" s="23"/>
      <c r="H649" s="21" t="str">
        <f aca="true">IF(E649="","",ROUND((E649-TODAY())/30.4,1))</f>
        <v/>
      </c>
      <c r="I649" s="17" t="str">
        <f aca="false">IF(E649="","",IF(H649&lt;0,IF(LEFT(A649,1)="Q","Périmé (en quarantaine)","PÉRIMÉ → déplacer en zone Q"),IF(H649&lt;3,"Péremption &lt; 3 mois",IF(H649&lt;6,"Péremption &lt; 6 mois",""))))</f>
        <v/>
      </c>
      <c r="J649" s="17" t="str">
        <f aca="false">IF(A649="","",IF(COUNTIF(Emplacements!$A$2:$A$1001,A649)=0,"⚠ emplacement inconnu","OK"))</f>
        <v/>
      </c>
      <c r="K649" s="22" t="str">
        <f aca="false">IF(AND(B649&lt;&gt;"",ISNUMBER(SEARCH(Recherche!$C$3,C649&amp;" "&amp;B649&amp;" "&amp;A649&amp;" "&amp;D649))),MAX($K$1:K648)+1,"")</f>
        <v/>
      </c>
    </row>
    <row r="650" customFormat="false" ht="15" hidden="false" customHeight="false" outlineLevel="0" collapsed="false">
      <c r="A650" s="12"/>
      <c r="B650" s="12"/>
      <c r="C650" s="17" t="str">
        <f aca="false">IF(B650="","",IFERROR(INDEX(Produits!$F$2:$F$1001,MATCH(B650,Produits!$A$2:$A$1001,0)),"⚠ code article inconnu"))</f>
        <v/>
      </c>
      <c r="D650" s="12"/>
      <c r="E650" s="23"/>
      <c r="F650" s="24"/>
      <c r="G650" s="23"/>
      <c r="H650" s="21" t="str">
        <f aca="true">IF(E650="","",ROUND((E650-TODAY())/30.4,1))</f>
        <v/>
      </c>
      <c r="I650" s="17" t="str">
        <f aca="false">IF(E650="","",IF(H650&lt;0,IF(LEFT(A650,1)="Q","Périmé (en quarantaine)","PÉRIMÉ → déplacer en zone Q"),IF(H650&lt;3,"Péremption &lt; 3 mois",IF(H650&lt;6,"Péremption &lt; 6 mois",""))))</f>
        <v/>
      </c>
      <c r="J650" s="17" t="str">
        <f aca="false">IF(A650="","",IF(COUNTIF(Emplacements!$A$2:$A$1001,A650)=0,"⚠ emplacement inconnu","OK"))</f>
        <v/>
      </c>
      <c r="K650" s="22" t="str">
        <f aca="false">IF(AND(B650&lt;&gt;"",ISNUMBER(SEARCH(Recherche!$C$3,C650&amp;" "&amp;B650&amp;" "&amp;A650&amp;" "&amp;D650))),MAX($K$1:K649)+1,"")</f>
        <v/>
      </c>
    </row>
    <row r="651" customFormat="false" ht="15" hidden="false" customHeight="false" outlineLevel="0" collapsed="false">
      <c r="A651" s="12"/>
      <c r="B651" s="12"/>
      <c r="C651" s="17" t="str">
        <f aca="false">IF(B651="","",IFERROR(INDEX(Produits!$F$2:$F$1001,MATCH(B651,Produits!$A$2:$A$1001,0)),"⚠ code article inconnu"))</f>
        <v/>
      </c>
      <c r="D651" s="12"/>
      <c r="E651" s="23"/>
      <c r="F651" s="24"/>
      <c r="G651" s="23"/>
      <c r="H651" s="21" t="str">
        <f aca="true">IF(E651="","",ROUND((E651-TODAY())/30.4,1))</f>
        <v/>
      </c>
      <c r="I651" s="17" t="str">
        <f aca="false">IF(E651="","",IF(H651&lt;0,IF(LEFT(A651,1)="Q","Périmé (en quarantaine)","PÉRIMÉ → déplacer en zone Q"),IF(H651&lt;3,"Péremption &lt; 3 mois",IF(H651&lt;6,"Péremption &lt; 6 mois",""))))</f>
        <v/>
      </c>
      <c r="J651" s="17" t="str">
        <f aca="false">IF(A651="","",IF(COUNTIF(Emplacements!$A$2:$A$1001,A651)=0,"⚠ emplacement inconnu","OK"))</f>
        <v/>
      </c>
      <c r="K651" s="22" t="str">
        <f aca="false">IF(AND(B651&lt;&gt;"",ISNUMBER(SEARCH(Recherche!$C$3,C651&amp;" "&amp;B651&amp;" "&amp;A651&amp;" "&amp;D651))),MAX($K$1:K650)+1,"")</f>
        <v/>
      </c>
    </row>
    <row r="652" customFormat="false" ht="15" hidden="false" customHeight="false" outlineLevel="0" collapsed="false">
      <c r="A652" s="12"/>
      <c r="B652" s="12"/>
      <c r="C652" s="17" t="str">
        <f aca="false">IF(B652="","",IFERROR(INDEX(Produits!$F$2:$F$1001,MATCH(B652,Produits!$A$2:$A$1001,0)),"⚠ code article inconnu"))</f>
        <v/>
      </c>
      <c r="D652" s="12"/>
      <c r="E652" s="23"/>
      <c r="F652" s="24"/>
      <c r="G652" s="23"/>
      <c r="H652" s="21" t="str">
        <f aca="true">IF(E652="","",ROUND((E652-TODAY())/30.4,1))</f>
        <v/>
      </c>
      <c r="I652" s="17" t="str">
        <f aca="false">IF(E652="","",IF(H652&lt;0,IF(LEFT(A652,1)="Q","Périmé (en quarantaine)","PÉRIMÉ → déplacer en zone Q"),IF(H652&lt;3,"Péremption &lt; 3 mois",IF(H652&lt;6,"Péremption &lt; 6 mois",""))))</f>
        <v/>
      </c>
      <c r="J652" s="17" t="str">
        <f aca="false">IF(A652="","",IF(COUNTIF(Emplacements!$A$2:$A$1001,A652)=0,"⚠ emplacement inconnu","OK"))</f>
        <v/>
      </c>
      <c r="K652" s="22" t="str">
        <f aca="false">IF(AND(B652&lt;&gt;"",ISNUMBER(SEARCH(Recherche!$C$3,C652&amp;" "&amp;B652&amp;" "&amp;A652&amp;" "&amp;D652))),MAX($K$1:K651)+1,"")</f>
        <v/>
      </c>
    </row>
    <row r="653" customFormat="false" ht="15" hidden="false" customHeight="false" outlineLevel="0" collapsed="false">
      <c r="A653" s="12"/>
      <c r="B653" s="12"/>
      <c r="C653" s="17" t="str">
        <f aca="false">IF(B653="","",IFERROR(INDEX(Produits!$F$2:$F$1001,MATCH(B653,Produits!$A$2:$A$1001,0)),"⚠ code article inconnu"))</f>
        <v/>
      </c>
      <c r="D653" s="12"/>
      <c r="E653" s="23"/>
      <c r="F653" s="24"/>
      <c r="G653" s="23"/>
      <c r="H653" s="21" t="str">
        <f aca="true">IF(E653="","",ROUND((E653-TODAY())/30.4,1))</f>
        <v/>
      </c>
      <c r="I653" s="17" t="str">
        <f aca="false">IF(E653="","",IF(H653&lt;0,IF(LEFT(A653,1)="Q","Périmé (en quarantaine)","PÉRIMÉ → déplacer en zone Q"),IF(H653&lt;3,"Péremption &lt; 3 mois",IF(H653&lt;6,"Péremption &lt; 6 mois",""))))</f>
        <v/>
      </c>
      <c r="J653" s="17" t="str">
        <f aca="false">IF(A653="","",IF(COUNTIF(Emplacements!$A$2:$A$1001,A653)=0,"⚠ emplacement inconnu","OK"))</f>
        <v/>
      </c>
      <c r="K653" s="22" t="str">
        <f aca="false">IF(AND(B653&lt;&gt;"",ISNUMBER(SEARCH(Recherche!$C$3,C653&amp;" "&amp;B653&amp;" "&amp;A653&amp;" "&amp;D653))),MAX($K$1:K652)+1,"")</f>
        <v/>
      </c>
    </row>
    <row r="654" customFormat="false" ht="15" hidden="false" customHeight="false" outlineLevel="0" collapsed="false">
      <c r="A654" s="12"/>
      <c r="B654" s="12"/>
      <c r="C654" s="17" t="str">
        <f aca="false">IF(B654="","",IFERROR(INDEX(Produits!$F$2:$F$1001,MATCH(B654,Produits!$A$2:$A$1001,0)),"⚠ code article inconnu"))</f>
        <v/>
      </c>
      <c r="D654" s="12"/>
      <c r="E654" s="23"/>
      <c r="F654" s="24"/>
      <c r="G654" s="23"/>
      <c r="H654" s="21" t="str">
        <f aca="true">IF(E654="","",ROUND((E654-TODAY())/30.4,1))</f>
        <v/>
      </c>
      <c r="I654" s="17" t="str">
        <f aca="false">IF(E654="","",IF(H654&lt;0,IF(LEFT(A654,1)="Q","Périmé (en quarantaine)","PÉRIMÉ → déplacer en zone Q"),IF(H654&lt;3,"Péremption &lt; 3 mois",IF(H654&lt;6,"Péremption &lt; 6 mois",""))))</f>
        <v/>
      </c>
      <c r="J654" s="17" t="str">
        <f aca="false">IF(A654="","",IF(COUNTIF(Emplacements!$A$2:$A$1001,A654)=0,"⚠ emplacement inconnu","OK"))</f>
        <v/>
      </c>
      <c r="K654" s="22" t="str">
        <f aca="false">IF(AND(B654&lt;&gt;"",ISNUMBER(SEARCH(Recherche!$C$3,C654&amp;" "&amp;B654&amp;" "&amp;A654&amp;" "&amp;D654))),MAX($K$1:K653)+1,"")</f>
        <v/>
      </c>
    </row>
    <row r="655" customFormat="false" ht="15" hidden="false" customHeight="false" outlineLevel="0" collapsed="false">
      <c r="A655" s="12"/>
      <c r="B655" s="12"/>
      <c r="C655" s="17" t="str">
        <f aca="false">IF(B655="","",IFERROR(INDEX(Produits!$F$2:$F$1001,MATCH(B655,Produits!$A$2:$A$1001,0)),"⚠ code article inconnu"))</f>
        <v/>
      </c>
      <c r="D655" s="12"/>
      <c r="E655" s="23"/>
      <c r="F655" s="24"/>
      <c r="G655" s="23"/>
      <c r="H655" s="21" t="str">
        <f aca="true">IF(E655="","",ROUND((E655-TODAY())/30.4,1))</f>
        <v/>
      </c>
      <c r="I655" s="17" t="str">
        <f aca="false">IF(E655="","",IF(H655&lt;0,IF(LEFT(A655,1)="Q","Périmé (en quarantaine)","PÉRIMÉ → déplacer en zone Q"),IF(H655&lt;3,"Péremption &lt; 3 mois",IF(H655&lt;6,"Péremption &lt; 6 mois",""))))</f>
        <v/>
      </c>
      <c r="J655" s="17" t="str">
        <f aca="false">IF(A655="","",IF(COUNTIF(Emplacements!$A$2:$A$1001,A655)=0,"⚠ emplacement inconnu","OK"))</f>
        <v/>
      </c>
      <c r="K655" s="22" t="str">
        <f aca="false">IF(AND(B655&lt;&gt;"",ISNUMBER(SEARCH(Recherche!$C$3,C655&amp;" "&amp;B655&amp;" "&amp;A655&amp;" "&amp;D655))),MAX($K$1:K654)+1,"")</f>
        <v/>
      </c>
    </row>
    <row r="656" customFormat="false" ht="15" hidden="false" customHeight="false" outlineLevel="0" collapsed="false">
      <c r="A656" s="12"/>
      <c r="B656" s="12"/>
      <c r="C656" s="17" t="str">
        <f aca="false">IF(B656="","",IFERROR(INDEX(Produits!$F$2:$F$1001,MATCH(B656,Produits!$A$2:$A$1001,0)),"⚠ code article inconnu"))</f>
        <v/>
      </c>
      <c r="D656" s="12"/>
      <c r="E656" s="23"/>
      <c r="F656" s="24"/>
      <c r="G656" s="23"/>
      <c r="H656" s="21" t="str">
        <f aca="true">IF(E656="","",ROUND((E656-TODAY())/30.4,1))</f>
        <v/>
      </c>
      <c r="I656" s="17" t="str">
        <f aca="false">IF(E656="","",IF(H656&lt;0,IF(LEFT(A656,1)="Q","Périmé (en quarantaine)","PÉRIMÉ → déplacer en zone Q"),IF(H656&lt;3,"Péremption &lt; 3 mois",IF(H656&lt;6,"Péremption &lt; 6 mois",""))))</f>
        <v/>
      </c>
      <c r="J656" s="17" t="str">
        <f aca="false">IF(A656="","",IF(COUNTIF(Emplacements!$A$2:$A$1001,A656)=0,"⚠ emplacement inconnu","OK"))</f>
        <v/>
      </c>
      <c r="K656" s="22" t="str">
        <f aca="false">IF(AND(B656&lt;&gt;"",ISNUMBER(SEARCH(Recherche!$C$3,C656&amp;" "&amp;B656&amp;" "&amp;A656&amp;" "&amp;D656))),MAX($K$1:K655)+1,"")</f>
        <v/>
      </c>
    </row>
    <row r="657" customFormat="false" ht="15" hidden="false" customHeight="false" outlineLevel="0" collapsed="false">
      <c r="A657" s="12"/>
      <c r="B657" s="12"/>
      <c r="C657" s="17" t="str">
        <f aca="false">IF(B657="","",IFERROR(INDEX(Produits!$F$2:$F$1001,MATCH(B657,Produits!$A$2:$A$1001,0)),"⚠ code article inconnu"))</f>
        <v/>
      </c>
      <c r="D657" s="12"/>
      <c r="E657" s="23"/>
      <c r="F657" s="24"/>
      <c r="G657" s="23"/>
      <c r="H657" s="21" t="str">
        <f aca="true">IF(E657="","",ROUND((E657-TODAY())/30.4,1))</f>
        <v/>
      </c>
      <c r="I657" s="17" t="str">
        <f aca="false">IF(E657="","",IF(H657&lt;0,IF(LEFT(A657,1)="Q","Périmé (en quarantaine)","PÉRIMÉ → déplacer en zone Q"),IF(H657&lt;3,"Péremption &lt; 3 mois",IF(H657&lt;6,"Péremption &lt; 6 mois",""))))</f>
        <v/>
      </c>
      <c r="J657" s="17" t="str">
        <f aca="false">IF(A657="","",IF(COUNTIF(Emplacements!$A$2:$A$1001,A657)=0,"⚠ emplacement inconnu","OK"))</f>
        <v/>
      </c>
      <c r="K657" s="22" t="str">
        <f aca="false">IF(AND(B657&lt;&gt;"",ISNUMBER(SEARCH(Recherche!$C$3,C657&amp;" "&amp;B657&amp;" "&amp;A657&amp;" "&amp;D657))),MAX($K$1:K656)+1,"")</f>
        <v/>
      </c>
    </row>
    <row r="658" customFormat="false" ht="15" hidden="false" customHeight="false" outlineLevel="0" collapsed="false">
      <c r="A658" s="12"/>
      <c r="B658" s="12"/>
      <c r="C658" s="17" t="str">
        <f aca="false">IF(B658="","",IFERROR(INDEX(Produits!$F$2:$F$1001,MATCH(B658,Produits!$A$2:$A$1001,0)),"⚠ code article inconnu"))</f>
        <v/>
      </c>
      <c r="D658" s="12"/>
      <c r="E658" s="23"/>
      <c r="F658" s="24"/>
      <c r="G658" s="23"/>
      <c r="H658" s="21" t="str">
        <f aca="true">IF(E658="","",ROUND((E658-TODAY())/30.4,1))</f>
        <v/>
      </c>
      <c r="I658" s="17" t="str">
        <f aca="false">IF(E658="","",IF(H658&lt;0,IF(LEFT(A658,1)="Q","Périmé (en quarantaine)","PÉRIMÉ → déplacer en zone Q"),IF(H658&lt;3,"Péremption &lt; 3 mois",IF(H658&lt;6,"Péremption &lt; 6 mois",""))))</f>
        <v/>
      </c>
      <c r="J658" s="17" t="str">
        <f aca="false">IF(A658="","",IF(COUNTIF(Emplacements!$A$2:$A$1001,A658)=0,"⚠ emplacement inconnu","OK"))</f>
        <v/>
      </c>
      <c r="K658" s="22" t="str">
        <f aca="false">IF(AND(B658&lt;&gt;"",ISNUMBER(SEARCH(Recherche!$C$3,C658&amp;" "&amp;B658&amp;" "&amp;A658&amp;" "&amp;D658))),MAX($K$1:K657)+1,"")</f>
        <v/>
      </c>
    </row>
    <row r="659" customFormat="false" ht="15" hidden="false" customHeight="false" outlineLevel="0" collapsed="false">
      <c r="A659" s="12"/>
      <c r="B659" s="12"/>
      <c r="C659" s="17" t="str">
        <f aca="false">IF(B659="","",IFERROR(INDEX(Produits!$F$2:$F$1001,MATCH(B659,Produits!$A$2:$A$1001,0)),"⚠ code article inconnu"))</f>
        <v/>
      </c>
      <c r="D659" s="12"/>
      <c r="E659" s="23"/>
      <c r="F659" s="24"/>
      <c r="G659" s="23"/>
      <c r="H659" s="21" t="str">
        <f aca="true">IF(E659="","",ROUND((E659-TODAY())/30.4,1))</f>
        <v/>
      </c>
      <c r="I659" s="17" t="str">
        <f aca="false">IF(E659="","",IF(H659&lt;0,IF(LEFT(A659,1)="Q","Périmé (en quarantaine)","PÉRIMÉ → déplacer en zone Q"),IF(H659&lt;3,"Péremption &lt; 3 mois",IF(H659&lt;6,"Péremption &lt; 6 mois",""))))</f>
        <v/>
      </c>
      <c r="J659" s="17" t="str">
        <f aca="false">IF(A659="","",IF(COUNTIF(Emplacements!$A$2:$A$1001,A659)=0,"⚠ emplacement inconnu","OK"))</f>
        <v/>
      </c>
      <c r="K659" s="22" t="str">
        <f aca="false">IF(AND(B659&lt;&gt;"",ISNUMBER(SEARCH(Recherche!$C$3,C659&amp;" "&amp;B659&amp;" "&amp;A659&amp;" "&amp;D659))),MAX($K$1:K658)+1,"")</f>
        <v/>
      </c>
    </row>
    <row r="660" customFormat="false" ht="15" hidden="false" customHeight="false" outlineLevel="0" collapsed="false">
      <c r="A660" s="12"/>
      <c r="B660" s="12"/>
      <c r="C660" s="17" t="str">
        <f aca="false">IF(B660="","",IFERROR(INDEX(Produits!$F$2:$F$1001,MATCH(B660,Produits!$A$2:$A$1001,0)),"⚠ code article inconnu"))</f>
        <v/>
      </c>
      <c r="D660" s="12"/>
      <c r="E660" s="23"/>
      <c r="F660" s="24"/>
      <c r="G660" s="23"/>
      <c r="H660" s="21" t="str">
        <f aca="true">IF(E660="","",ROUND((E660-TODAY())/30.4,1))</f>
        <v/>
      </c>
      <c r="I660" s="17" t="str">
        <f aca="false">IF(E660="","",IF(H660&lt;0,IF(LEFT(A660,1)="Q","Périmé (en quarantaine)","PÉRIMÉ → déplacer en zone Q"),IF(H660&lt;3,"Péremption &lt; 3 mois",IF(H660&lt;6,"Péremption &lt; 6 mois",""))))</f>
        <v/>
      </c>
      <c r="J660" s="17" t="str">
        <f aca="false">IF(A660="","",IF(COUNTIF(Emplacements!$A$2:$A$1001,A660)=0,"⚠ emplacement inconnu","OK"))</f>
        <v/>
      </c>
      <c r="K660" s="22" t="str">
        <f aca="false">IF(AND(B660&lt;&gt;"",ISNUMBER(SEARCH(Recherche!$C$3,C660&amp;" "&amp;B660&amp;" "&amp;A660&amp;" "&amp;D660))),MAX($K$1:K659)+1,"")</f>
        <v/>
      </c>
    </row>
    <row r="661" customFormat="false" ht="15" hidden="false" customHeight="false" outlineLevel="0" collapsed="false">
      <c r="A661" s="12"/>
      <c r="B661" s="12"/>
      <c r="C661" s="17" t="str">
        <f aca="false">IF(B661="","",IFERROR(INDEX(Produits!$F$2:$F$1001,MATCH(B661,Produits!$A$2:$A$1001,0)),"⚠ code article inconnu"))</f>
        <v/>
      </c>
      <c r="D661" s="12"/>
      <c r="E661" s="23"/>
      <c r="F661" s="24"/>
      <c r="G661" s="23"/>
      <c r="H661" s="21" t="str">
        <f aca="true">IF(E661="","",ROUND((E661-TODAY())/30.4,1))</f>
        <v/>
      </c>
      <c r="I661" s="17" t="str">
        <f aca="false">IF(E661="","",IF(H661&lt;0,IF(LEFT(A661,1)="Q","Périmé (en quarantaine)","PÉRIMÉ → déplacer en zone Q"),IF(H661&lt;3,"Péremption &lt; 3 mois",IF(H661&lt;6,"Péremption &lt; 6 mois",""))))</f>
        <v/>
      </c>
      <c r="J661" s="17" t="str">
        <f aca="false">IF(A661="","",IF(COUNTIF(Emplacements!$A$2:$A$1001,A661)=0,"⚠ emplacement inconnu","OK"))</f>
        <v/>
      </c>
      <c r="K661" s="22" t="str">
        <f aca="false">IF(AND(B661&lt;&gt;"",ISNUMBER(SEARCH(Recherche!$C$3,C661&amp;" "&amp;B661&amp;" "&amp;A661&amp;" "&amp;D661))),MAX($K$1:K660)+1,"")</f>
        <v/>
      </c>
    </row>
    <row r="662" customFormat="false" ht="15" hidden="false" customHeight="false" outlineLevel="0" collapsed="false">
      <c r="A662" s="12"/>
      <c r="B662" s="12"/>
      <c r="C662" s="17" t="str">
        <f aca="false">IF(B662="","",IFERROR(INDEX(Produits!$F$2:$F$1001,MATCH(B662,Produits!$A$2:$A$1001,0)),"⚠ code article inconnu"))</f>
        <v/>
      </c>
      <c r="D662" s="12"/>
      <c r="E662" s="23"/>
      <c r="F662" s="24"/>
      <c r="G662" s="23"/>
      <c r="H662" s="21" t="str">
        <f aca="true">IF(E662="","",ROUND((E662-TODAY())/30.4,1))</f>
        <v/>
      </c>
      <c r="I662" s="17" t="str">
        <f aca="false">IF(E662="","",IF(H662&lt;0,IF(LEFT(A662,1)="Q","Périmé (en quarantaine)","PÉRIMÉ → déplacer en zone Q"),IF(H662&lt;3,"Péremption &lt; 3 mois",IF(H662&lt;6,"Péremption &lt; 6 mois",""))))</f>
        <v/>
      </c>
      <c r="J662" s="17" t="str">
        <f aca="false">IF(A662="","",IF(COUNTIF(Emplacements!$A$2:$A$1001,A662)=0,"⚠ emplacement inconnu","OK"))</f>
        <v/>
      </c>
      <c r="K662" s="22" t="str">
        <f aca="false">IF(AND(B662&lt;&gt;"",ISNUMBER(SEARCH(Recherche!$C$3,C662&amp;" "&amp;B662&amp;" "&amp;A662&amp;" "&amp;D662))),MAX($K$1:K661)+1,"")</f>
        <v/>
      </c>
    </row>
    <row r="663" customFormat="false" ht="15" hidden="false" customHeight="false" outlineLevel="0" collapsed="false">
      <c r="A663" s="12"/>
      <c r="B663" s="12"/>
      <c r="C663" s="17" t="str">
        <f aca="false">IF(B663="","",IFERROR(INDEX(Produits!$F$2:$F$1001,MATCH(B663,Produits!$A$2:$A$1001,0)),"⚠ code article inconnu"))</f>
        <v/>
      </c>
      <c r="D663" s="12"/>
      <c r="E663" s="23"/>
      <c r="F663" s="24"/>
      <c r="G663" s="23"/>
      <c r="H663" s="21" t="str">
        <f aca="true">IF(E663="","",ROUND((E663-TODAY())/30.4,1))</f>
        <v/>
      </c>
      <c r="I663" s="17" t="str">
        <f aca="false">IF(E663="","",IF(H663&lt;0,IF(LEFT(A663,1)="Q","Périmé (en quarantaine)","PÉRIMÉ → déplacer en zone Q"),IF(H663&lt;3,"Péremption &lt; 3 mois",IF(H663&lt;6,"Péremption &lt; 6 mois",""))))</f>
        <v/>
      </c>
      <c r="J663" s="17" t="str">
        <f aca="false">IF(A663="","",IF(COUNTIF(Emplacements!$A$2:$A$1001,A663)=0,"⚠ emplacement inconnu","OK"))</f>
        <v/>
      </c>
      <c r="K663" s="22" t="str">
        <f aca="false">IF(AND(B663&lt;&gt;"",ISNUMBER(SEARCH(Recherche!$C$3,C663&amp;" "&amp;B663&amp;" "&amp;A663&amp;" "&amp;D663))),MAX($K$1:K662)+1,"")</f>
        <v/>
      </c>
    </row>
    <row r="664" customFormat="false" ht="15" hidden="false" customHeight="false" outlineLevel="0" collapsed="false">
      <c r="A664" s="12"/>
      <c r="B664" s="12"/>
      <c r="C664" s="17" t="str">
        <f aca="false">IF(B664="","",IFERROR(INDEX(Produits!$F$2:$F$1001,MATCH(B664,Produits!$A$2:$A$1001,0)),"⚠ code article inconnu"))</f>
        <v/>
      </c>
      <c r="D664" s="12"/>
      <c r="E664" s="23"/>
      <c r="F664" s="24"/>
      <c r="G664" s="23"/>
      <c r="H664" s="21" t="str">
        <f aca="true">IF(E664="","",ROUND((E664-TODAY())/30.4,1))</f>
        <v/>
      </c>
      <c r="I664" s="17" t="str">
        <f aca="false">IF(E664="","",IF(H664&lt;0,IF(LEFT(A664,1)="Q","Périmé (en quarantaine)","PÉRIMÉ → déplacer en zone Q"),IF(H664&lt;3,"Péremption &lt; 3 mois",IF(H664&lt;6,"Péremption &lt; 6 mois",""))))</f>
        <v/>
      </c>
      <c r="J664" s="17" t="str">
        <f aca="false">IF(A664="","",IF(COUNTIF(Emplacements!$A$2:$A$1001,A664)=0,"⚠ emplacement inconnu","OK"))</f>
        <v/>
      </c>
      <c r="K664" s="22" t="str">
        <f aca="false">IF(AND(B664&lt;&gt;"",ISNUMBER(SEARCH(Recherche!$C$3,C664&amp;" "&amp;B664&amp;" "&amp;A664&amp;" "&amp;D664))),MAX($K$1:K663)+1,"")</f>
        <v/>
      </c>
    </row>
    <row r="665" customFormat="false" ht="15" hidden="false" customHeight="false" outlineLevel="0" collapsed="false">
      <c r="A665" s="12"/>
      <c r="B665" s="12"/>
      <c r="C665" s="17" t="str">
        <f aca="false">IF(B665="","",IFERROR(INDEX(Produits!$F$2:$F$1001,MATCH(B665,Produits!$A$2:$A$1001,0)),"⚠ code article inconnu"))</f>
        <v/>
      </c>
      <c r="D665" s="12"/>
      <c r="E665" s="23"/>
      <c r="F665" s="24"/>
      <c r="G665" s="23"/>
      <c r="H665" s="21" t="str">
        <f aca="true">IF(E665="","",ROUND((E665-TODAY())/30.4,1))</f>
        <v/>
      </c>
      <c r="I665" s="17" t="str">
        <f aca="false">IF(E665="","",IF(H665&lt;0,IF(LEFT(A665,1)="Q","Périmé (en quarantaine)","PÉRIMÉ → déplacer en zone Q"),IF(H665&lt;3,"Péremption &lt; 3 mois",IF(H665&lt;6,"Péremption &lt; 6 mois",""))))</f>
        <v/>
      </c>
      <c r="J665" s="17" t="str">
        <f aca="false">IF(A665="","",IF(COUNTIF(Emplacements!$A$2:$A$1001,A665)=0,"⚠ emplacement inconnu","OK"))</f>
        <v/>
      </c>
      <c r="K665" s="22" t="str">
        <f aca="false">IF(AND(B665&lt;&gt;"",ISNUMBER(SEARCH(Recherche!$C$3,C665&amp;" "&amp;B665&amp;" "&amp;A665&amp;" "&amp;D665))),MAX($K$1:K664)+1,"")</f>
        <v/>
      </c>
    </row>
    <row r="666" customFormat="false" ht="15" hidden="false" customHeight="false" outlineLevel="0" collapsed="false">
      <c r="A666" s="12"/>
      <c r="B666" s="12"/>
      <c r="C666" s="17" t="str">
        <f aca="false">IF(B666="","",IFERROR(INDEX(Produits!$F$2:$F$1001,MATCH(B666,Produits!$A$2:$A$1001,0)),"⚠ code article inconnu"))</f>
        <v/>
      </c>
      <c r="D666" s="12"/>
      <c r="E666" s="23"/>
      <c r="F666" s="24"/>
      <c r="G666" s="23"/>
      <c r="H666" s="21" t="str">
        <f aca="true">IF(E666="","",ROUND((E666-TODAY())/30.4,1))</f>
        <v/>
      </c>
      <c r="I666" s="17" t="str">
        <f aca="false">IF(E666="","",IF(H666&lt;0,IF(LEFT(A666,1)="Q","Périmé (en quarantaine)","PÉRIMÉ → déplacer en zone Q"),IF(H666&lt;3,"Péremption &lt; 3 mois",IF(H666&lt;6,"Péremption &lt; 6 mois",""))))</f>
        <v/>
      </c>
      <c r="J666" s="17" t="str">
        <f aca="false">IF(A666="","",IF(COUNTIF(Emplacements!$A$2:$A$1001,A666)=0,"⚠ emplacement inconnu","OK"))</f>
        <v/>
      </c>
      <c r="K666" s="22" t="str">
        <f aca="false">IF(AND(B666&lt;&gt;"",ISNUMBER(SEARCH(Recherche!$C$3,C666&amp;" "&amp;B666&amp;" "&amp;A666&amp;" "&amp;D666))),MAX($K$1:K665)+1,"")</f>
        <v/>
      </c>
    </row>
    <row r="667" customFormat="false" ht="15" hidden="false" customHeight="false" outlineLevel="0" collapsed="false">
      <c r="A667" s="12"/>
      <c r="B667" s="12"/>
      <c r="C667" s="17" t="str">
        <f aca="false">IF(B667="","",IFERROR(INDEX(Produits!$F$2:$F$1001,MATCH(B667,Produits!$A$2:$A$1001,0)),"⚠ code article inconnu"))</f>
        <v/>
      </c>
      <c r="D667" s="12"/>
      <c r="E667" s="23"/>
      <c r="F667" s="24"/>
      <c r="G667" s="23"/>
      <c r="H667" s="21" t="str">
        <f aca="true">IF(E667="","",ROUND((E667-TODAY())/30.4,1))</f>
        <v/>
      </c>
      <c r="I667" s="17" t="str">
        <f aca="false">IF(E667="","",IF(H667&lt;0,IF(LEFT(A667,1)="Q","Périmé (en quarantaine)","PÉRIMÉ → déplacer en zone Q"),IF(H667&lt;3,"Péremption &lt; 3 mois",IF(H667&lt;6,"Péremption &lt; 6 mois",""))))</f>
        <v/>
      </c>
      <c r="J667" s="17" t="str">
        <f aca="false">IF(A667="","",IF(COUNTIF(Emplacements!$A$2:$A$1001,A667)=0,"⚠ emplacement inconnu","OK"))</f>
        <v/>
      </c>
      <c r="K667" s="22" t="str">
        <f aca="false">IF(AND(B667&lt;&gt;"",ISNUMBER(SEARCH(Recherche!$C$3,C667&amp;" "&amp;B667&amp;" "&amp;A667&amp;" "&amp;D667))),MAX($K$1:K666)+1,"")</f>
        <v/>
      </c>
    </row>
    <row r="668" customFormat="false" ht="15" hidden="false" customHeight="false" outlineLevel="0" collapsed="false">
      <c r="A668" s="12"/>
      <c r="B668" s="12"/>
      <c r="C668" s="17" t="str">
        <f aca="false">IF(B668="","",IFERROR(INDEX(Produits!$F$2:$F$1001,MATCH(B668,Produits!$A$2:$A$1001,0)),"⚠ code article inconnu"))</f>
        <v/>
      </c>
      <c r="D668" s="12"/>
      <c r="E668" s="23"/>
      <c r="F668" s="24"/>
      <c r="G668" s="23"/>
      <c r="H668" s="21" t="str">
        <f aca="true">IF(E668="","",ROUND((E668-TODAY())/30.4,1))</f>
        <v/>
      </c>
      <c r="I668" s="17" t="str">
        <f aca="false">IF(E668="","",IF(H668&lt;0,IF(LEFT(A668,1)="Q","Périmé (en quarantaine)","PÉRIMÉ → déplacer en zone Q"),IF(H668&lt;3,"Péremption &lt; 3 mois",IF(H668&lt;6,"Péremption &lt; 6 mois",""))))</f>
        <v/>
      </c>
      <c r="J668" s="17" t="str">
        <f aca="false">IF(A668="","",IF(COUNTIF(Emplacements!$A$2:$A$1001,A668)=0,"⚠ emplacement inconnu","OK"))</f>
        <v/>
      </c>
      <c r="K668" s="22" t="str">
        <f aca="false">IF(AND(B668&lt;&gt;"",ISNUMBER(SEARCH(Recherche!$C$3,C668&amp;" "&amp;B668&amp;" "&amp;A668&amp;" "&amp;D668))),MAX($K$1:K667)+1,"")</f>
        <v/>
      </c>
    </row>
    <row r="669" customFormat="false" ht="15" hidden="false" customHeight="false" outlineLevel="0" collapsed="false">
      <c r="A669" s="12"/>
      <c r="B669" s="12"/>
      <c r="C669" s="17" t="str">
        <f aca="false">IF(B669="","",IFERROR(INDEX(Produits!$F$2:$F$1001,MATCH(B669,Produits!$A$2:$A$1001,0)),"⚠ code article inconnu"))</f>
        <v/>
      </c>
      <c r="D669" s="12"/>
      <c r="E669" s="23"/>
      <c r="F669" s="24"/>
      <c r="G669" s="23"/>
      <c r="H669" s="21" t="str">
        <f aca="true">IF(E669="","",ROUND((E669-TODAY())/30.4,1))</f>
        <v/>
      </c>
      <c r="I669" s="17" t="str">
        <f aca="false">IF(E669="","",IF(H669&lt;0,IF(LEFT(A669,1)="Q","Périmé (en quarantaine)","PÉRIMÉ → déplacer en zone Q"),IF(H669&lt;3,"Péremption &lt; 3 mois",IF(H669&lt;6,"Péremption &lt; 6 mois",""))))</f>
        <v/>
      </c>
      <c r="J669" s="17" t="str">
        <f aca="false">IF(A669="","",IF(COUNTIF(Emplacements!$A$2:$A$1001,A669)=0,"⚠ emplacement inconnu","OK"))</f>
        <v/>
      </c>
      <c r="K669" s="22" t="str">
        <f aca="false">IF(AND(B669&lt;&gt;"",ISNUMBER(SEARCH(Recherche!$C$3,C669&amp;" "&amp;B669&amp;" "&amp;A669&amp;" "&amp;D669))),MAX($K$1:K668)+1,"")</f>
        <v/>
      </c>
    </row>
    <row r="670" customFormat="false" ht="15" hidden="false" customHeight="false" outlineLevel="0" collapsed="false">
      <c r="A670" s="12"/>
      <c r="B670" s="12"/>
      <c r="C670" s="17" t="str">
        <f aca="false">IF(B670="","",IFERROR(INDEX(Produits!$F$2:$F$1001,MATCH(B670,Produits!$A$2:$A$1001,0)),"⚠ code article inconnu"))</f>
        <v/>
      </c>
      <c r="D670" s="12"/>
      <c r="E670" s="23"/>
      <c r="F670" s="24"/>
      <c r="G670" s="23"/>
      <c r="H670" s="21" t="str">
        <f aca="true">IF(E670="","",ROUND((E670-TODAY())/30.4,1))</f>
        <v/>
      </c>
      <c r="I670" s="17" t="str">
        <f aca="false">IF(E670="","",IF(H670&lt;0,IF(LEFT(A670,1)="Q","Périmé (en quarantaine)","PÉRIMÉ → déplacer en zone Q"),IF(H670&lt;3,"Péremption &lt; 3 mois",IF(H670&lt;6,"Péremption &lt; 6 mois",""))))</f>
        <v/>
      </c>
      <c r="J670" s="17" t="str">
        <f aca="false">IF(A670="","",IF(COUNTIF(Emplacements!$A$2:$A$1001,A670)=0,"⚠ emplacement inconnu","OK"))</f>
        <v/>
      </c>
      <c r="K670" s="22" t="str">
        <f aca="false">IF(AND(B670&lt;&gt;"",ISNUMBER(SEARCH(Recherche!$C$3,C670&amp;" "&amp;B670&amp;" "&amp;A670&amp;" "&amp;D670))),MAX($K$1:K669)+1,"")</f>
        <v/>
      </c>
    </row>
    <row r="671" customFormat="false" ht="15" hidden="false" customHeight="false" outlineLevel="0" collapsed="false">
      <c r="A671" s="12"/>
      <c r="B671" s="12"/>
      <c r="C671" s="17" t="str">
        <f aca="false">IF(B671="","",IFERROR(INDEX(Produits!$F$2:$F$1001,MATCH(B671,Produits!$A$2:$A$1001,0)),"⚠ code article inconnu"))</f>
        <v/>
      </c>
      <c r="D671" s="12"/>
      <c r="E671" s="23"/>
      <c r="F671" s="24"/>
      <c r="G671" s="23"/>
      <c r="H671" s="21" t="str">
        <f aca="true">IF(E671="","",ROUND((E671-TODAY())/30.4,1))</f>
        <v/>
      </c>
      <c r="I671" s="17" t="str">
        <f aca="false">IF(E671="","",IF(H671&lt;0,IF(LEFT(A671,1)="Q","Périmé (en quarantaine)","PÉRIMÉ → déplacer en zone Q"),IF(H671&lt;3,"Péremption &lt; 3 mois",IF(H671&lt;6,"Péremption &lt; 6 mois",""))))</f>
        <v/>
      </c>
      <c r="J671" s="17" t="str">
        <f aca="false">IF(A671="","",IF(COUNTIF(Emplacements!$A$2:$A$1001,A671)=0,"⚠ emplacement inconnu","OK"))</f>
        <v/>
      </c>
      <c r="K671" s="22" t="str">
        <f aca="false">IF(AND(B671&lt;&gt;"",ISNUMBER(SEARCH(Recherche!$C$3,C671&amp;" "&amp;B671&amp;" "&amp;A671&amp;" "&amp;D671))),MAX($K$1:K670)+1,"")</f>
        <v/>
      </c>
    </row>
    <row r="672" customFormat="false" ht="15" hidden="false" customHeight="false" outlineLevel="0" collapsed="false">
      <c r="A672" s="12"/>
      <c r="B672" s="12"/>
      <c r="C672" s="17" t="str">
        <f aca="false">IF(B672="","",IFERROR(INDEX(Produits!$F$2:$F$1001,MATCH(B672,Produits!$A$2:$A$1001,0)),"⚠ code article inconnu"))</f>
        <v/>
      </c>
      <c r="D672" s="12"/>
      <c r="E672" s="23"/>
      <c r="F672" s="24"/>
      <c r="G672" s="23"/>
      <c r="H672" s="21" t="str">
        <f aca="true">IF(E672="","",ROUND((E672-TODAY())/30.4,1))</f>
        <v/>
      </c>
      <c r="I672" s="17" t="str">
        <f aca="false">IF(E672="","",IF(H672&lt;0,IF(LEFT(A672,1)="Q","Périmé (en quarantaine)","PÉRIMÉ → déplacer en zone Q"),IF(H672&lt;3,"Péremption &lt; 3 mois",IF(H672&lt;6,"Péremption &lt; 6 mois",""))))</f>
        <v/>
      </c>
      <c r="J672" s="17" t="str">
        <f aca="false">IF(A672="","",IF(COUNTIF(Emplacements!$A$2:$A$1001,A672)=0,"⚠ emplacement inconnu","OK"))</f>
        <v/>
      </c>
      <c r="K672" s="22" t="str">
        <f aca="false">IF(AND(B672&lt;&gt;"",ISNUMBER(SEARCH(Recherche!$C$3,C672&amp;" "&amp;B672&amp;" "&amp;A672&amp;" "&amp;D672))),MAX($K$1:K671)+1,"")</f>
        <v/>
      </c>
    </row>
    <row r="673" customFormat="false" ht="15" hidden="false" customHeight="false" outlineLevel="0" collapsed="false">
      <c r="A673" s="12"/>
      <c r="B673" s="12"/>
      <c r="C673" s="17" t="str">
        <f aca="false">IF(B673="","",IFERROR(INDEX(Produits!$F$2:$F$1001,MATCH(B673,Produits!$A$2:$A$1001,0)),"⚠ code article inconnu"))</f>
        <v/>
      </c>
      <c r="D673" s="12"/>
      <c r="E673" s="23"/>
      <c r="F673" s="24"/>
      <c r="G673" s="23"/>
      <c r="H673" s="21" t="str">
        <f aca="true">IF(E673="","",ROUND((E673-TODAY())/30.4,1))</f>
        <v/>
      </c>
      <c r="I673" s="17" t="str">
        <f aca="false">IF(E673="","",IF(H673&lt;0,IF(LEFT(A673,1)="Q","Périmé (en quarantaine)","PÉRIMÉ → déplacer en zone Q"),IF(H673&lt;3,"Péremption &lt; 3 mois",IF(H673&lt;6,"Péremption &lt; 6 mois",""))))</f>
        <v/>
      </c>
      <c r="J673" s="17" t="str">
        <f aca="false">IF(A673="","",IF(COUNTIF(Emplacements!$A$2:$A$1001,A673)=0,"⚠ emplacement inconnu","OK"))</f>
        <v/>
      </c>
      <c r="K673" s="22" t="str">
        <f aca="false">IF(AND(B673&lt;&gt;"",ISNUMBER(SEARCH(Recherche!$C$3,C673&amp;" "&amp;B673&amp;" "&amp;A673&amp;" "&amp;D673))),MAX($K$1:K672)+1,"")</f>
        <v/>
      </c>
    </row>
    <row r="674" customFormat="false" ht="15" hidden="false" customHeight="false" outlineLevel="0" collapsed="false">
      <c r="A674" s="12"/>
      <c r="B674" s="12"/>
      <c r="C674" s="17" t="str">
        <f aca="false">IF(B674="","",IFERROR(INDEX(Produits!$F$2:$F$1001,MATCH(B674,Produits!$A$2:$A$1001,0)),"⚠ code article inconnu"))</f>
        <v/>
      </c>
      <c r="D674" s="12"/>
      <c r="E674" s="23"/>
      <c r="F674" s="24"/>
      <c r="G674" s="23"/>
      <c r="H674" s="21" t="str">
        <f aca="true">IF(E674="","",ROUND((E674-TODAY())/30.4,1))</f>
        <v/>
      </c>
      <c r="I674" s="17" t="str">
        <f aca="false">IF(E674="","",IF(H674&lt;0,IF(LEFT(A674,1)="Q","Périmé (en quarantaine)","PÉRIMÉ → déplacer en zone Q"),IF(H674&lt;3,"Péremption &lt; 3 mois",IF(H674&lt;6,"Péremption &lt; 6 mois",""))))</f>
        <v/>
      </c>
      <c r="J674" s="17" t="str">
        <f aca="false">IF(A674="","",IF(COUNTIF(Emplacements!$A$2:$A$1001,A674)=0,"⚠ emplacement inconnu","OK"))</f>
        <v/>
      </c>
      <c r="K674" s="22" t="str">
        <f aca="false">IF(AND(B674&lt;&gt;"",ISNUMBER(SEARCH(Recherche!$C$3,C674&amp;" "&amp;B674&amp;" "&amp;A674&amp;" "&amp;D674))),MAX($K$1:K673)+1,"")</f>
        <v/>
      </c>
    </row>
    <row r="675" customFormat="false" ht="15" hidden="false" customHeight="false" outlineLevel="0" collapsed="false">
      <c r="A675" s="12"/>
      <c r="B675" s="12"/>
      <c r="C675" s="17" t="str">
        <f aca="false">IF(B675="","",IFERROR(INDEX(Produits!$F$2:$F$1001,MATCH(B675,Produits!$A$2:$A$1001,0)),"⚠ code article inconnu"))</f>
        <v/>
      </c>
      <c r="D675" s="12"/>
      <c r="E675" s="23"/>
      <c r="F675" s="24"/>
      <c r="G675" s="23"/>
      <c r="H675" s="21" t="str">
        <f aca="true">IF(E675="","",ROUND((E675-TODAY())/30.4,1))</f>
        <v/>
      </c>
      <c r="I675" s="17" t="str">
        <f aca="false">IF(E675="","",IF(H675&lt;0,IF(LEFT(A675,1)="Q","Périmé (en quarantaine)","PÉRIMÉ → déplacer en zone Q"),IF(H675&lt;3,"Péremption &lt; 3 mois",IF(H675&lt;6,"Péremption &lt; 6 mois",""))))</f>
        <v/>
      </c>
      <c r="J675" s="17" t="str">
        <f aca="false">IF(A675="","",IF(COUNTIF(Emplacements!$A$2:$A$1001,A675)=0,"⚠ emplacement inconnu","OK"))</f>
        <v/>
      </c>
      <c r="K675" s="22" t="str">
        <f aca="false">IF(AND(B675&lt;&gt;"",ISNUMBER(SEARCH(Recherche!$C$3,C675&amp;" "&amp;B675&amp;" "&amp;A675&amp;" "&amp;D675))),MAX($K$1:K674)+1,"")</f>
        <v/>
      </c>
    </row>
    <row r="676" customFormat="false" ht="15" hidden="false" customHeight="false" outlineLevel="0" collapsed="false">
      <c r="A676" s="12"/>
      <c r="B676" s="12"/>
      <c r="C676" s="17" t="str">
        <f aca="false">IF(B676="","",IFERROR(INDEX(Produits!$F$2:$F$1001,MATCH(B676,Produits!$A$2:$A$1001,0)),"⚠ code article inconnu"))</f>
        <v/>
      </c>
      <c r="D676" s="12"/>
      <c r="E676" s="23"/>
      <c r="F676" s="24"/>
      <c r="G676" s="23"/>
      <c r="H676" s="21" t="str">
        <f aca="true">IF(E676="","",ROUND((E676-TODAY())/30.4,1))</f>
        <v/>
      </c>
      <c r="I676" s="17" t="str">
        <f aca="false">IF(E676="","",IF(H676&lt;0,IF(LEFT(A676,1)="Q","Périmé (en quarantaine)","PÉRIMÉ → déplacer en zone Q"),IF(H676&lt;3,"Péremption &lt; 3 mois",IF(H676&lt;6,"Péremption &lt; 6 mois",""))))</f>
        <v/>
      </c>
      <c r="J676" s="17" t="str">
        <f aca="false">IF(A676="","",IF(COUNTIF(Emplacements!$A$2:$A$1001,A676)=0,"⚠ emplacement inconnu","OK"))</f>
        <v/>
      </c>
      <c r="K676" s="22" t="str">
        <f aca="false">IF(AND(B676&lt;&gt;"",ISNUMBER(SEARCH(Recherche!$C$3,C676&amp;" "&amp;B676&amp;" "&amp;A676&amp;" "&amp;D676))),MAX($K$1:K675)+1,"")</f>
        <v/>
      </c>
    </row>
    <row r="677" customFormat="false" ht="15" hidden="false" customHeight="false" outlineLevel="0" collapsed="false">
      <c r="A677" s="12"/>
      <c r="B677" s="12"/>
      <c r="C677" s="17" t="str">
        <f aca="false">IF(B677="","",IFERROR(INDEX(Produits!$F$2:$F$1001,MATCH(B677,Produits!$A$2:$A$1001,0)),"⚠ code article inconnu"))</f>
        <v/>
      </c>
      <c r="D677" s="12"/>
      <c r="E677" s="23"/>
      <c r="F677" s="24"/>
      <c r="G677" s="23"/>
      <c r="H677" s="21" t="str">
        <f aca="true">IF(E677="","",ROUND((E677-TODAY())/30.4,1))</f>
        <v/>
      </c>
      <c r="I677" s="17" t="str">
        <f aca="false">IF(E677="","",IF(H677&lt;0,IF(LEFT(A677,1)="Q","Périmé (en quarantaine)","PÉRIMÉ → déplacer en zone Q"),IF(H677&lt;3,"Péremption &lt; 3 mois",IF(H677&lt;6,"Péremption &lt; 6 mois",""))))</f>
        <v/>
      </c>
      <c r="J677" s="17" t="str">
        <f aca="false">IF(A677="","",IF(COUNTIF(Emplacements!$A$2:$A$1001,A677)=0,"⚠ emplacement inconnu","OK"))</f>
        <v/>
      </c>
      <c r="K677" s="22" t="str">
        <f aca="false">IF(AND(B677&lt;&gt;"",ISNUMBER(SEARCH(Recherche!$C$3,C677&amp;" "&amp;B677&amp;" "&amp;A677&amp;" "&amp;D677))),MAX($K$1:K676)+1,"")</f>
        <v/>
      </c>
    </row>
    <row r="678" customFormat="false" ht="15" hidden="false" customHeight="false" outlineLevel="0" collapsed="false">
      <c r="A678" s="12"/>
      <c r="B678" s="12"/>
      <c r="C678" s="17" t="str">
        <f aca="false">IF(B678="","",IFERROR(INDEX(Produits!$F$2:$F$1001,MATCH(B678,Produits!$A$2:$A$1001,0)),"⚠ code article inconnu"))</f>
        <v/>
      </c>
      <c r="D678" s="12"/>
      <c r="E678" s="23"/>
      <c r="F678" s="24"/>
      <c r="G678" s="23"/>
      <c r="H678" s="21" t="str">
        <f aca="true">IF(E678="","",ROUND((E678-TODAY())/30.4,1))</f>
        <v/>
      </c>
      <c r="I678" s="17" t="str">
        <f aca="false">IF(E678="","",IF(H678&lt;0,IF(LEFT(A678,1)="Q","Périmé (en quarantaine)","PÉRIMÉ → déplacer en zone Q"),IF(H678&lt;3,"Péremption &lt; 3 mois",IF(H678&lt;6,"Péremption &lt; 6 mois",""))))</f>
        <v/>
      </c>
      <c r="J678" s="17" t="str">
        <f aca="false">IF(A678="","",IF(COUNTIF(Emplacements!$A$2:$A$1001,A678)=0,"⚠ emplacement inconnu","OK"))</f>
        <v/>
      </c>
      <c r="K678" s="22" t="str">
        <f aca="false">IF(AND(B678&lt;&gt;"",ISNUMBER(SEARCH(Recherche!$C$3,C678&amp;" "&amp;B678&amp;" "&amp;A678&amp;" "&amp;D678))),MAX($K$1:K677)+1,"")</f>
        <v/>
      </c>
    </row>
    <row r="679" customFormat="false" ht="15" hidden="false" customHeight="false" outlineLevel="0" collapsed="false">
      <c r="A679" s="12"/>
      <c r="B679" s="12"/>
      <c r="C679" s="17" t="str">
        <f aca="false">IF(B679="","",IFERROR(INDEX(Produits!$F$2:$F$1001,MATCH(B679,Produits!$A$2:$A$1001,0)),"⚠ code article inconnu"))</f>
        <v/>
      </c>
      <c r="D679" s="12"/>
      <c r="E679" s="23"/>
      <c r="F679" s="24"/>
      <c r="G679" s="23"/>
      <c r="H679" s="21" t="str">
        <f aca="true">IF(E679="","",ROUND((E679-TODAY())/30.4,1))</f>
        <v/>
      </c>
      <c r="I679" s="17" t="str">
        <f aca="false">IF(E679="","",IF(H679&lt;0,IF(LEFT(A679,1)="Q","Périmé (en quarantaine)","PÉRIMÉ → déplacer en zone Q"),IF(H679&lt;3,"Péremption &lt; 3 mois",IF(H679&lt;6,"Péremption &lt; 6 mois",""))))</f>
        <v/>
      </c>
      <c r="J679" s="17" t="str">
        <f aca="false">IF(A679="","",IF(COUNTIF(Emplacements!$A$2:$A$1001,A679)=0,"⚠ emplacement inconnu","OK"))</f>
        <v/>
      </c>
      <c r="K679" s="22" t="str">
        <f aca="false">IF(AND(B679&lt;&gt;"",ISNUMBER(SEARCH(Recherche!$C$3,C679&amp;" "&amp;B679&amp;" "&amp;A679&amp;" "&amp;D679))),MAX($K$1:K678)+1,"")</f>
        <v/>
      </c>
    </row>
    <row r="680" customFormat="false" ht="15" hidden="false" customHeight="false" outlineLevel="0" collapsed="false">
      <c r="A680" s="12"/>
      <c r="B680" s="12"/>
      <c r="C680" s="17" t="str">
        <f aca="false">IF(B680="","",IFERROR(INDEX(Produits!$F$2:$F$1001,MATCH(B680,Produits!$A$2:$A$1001,0)),"⚠ code article inconnu"))</f>
        <v/>
      </c>
      <c r="D680" s="12"/>
      <c r="E680" s="23"/>
      <c r="F680" s="24"/>
      <c r="G680" s="23"/>
      <c r="H680" s="21" t="str">
        <f aca="true">IF(E680="","",ROUND((E680-TODAY())/30.4,1))</f>
        <v/>
      </c>
      <c r="I680" s="17" t="str">
        <f aca="false">IF(E680="","",IF(H680&lt;0,IF(LEFT(A680,1)="Q","Périmé (en quarantaine)","PÉRIMÉ → déplacer en zone Q"),IF(H680&lt;3,"Péremption &lt; 3 mois",IF(H680&lt;6,"Péremption &lt; 6 mois",""))))</f>
        <v/>
      </c>
      <c r="J680" s="17" t="str">
        <f aca="false">IF(A680="","",IF(COUNTIF(Emplacements!$A$2:$A$1001,A680)=0,"⚠ emplacement inconnu","OK"))</f>
        <v/>
      </c>
      <c r="K680" s="22" t="str">
        <f aca="false">IF(AND(B680&lt;&gt;"",ISNUMBER(SEARCH(Recherche!$C$3,C680&amp;" "&amp;B680&amp;" "&amp;A680&amp;" "&amp;D680))),MAX($K$1:K679)+1,"")</f>
        <v/>
      </c>
    </row>
    <row r="681" customFormat="false" ht="15" hidden="false" customHeight="false" outlineLevel="0" collapsed="false">
      <c r="A681" s="12"/>
      <c r="B681" s="12"/>
      <c r="C681" s="17" t="str">
        <f aca="false">IF(B681="","",IFERROR(INDEX(Produits!$F$2:$F$1001,MATCH(B681,Produits!$A$2:$A$1001,0)),"⚠ code article inconnu"))</f>
        <v/>
      </c>
      <c r="D681" s="12"/>
      <c r="E681" s="23"/>
      <c r="F681" s="24"/>
      <c r="G681" s="23"/>
      <c r="H681" s="21" t="str">
        <f aca="true">IF(E681="","",ROUND((E681-TODAY())/30.4,1))</f>
        <v/>
      </c>
      <c r="I681" s="17" t="str">
        <f aca="false">IF(E681="","",IF(H681&lt;0,IF(LEFT(A681,1)="Q","Périmé (en quarantaine)","PÉRIMÉ → déplacer en zone Q"),IF(H681&lt;3,"Péremption &lt; 3 mois",IF(H681&lt;6,"Péremption &lt; 6 mois",""))))</f>
        <v/>
      </c>
      <c r="J681" s="17" t="str">
        <f aca="false">IF(A681="","",IF(COUNTIF(Emplacements!$A$2:$A$1001,A681)=0,"⚠ emplacement inconnu","OK"))</f>
        <v/>
      </c>
      <c r="K681" s="22" t="str">
        <f aca="false">IF(AND(B681&lt;&gt;"",ISNUMBER(SEARCH(Recherche!$C$3,C681&amp;" "&amp;B681&amp;" "&amp;A681&amp;" "&amp;D681))),MAX($K$1:K680)+1,"")</f>
        <v/>
      </c>
    </row>
    <row r="682" customFormat="false" ht="15" hidden="false" customHeight="false" outlineLevel="0" collapsed="false">
      <c r="A682" s="12"/>
      <c r="B682" s="12"/>
      <c r="C682" s="17" t="str">
        <f aca="false">IF(B682="","",IFERROR(INDEX(Produits!$F$2:$F$1001,MATCH(B682,Produits!$A$2:$A$1001,0)),"⚠ code article inconnu"))</f>
        <v/>
      </c>
      <c r="D682" s="12"/>
      <c r="E682" s="23"/>
      <c r="F682" s="24"/>
      <c r="G682" s="23"/>
      <c r="H682" s="21" t="str">
        <f aca="true">IF(E682="","",ROUND((E682-TODAY())/30.4,1))</f>
        <v/>
      </c>
      <c r="I682" s="17" t="str">
        <f aca="false">IF(E682="","",IF(H682&lt;0,IF(LEFT(A682,1)="Q","Périmé (en quarantaine)","PÉRIMÉ → déplacer en zone Q"),IF(H682&lt;3,"Péremption &lt; 3 mois",IF(H682&lt;6,"Péremption &lt; 6 mois",""))))</f>
        <v/>
      </c>
      <c r="J682" s="17" t="str">
        <f aca="false">IF(A682="","",IF(COUNTIF(Emplacements!$A$2:$A$1001,A682)=0,"⚠ emplacement inconnu","OK"))</f>
        <v/>
      </c>
      <c r="K682" s="22" t="str">
        <f aca="false">IF(AND(B682&lt;&gt;"",ISNUMBER(SEARCH(Recherche!$C$3,C682&amp;" "&amp;B682&amp;" "&amp;A682&amp;" "&amp;D682))),MAX($K$1:K681)+1,"")</f>
        <v/>
      </c>
    </row>
    <row r="683" customFormat="false" ht="15" hidden="false" customHeight="false" outlineLevel="0" collapsed="false">
      <c r="A683" s="12"/>
      <c r="B683" s="12"/>
      <c r="C683" s="17" t="str">
        <f aca="false">IF(B683="","",IFERROR(INDEX(Produits!$F$2:$F$1001,MATCH(B683,Produits!$A$2:$A$1001,0)),"⚠ code article inconnu"))</f>
        <v/>
      </c>
      <c r="D683" s="12"/>
      <c r="E683" s="23"/>
      <c r="F683" s="24"/>
      <c r="G683" s="23"/>
      <c r="H683" s="21" t="str">
        <f aca="true">IF(E683="","",ROUND((E683-TODAY())/30.4,1))</f>
        <v/>
      </c>
      <c r="I683" s="17" t="str">
        <f aca="false">IF(E683="","",IF(H683&lt;0,IF(LEFT(A683,1)="Q","Périmé (en quarantaine)","PÉRIMÉ → déplacer en zone Q"),IF(H683&lt;3,"Péremption &lt; 3 mois",IF(H683&lt;6,"Péremption &lt; 6 mois",""))))</f>
        <v/>
      </c>
      <c r="J683" s="17" t="str">
        <f aca="false">IF(A683="","",IF(COUNTIF(Emplacements!$A$2:$A$1001,A683)=0,"⚠ emplacement inconnu","OK"))</f>
        <v/>
      </c>
      <c r="K683" s="22" t="str">
        <f aca="false">IF(AND(B683&lt;&gt;"",ISNUMBER(SEARCH(Recherche!$C$3,C683&amp;" "&amp;B683&amp;" "&amp;A683&amp;" "&amp;D683))),MAX($K$1:K682)+1,"")</f>
        <v/>
      </c>
    </row>
    <row r="684" customFormat="false" ht="15" hidden="false" customHeight="false" outlineLevel="0" collapsed="false">
      <c r="A684" s="12"/>
      <c r="B684" s="12"/>
      <c r="C684" s="17" t="str">
        <f aca="false">IF(B684="","",IFERROR(INDEX(Produits!$F$2:$F$1001,MATCH(B684,Produits!$A$2:$A$1001,0)),"⚠ code article inconnu"))</f>
        <v/>
      </c>
      <c r="D684" s="12"/>
      <c r="E684" s="23"/>
      <c r="F684" s="24"/>
      <c r="G684" s="23"/>
      <c r="H684" s="21" t="str">
        <f aca="true">IF(E684="","",ROUND((E684-TODAY())/30.4,1))</f>
        <v/>
      </c>
      <c r="I684" s="17" t="str">
        <f aca="false">IF(E684="","",IF(H684&lt;0,IF(LEFT(A684,1)="Q","Périmé (en quarantaine)","PÉRIMÉ → déplacer en zone Q"),IF(H684&lt;3,"Péremption &lt; 3 mois",IF(H684&lt;6,"Péremption &lt; 6 mois",""))))</f>
        <v/>
      </c>
      <c r="J684" s="17" t="str">
        <f aca="false">IF(A684="","",IF(COUNTIF(Emplacements!$A$2:$A$1001,A684)=0,"⚠ emplacement inconnu","OK"))</f>
        <v/>
      </c>
      <c r="K684" s="22" t="str">
        <f aca="false">IF(AND(B684&lt;&gt;"",ISNUMBER(SEARCH(Recherche!$C$3,C684&amp;" "&amp;B684&amp;" "&amp;A684&amp;" "&amp;D684))),MAX($K$1:K683)+1,"")</f>
        <v/>
      </c>
    </row>
    <row r="685" customFormat="false" ht="15" hidden="false" customHeight="false" outlineLevel="0" collapsed="false">
      <c r="A685" s="12"/>
      <c r="B685" s="12"/>
      <c r="C685" s="17" t="str">
        <f aca="false">IF(B685="","",IFERROR(INDEX(Produits!$F$2:$F$1001,MATCH(B685,Produits!$A$2:$A$1001,0)),"⚠ code article inconnu"))</f>
        <v/>
      </c>
      <c r="D685" s="12"/>
      <c r="E685" s="23"/>
      <c r="F685" s="24"/>
      <c r="G685" s="23"/>
      <c r="H685" s="21" t="str">
        <f aca="true">IF(E685="","",ROUND((E685-TODAY())/30.4,1))</f>
        <v/>
      </c>
      <c r="I685" s="17" t="str">
        <f aca="false">IF(E685="","",IF(H685&lt;0,IF(LEFT(A685,1)="Q","Périmé (en quarantaine)","PÉRIMÉ → déplacer en zone Q"),IF(H685&lt;3,"Péremption &lt; 3 mois",IF(H685&lt;6,"Péremption &lt; 6 mois",""))))</f>
        <v/>
      </c>
      <c r="J685" s="17" t="str">
        <f aca="false">IF(A685="","",IF(COUNTIF(Emplacements!$A$2:$A$1001,A685)=0,"⚠ emplacement inconnu","OK"))</f>
        <v/>
      </c>
      <c r="K685" s="22" t="str">
        <f aca="false">IF(AND(B685&lt;&gt;"",ISNUMBER(SEARCH(Recherche!$C$3,C685&amp;" "&amp;B685&amp;" "&amp;A685&amp;" "&amp;D685))),MAX($K$1:K684)+1,"")</f>
        <v/>
      </c>
    </row>
    <row r="686" customFormat="false" ht="15" hidden="false" customHeight="false" outlineLevel="0" collapsed="false">
      <c r="A686" s="12"/>
      <c r="B686" s="12"/>
      <c r="C686" s="17" t="str">
        <f aca="false">IF(B686="","",IFERROR(INDEX(Produits!$F$2:$F$1001,MATCH(B686,Produits!$A$2:$A$1001,0)),"⚠ code article inconnu"))</f>
        <v/>
      </c>
      <c r="D686" s="12"/>
      <c r="E686" s="23"/>
      <c r="F686" s="24"/>
      <c r="G686" s="23"/>
      <c r="H686" s="21" t="str">
        <f aca="true">IF(E686="","",ROUND((E686-TODAY())/30.4,1))</f>
        <v/>
      </c>
      <c r="I686" s="17" t="str">
        <f aca="false">IF(E686="","",IF(H686&lt;0,IF(LEFT(A686,1)="Q","Périmé (en quarantaine)","PÉRIMÉ → déplacer en zone Q"),IF(H686&lt;3,"Péremption &lt; 3 mois",IF(H686&lt;6,"Péremption &lt; 6 mois",""))))</f>
        <v/>
      </c>
      <c r="J686" s="17" t="str">
        <f aca="false">IF(A686="","",IF(COUNTIF(Emplacements!$A$2:$A$1001,A686)=0,"⚠ emplacement inconnu","OK"))</f>
        <v/>
      </c>
      <c r="K686" s="22" t="str">
        <f aca="false">IF(AND(B686&lt;&gt;"",ISNUMBER(SEARCH(Recherche!$C$3,C686&amp;" "&amp;B686&amp;" "&amp;A686&amp;" "&amp;D686))),MAX($K$1:K685)+1,"")</f>
        <v/>
      </c>
    </row>
    <row r="687" customFormat="false" ht="15" hidden="false" customHeight="false" outlineLevel="0" collapsed="false">
      <c r="A687" s="12"/>
      <c r="B687" s="12"/>
      <c r="C687" s="17" t="str">
        <f aca="false">IF(B687="","",IFERROR(INDEX(Produits!$F$2:$F$1001,MATCH(B687,Produits!$A$2:$A$1001,0)),"⚠ code article inconnu"))</f>
        <v/>
      </c>
      <c r="D687" s="12"/>
      <c r="E687" s="23"/>
      <c r="F687" s="24"/>
      <c r="G687" s="23"/>
      <c r="H687" s="21" t="str">
        <f aca="true">IF(E687="","",ROUND((E687-TODAY())/30.4,1))</f>
        <v/>
      </c>
      <c r="I687" s="17" t="str">
        <f aca="false">IF(E687="","",IF(H687&lt;0,IF(LEFT(A687,1)="Q","Périmé (en quarantaine)","PÉRIMÉ → déplacer en zone Q"),IF(H687&lt;3,"Péremption &lt; 3 mois",IF(H687&lt;6,"Péremption &lt; 6 mois",""))))</f>
        <v/>
      </c>
      <c r="J687" s="17" t="str">
        <f aca="false">IF(A687="","",IF(COUNTIF(Emplacements!$A$2:$A$1001,A687)=0,"⚠ emplacement inconnu","OK"))</f>
        <v/>
      </c>
      <c r="K687" s="22" t="str">
        <f aca="false">IF(AND(B687&lt;&gt;"",ISNUMBER(SEARCH(Recherche!$C$3,C687&amp;" "&amp;B687&amp;" "&amp;A687&amp;" "&amp;D687))),MAX($K$1:K686)+1,"")</f>
        <v/>
      </c>
    </row>
    <row r="688" customFormat="false" ht="15" hidden="false" customHeight="false" outlineLevel="0" collapsed="false">
      <c r="A688" s="12"/>
      <c r="B688" s="12"/>
      <c r="C688" s="17" t="str">
        <f aca="false">IF(B688="","",IFERROR(INDEX(Produits!$F$2:$F$1001,MATCH(B688,Produits!$A$2:$A$1001,0)),"⚠ code article inconnu"))</f>
        <v/>
      </c>
      <c r="D688" s="12"/>
      <c r="E688" s="23"/>
      <c r="F688" s="24"/>
      <c r="G688" s="23"/>
      <c r="H688" s="21" t="str">
        <f aca="true">IF(E688="","",ROUND((E688-TODAY())/30.4,1))</f>
        <v/>
      </c>
      <c r="I688" s="17" t="str">
        <f aca="false">IF(E688="","",IF(H688&lt;0,IF(LEFT(A688,1)="Q","Périmé (en quarantaine)","PÉRIMÉ → déplacer en zone Q"),IF(H688&lt;3,"Péremption &lt; 3 mois",IF(H688&lt;6,"Péremption &lt; 6 mois",""))))</f>
        <v/>
      </c>
      <c r="J688" s="17" t="str">
        <f aca="false">IF(A688="","",IF(COUNTIF(Emplacements!$A$2:$A$1001,A688)=0,"⚠ emplacement inconnu","OK"))</f>
        <v/>
      </c>
      <c r="K688" s="22" t="str">
        <f aca="false">IF(AND(B688&lt;&gt;"",ISNUMBER(SEARCH(Recherche!$C$3,C688&amp;" "&amp;B688&amp;" "&amp;A688&amp;" "&amp;D688))),MAX($K$1:K687)+1,"")</f>
        <v/>
      </c>
    </row>
    <row r="689" customFormat="false" ht="15" hidden="false" customHeight="false" outlineLevel="0" collapsed="false">
      <c r="A689" s="12"/>
      <c r="B689" s="12"/>
      <c r="C689" s="17" t="str">
        <f aca="false">IF(B689="","",IFERROR(INDEX(Produits!$F$2:$F$1001,MATCH(B689,Produits!$A$2:$A$1001,0)),"⚠ code article inconnu"))</f>
        <v/>
      </c>
      <c r="D689" s="12"/>
      <c r="E689" s="23"/>
      <c r="F689" s="24"/>
      <c r="G689" s="23"/>
      <c r="H689" s="21" t="str">
        <f aca="true">IF(E689="","",ROUND((E689-TODAY())/30.4,1))</f>
        <v/>
      </c>
      <c r="I689" s="17" t="str">
        <f aca="false">IF(E689="","",IF(H689&lt;0,IF(LEFT(A689,1)="Q","Périmé (en quarantaine)","PÉRIMÉ → déplacer en zone Q"),IF(H689&lt;3,"Péremption &lt; 3 mois",IF(H689&lt;6,"Péremption &lt; 6 mois",""))))</f>
        <v/>
      </c>
      <c r="J689" s="17" t="str">
        <f aca="false">IF(A689="","",IF(COUNTIF(Emplacements!$A$2:$A$1001,A689)=0,"⚠ emplacement inconnu","OK"))</f>
        <v/>
      </c>
      <c r="K689" s="22" t="str">
        <f aca="false">IF(AND(B689&lt;&gt;"",ISNUMBER(SEARCH(Recherche!$C$3,C689&amp;" "&amp;B689&amp;" "&amp;A689&amp;" "&amp;D689))),MAX($K$1:K688)+1,"")</f>
        <v/>
      </c>
    </row>
    <row r="690" customFormat="false" ht="15" hidden="false" customHeight="false" outlineLevel="0" collapsed="false">
      <c r="A690" s="12"/>
      <c r="B690" s="12"/>
      <c r="C690" s="17" t="str">
        <f aca="false">IF(B690="","",IFERROR(INDEX(Produits!$F$2:$F$1001,MATCH(B690,Produits!$A$2:$A$1001,0)),"⚠ code article inconnu"))</f>
        <v/>
      </c>
      <c r="D690" s="12"/>
      <c r="E690" s="23"/>
      <c r="F690" s="24"/>
      <c r="G690" s="23"/>
      <c r="H690" s="21" t="str">
        <f aca="true">IF(E690="","",ROUND((E690-TODAY())/30.4,1))</f>
        <v/>
      </c>
      <c r="I690" s="17" t="str">
        <f aca="false">IF(E690="","",IF(H690&lt;0,IF(LEFT(A690,1)="Q","Périmé (en quarantaine)","PÉRIMÉ → déplacer en zone Q"),IF(H690&lt;3,"Péremption &lt; 3 mois",IF(H690&lt;6,"Péremption &lt; 6 mois",""))))</f>
        <v/>
      </c>
      <c r="J690" s="17" t="str">
        <f aca="false">IF(A690="","",IF(COUNTIF(Emplacements!$A$2:$A$1001,A690)=0,"⚠ emplacement inconnu","OK"))</f>
        <v/>
      </c>
      <c r="K690" s="22" t="str">
        <f aca="false">IF(AND(B690&lt;&gt;"",ISNUMBER(SEARCH(Recherche!$C$3,C690&amp;" "&amp;B690&amp;" "&amp;A690&amp;" "&amp;D690))),MAX($K$1:K689)+1,"")</f>
        <v/>
      </c>
    </row>
    <row r="691" customFormat="false" ht="15" hidden="false" customHeight="false" outlineLevel="0" collapsed="false">
      <c r="A691" s="12"/>
      <c r="B691" s="12"/>
      <c r="C691" s="17" t="str">
        <f aca="false">IF(B691="","",IFERROR(INDEX(Produits!$F$2:$F$1001,MATCH(B691,Produits!$A$2:$A$1001,0)),"⚠ code article inconnu"))</f>
        <v/>
      </c>
      <c r="D691" s="12"/>
      <c r="E691" s="23"/>
      <c r="F691" s="24"/>
      <c r="G691" s="23"/>
      <c r="H691" s="21" t="str">
        <f aca="true">IF(E691="","",ROUND((E691-TODAY())/30.4,1))</f>
        <v/>
      </c>
      <c r="I691" s="17" t="str">
        <f aca="false">IF(E691="","",IF(H691&lt;0,IF(LEFT(A691,1)="Q","Périmé (en quarantaine)","PÉRIMÉ → déplacer en zone Q"),IF(H691&lt;3,"Péremption &lt; 3 mois",IF(H691&lt;6,"Péremption &lt; 6 mois",""))))</f>
        <v/>
      </c>
      <c r="J691" s="17" t="str">
        <f aca="false">IF(A691="","",IF(COUNTIF(Emplacements!$A$2:$A$1001,A691)=0,"⚠ emplacement inconnu","OK"))</f>
        <v/>
      </c>
      <c r="K691" s="22" t="str">
        <f aca="false">IF(AND(B691&lt;&gt;"",ISNUMBER(SEARCH(Recherche!$C$3,C691&amp;" "&amp;B691&amp;" "&amp;A691&amp;" "&amp;D691))),MAX($K$1:K690)+1,"")</f>
        <v/>
      </c>
    </row>
    <row r="692" customFormat="false" ht="15" hidden="false" customHeight="false" outlineLevel="0" collapsed="false">
      <c r="A692" s="12"/>
      <c r="B692" s="12"/>
      <c r="C692" s="17" t="str">
        <f aca="false">IF(B692="","",IFERROR(INDEX(Produits!$F$2:$F$1001,MATCH(B692,Produits!$A$2:$A$1001,0)),"⚠ code article inconnu"))</f>
        <v/>
      </c>
      <c r="D692" s="12"/>
      <c r="E692" s="23"/>
      <c r="F692" s="24"/>
      <c r="G692" s="23"/>
      <c r="H692" s="21" t="str">
        <f aca="true">IF(E692="","",ROUND((E692-TODAY())/30.4,1))</f>
        <v/>
      </c>
      <c r="I692" s="17" t="str">
        <f aca="false">IF(E692="","",IF(H692&lt;0,IF(LEFT(A692,1)="Q","Périmé (en quarantaine)","PÉRIMÉ → déplacer en zone Q"),IF(H692&lt;3,"Péremption &lt; 3 mois",IF(H692&lt;6,"Péremption &lt; 6 mois",""))))</f>
        <v/>
      </c>
      <c r="J692" s="17" t="str">
        <f aca="false">IF(A692="","",IF(COUNTIF(Emplacements!$A$2:$A$1001,A692)=0,"⚠ emplacement inconnu","OK"))</f>
        <v/>
      </c>
      <c r="K692" s="22" t="str">
        <f aca="false">IF(AND(B692&lt;&gt;"",ISNUMBER(SEARCH(Recherche!$C$3,C692&amp;" "&amp;B692&amp;" "&amp;A692&amp;" "&amp;D692))),MAX($K$1:K691)+1,"")</f>
        <v/>
      </c>
    </row>
    <row r="693" customFormat="false" ht="15" hidden="false" customHeight="false" outlineLevel="0" collapsed="false">
      <c r="A693" s="12"/>
      <c r="B693" s="12"/>
      <c r="C693" s="17" t="str">
        <f aca="false">IF(B693="","",IFERROR(INDEX(Produits!$F$2:$F$1001,MATCH(B693,Produits!$A$2:$A$1001,0)),"⚠ code article inconnu"))</f>
        <v/>
      </c>
      <c r="D693" s="12"/>
      <c r="E693" s="23"/>
      <c r="F693" s="24"/>
      <c r="G693" s="23"/>
      <c r="H693" s="21" t="str">
        <f aca="true">IF(E693="","",ROUND((E693-TODAY())/30.4,1))</f>
        <v/>
      </c>
      <c r="I693" s="17" t="str">
        <f aca="false">IF(E693="","",IF(H693&lt;0,IF(LEFT(A693,1)="Q","Périmé (en quarantaine)","PÉRIMÉ → déplacer en zone Q"),IF(H693&lt;3,"Péremption &lt; 3 mois",IF(H693&lt;6,"Péremption &lt; 6 mois",""))))</f>
        <v/>
      </c>
      <c r="J693" s="17" t="str">
        <f aca="false">IF(A693="","",IF(COUNTIF(Emplacements!$A$2:$A$1001,A693)=0,"⚠ emplacement inconnu","OK"))</f>
        <v/>
      </c>
      <c r="K693" s="22" t="str">
        <f aca="false">IF(AND(B693&lt;&gt;"",ISNUMBER(SEARCH(Recherche!$C$3,C693&amp;" "&amp;B693&amp;" "&amp;A693&amp;" "&amp;D693))),MAX($K$1:K692)+1,"")</f>
        <v/>
      </c>
    </row>
    <row r="694" customFormat="false" ht="15" hidden="false" customHeight="false" outlineLevel="0" collapsed="false">
      <c r="A694" s="12"/>
      <c r="B694" s="12"/>
      <c r="C694" s="17" t="str">
        <f aca="false">IF(B694="","",IFERROR(INDEX(Produits!$F$2:$F$1001,MATCH(B694,Produits!$A$2:$A$1001,0)),"⚠ code article inconnu"))</f>
        <v/>
      </c>
      <c r="D694" s="12"/>
      <c r="E694" s="23"/>
      <c r="F694" s="24"/>
      <c r="G694" s="23"/>
      <c r="H694" s="21" t="str">
        <f aca="true">IF(E694="","",ROUND((E694-TODAY())/30.4,1))</f>
        <v/>
      </c>
      <c r="I694" s="17" t="str">
        <f aca="false">IF(E694="","",IF(H694&lt;0,IF(LEFT(A694,1)="Q","Périmé (en quarantaine)","PÉRIMÉ → déplacer en zone Q"),IF(H694&lt;3,"Péremption &lt; 3 mois",IF(H694&lt;6,"Péremption &lt; 6 mois",""))))</f>
        <v/>
      </c>
      <c r="J694" s="17" t="str">
        <f aca="false">IF(A694="","",IF(COUNTIF(Emplacements!$A$2:$A$1001,A694)=0,"⚠ emplacement inconnu","OK"))</f>
        <v/>
      </c>
      <c r="K694" s="22" t="str">
        <f aca="false">IF(AND(B694&lt;&gt;"",ISNUMBER(SEARCH(Recherche!$C$3,C694&amp;" "&amp;B694&amp;" "&amp;A694&amp;" "&amp;D694))),MAX($K$1:K693)+1,"")</f>
        <v/>
      </c>
    </row>
    <row r="695" customFormat="false" ht="15" hidden="false" customHeight="false" outlineLevel="0" collapsed="false">
      <c r="A695" s="12"/>
      <c r="B695" s="12"/>
      <c r="C695" s="17" t="str">
        <f aca="false">IF(B695="","",IFERROR(INDEX(Produits!$F$2:$F$1001,MATCH(B695,Produits!$A$2:$A$1001,0)),"⚠ code article inconnu"))</f>
        <v/>
      </c>
      <c r="D695" s="12"/>
      <c r="E695" s="23"/>
      <c r="F695" s="24"/>
      <c r="G695" s="23"/>
      <c r="H695" s="21" t="str">
        <f aca="true">IF(E695="","",ROUND((E695-TODAY())/30.4,1))</f>
        <v/>
      </c>
      <c r="I695" s="17" t="str">
        <f aca="false">IF(E695="","",IF(H695&lt;0,IF(LEFT(A695,1)="Q","Périmé (en quarantaine)","PÉRIMÉ → déplacer en zone Q"),IF(H695&lt;3,"Péremption &lt; 3 mois",IF(H695&lt;6,"Péremption &lt; 6 mois",""))))</f>
        <v/>
      </c>
      <c r="J695" s="17" t="str">
        <f aca="false">IF(A695="","",IF(COUNTIF(Emplacements!$A$2:$A$1001,A695)=0,"⚠ emplacement inconnu","OK"))</f>
        <v/>
      </c>
      <c r="K695" s="22" t="str">
        <f aca="false">IF(AND(B695&lt;&gt;"",ISNUMBER(SEARCH(Recherche!$C$3,C695&amp;" "&amp;B695&amp;" "&amp;A695&amp;" "&amp;D695))),MAX($K$1:K694)+1,"")</f>
        <v/>
      </c>
    </row>
    <row r="696" customFormat="false" ht="15" hidden="false" customHeight="false" outlineLevel="0" collapsed="false">
      <c r="A696" s="12"/>
      <c r="B696" s="12"/>
      <c r="C696" s="17" t="str">
        <f aca="false">IF(B696="","",IFERROR(INDEX(Produits!$F$2:$F$1001,MATCH(B696,Produits!$A$2:$A$1001,0)),"⚠ code article inconnu"))</f>
        <v/>
      </c>
      <c r="D696" s="12"/>
      <c r="E696" s="23"/>
      <c r="F696" s="24"/>
      <c r="G696" s="23"/>
      <c r="H696" s="21" t="str">
        <f aca="true">IF(E696="","",ROUND((E696-TODAY())/30.4,1))</f>
        <v/>
      </c>
      <c r="I696" s="17" t="str">
        <f aca="false">IF(E696="","",IF(H696&lt;0,IF(LEFT(A696,1)="Q","Périmé (en quarantaine)","PÉRIMÉ → déplacer en zone Q"),IF(H696&lt;3,"Péremption &lt; 3 mois",IF(H696&lt;6,"Péremption &lt; 6 mois",""))))</f>
        <v/>
      </c>
      <c r="J696" s="17" t="str">
        <f aca="false">IF(A696="","",IF(COUNTIF(Emplacements!$A$2:$A$1001,A696)=0,"⚠ emplacement inconnu","OK"))</f>
        <v/>
      </c>
      <c r="K696" s="22" t="str">
        <f aca="false">IF(AND(B696&lt;&gt;"",ISNUMBER(SEARCH(Recherche!$C$3,C696&amp;" "&amp;B696&amp;" "&amp;A696&amp;" "&amp;D696))),MAX($K$1:K695)+1,"")</f>
        <v/>
      </c>
    </row>
    <row r="697" customFormat="false" ht="15" hidden="false" customHeight="false" outlineLevel="0" collapsed="false">
      <c r="A697" s="12"/>
      <c r="B697" s="12"/>
      <c r="C697" s="17" t="str">
        <f aca="false">IF(B697="","",IFERROR(INDEX(Produits!$F$2:$F$1001,MATCH(B697,Produits!$A$2:$A$1001,0)),"⚠ code article inconnu"))</f>
        <v/>
      </c>
      <c r="D697" s="12"/>
      <c r="E697" s="23"/>
      <c r="F697" s="24"/>
      <c r="G697" s="23"/>
      <c r="H697" s="21" t="str">
        <f aca="true">IF(E697="","",ROUND((E697-TODAY())/30.4,1))</f>
        <v/>
      </c>
      <c r="I697" s="17" t="str">
        <f aca="false">IF(E697="","",IF(H697&lt;0,IF(LEFT(A697,1)="Q","Périmé (en quarantaine)","PÉRIMÉ → déplacer en zone Q"),IF(H697&lt;3,"Péremption &lt; 3 mois",IF(H697&lt;6,"Péremption &lt; 6 mois",""))))</f>
        <v/>
      </c>
      <c r="J697" s="17" t="str">
        <f aca="false">IF(A697="","",IF(COUNTIF(Emplacements!$A$2:$A$1001,A697)=0,"⚠ emplacement inconnu","OK"))</f>
        <v/>
      </c>
      <c r="K697" s="22" t="str">
        <f aca="false">IF(AND(B697&lt;&gt;"",ISNUMBER(SEARCH(Recherche!$C$3,C697&amp;" "&amp;B697&amp;" "&amp;A697&amp;" "&amp;D697))),MAX($K$1:K696)+1,"")</f>
        <v/>
      </c>
    </row>
    <row r="698" customFormat="false" ht="15" hidden="false" customHeight="false" outlineLevel="0" collapsed="false">
      <c r="A698" s="12"/>
      <c r="B698" s="12"/>
      <c r="C698" s="17" t="str">
        <f aca="false">IF(B698="","",IFERROR(INDEX(Produits!$F$2:$F$1001,MATCH(B698,Produits!$A$2:$A$1001,0)),"⚠ code article inconnu"))</f>
        <v/>
      </c>
      <c r="D698" s="12"/>
      <c r="E698" s="23"/>
      <c r="F698" s="24"/>
      <c r="G698" s="23"/>
      <c r="H698" s="21" t="str">
        <f aca="true">IF(E698="","",ROUND((E698-TODAY())/30.4,1))</f>
        <v/>
      </c>
      <c r="I698" s="17" t="str">
        <f aca="false">IF(E698="","",IF(H698&lt;0,IF(LEFT(A698,1)="Q","Périmé (en quarantaine)","PÉRIMÉ → déplacer en zone Q"),IF(H698&lt;3,"Péremption &lt; 3 mois",IF(H698&lt;6,"Péremption &lt; 6 mois",""))))</f>
        <v/>
      </c>
      <c r="J698" s="17" t="str">
        <f aca="false">IF(A698="","",IF(COUNTIF(Emplacements!$A$2:$A$1001,A698)=0,"⚠ emplacement inconnu","OK"))</f>
        <v/>
      </c>
      <c r="K698" s="22" t="str">
        <f aca="false">IF(AND(B698&lt;&gt;"",ISNUMBER(SEARCH(Recherche!$C$3,C698&amp;" "&amp;B698&amp;" "&amp;A698&amp;" "&amp;D698))),MAX($K$1:K697)+1,"")</f>
        <v/>
      </c>
    </row>
    <row r="699" customFormat="false" ht="15" hidden="false" customHeight="false" outlineLevel="0" collapsed="false">
      <c r="A699" s="12"/>
      <c r="B699" s="12"/>
      <c r="C699" s="17" t="str">
        <f aca="false">IF(B699="","",IFERROR(INDEX(Produits!$F$2:$F$1001,MATCH(B699,Produits!$A$2:$A$1001,0)),"⚠ code article inconnu"))</f>
        <v/>
      </c>
      <c r="D699" s="12"/>
      <c r="E699" s="23"/>
      <c r="F699" s="24"/>
      <c r="G699" s="23"/>
      <c r="H699" s="21" t="str">
        <f aca="true">IF(E699="","",ROUND((E699-TODAY())/30.4,1))</f>
        <v/>
      </c>
      <c r="I699" s="17" t="str">
        <f aca="false">IF(E699="","",IF(H699&lt;0,IF(LEFT(A699,1)="Q","Périmé (en quarantaine)","PÉRIMÉ → déplacer en zone Q"),IF(H699&lt;3,"Péremption &lt; 3 mois",IF(H699&lt;6,"Péremption &lt; 6 mois",""))))</f>
        <v/>
      </c>
      <c r="J699" s="17" t="str">
        <f aca="false">IF(A699="","",IF(COUNTIF(Emplacements!$A$2:$A$1001,A699)=0,"⚠ emplacement inconnu","OK"))</f>
        <v/>
      </c>
      <c r="K699" s="22" t="str">
        <f aca="false">IF(AND(B699&lt;&gt;"",ISNUMBER(SEARCH(Recherche!$C$3,C699&amp;" "&amp;B699&amp;" "&amp;A699&amp;" "&amp;D699))),MAX($K$1:K698)+1,"")</f>
        <v/>
      </c>
    </row>
    <row r="700" customFormat="false" ht="15" hidden="false" customHeight="false" outlineLevel="0" collapsed="false">
      <c r="A700" s="12"/>
      <c r="B700" s="12"/>
      <c r="C700" s="17" t="str">
        <f aca="false">IF(B700="","",IFERROR(INDEX(Produits!$F$2:$F$1001,MATCH(B700,Produits!$A$2:$A$1001,0)),"⚠ code article inconnu"))</f>
        <v/>
      </c>
      <c r="D700" s="12"/>
      <c r="E700" s="23"/>
      <c r="F700" s="24"/>
      <c r="G700" s="23"/>
      <c r="H700" s="21" t="str">
        <f aca="true">IF(E700="","",ROUND((E700-TODAY())/30.4,1))</f>
        <v/>
      </c>
      <c r="I700" s="17" t="str">
        <f aca="false">IF(E700="","",IF(H700&lt;0,IF(LEFT(A700,1)="Q","Périmé (en quarantaine)","PÉRIMÉ → déplacer en zone Q"),IF(H700&lt;3,"Péremption &lt; 3 mois",IF(H700&lt;6,"Péremption &lt; 6 mois",""))))</f>
        <v/>
      </c>
      <c r="J700" s="17" t="str">
        <f aca="false">IF(A700="","",IF(COUNTIF(Emplacements!$A$2:$A$1001,A700)=0,"⚠ emplacement inconnu","OK"))</f>
        <v/>
      </c>
      <c r="K700" s="22" t="str">
        <f aca="false">IF(AND(B700&lt;&gt;"",ISNUMBER(SEARCH(Recherche!$C$3,C700&amp;" "&amp;B700&amp;" "&amp;A700&amp;" "&amp;D700))),MAX($K$1:K699)+1,"")</f>
        <v/>
      </c>
    </row>
    <row r="701" customFormat="false" ht="15" hidden="false" customHeight="false" outlineLevel="0" collapsed="false">
      <c r="A701" s="12"/>
      <c r="B701" s="12"/>
      <c r="C701" s="17" t="str">
        <f aca="false">IF(B701="","",IFERROR(INDEX(Produits!$F$2:$F$1001,MATCH(B701,Produits!$A$2:$A$1001,0)),"⚠ code article inconnu"))</f>
        <v/>
      </c>
      <c r="D701" s="12"/>
      <c r="E701" s="23"/>
      <c r="F701" s="24"/>
      <c r="G701" s="23"/>
      <c r="H701" s="21" t="str">
        <f aca="true">IF(E701="","",ROUND((E701-TODAY())/30.4,1))</f>
        <v/>
      </c>
      <c r="I701" s="17" t="str">
        <f aca="false">IF(E701="","",IF(H701&lt;0,IF(LEFT(A701,1)="Q","Périmé (en quarantaine)","PÉRIMÉ → déplacer en zone Q"),IF(H701&lt;3,"Péremption &lt; 3 mois",IF(H701&lt;6,"Péremption &lt; 6 mois",""))))</f>
        <v/>
      </c>
      <c r="J701" s="17" t="str">
        <f aca="false">IF(A701="","",IF(COUNTIF(Emplacements!$A$2:$A$1001,A701)=0,"⚠ emplacement inconnu","OK"))</f>
        <v/>
      </c>
      <c r="K701" s="22" t="str">
        <f aca="false">IF(AND(B701&lt;&gt;"",ISNUMBER(SEARCH(Recherche!$C$3,C701&amp;" "&amp;B701&amp;" "&amp;A701&amp;" "&amp;D701))),MAX($K$1:K700)+1,"")</f>
        <v/>
      </c>
    </row>
    <row r="702" customFormat="false" ht="15" hidden="false" customHeight="false" outlineLevel="0" collapsed="false">
      <c r="A702" s="12"/>
      <c r="B702" s="12"/>
      <c r="C702" s="17" t="str">
        <f aca="false">IF(B702="","",IFERROR(INDEX(Produits!$F$2:$F$1001,MATCH(B702,Produits!$A$2:$A$1001,0)),"⚠ code article inconnu"))</f>
        <v/>
      </c>
      <c r="D702" s="12"/>
      <c r="E702" s="23"/>
      <c r="F702" s="24"/>
      <c r="G702" s="23"/>
      <c r="H702" s="21" t="str">
        <f aca="true">IF(E702="","",ROUND((E702-TODAY())/30.4,1))</f>
        <v/>
      </c>
      <c r="I702" s="17" t="str">
        <f aca="false">IF(E702="","",IF(H702&lt;0,IF(LEFT(A702,1)="Q","Périmé (en quarantaine)","PÉRIMÉ → déplacer en zone Q"),IF(H702&lt;3,"Péremption &lt; 3 mois",IF(H702&lt;6,"Péremption &lt; 6 mois",""))))</f>
        <v/>
      </c>
      <c r="J702" s="17" t="str">
        <f aca="false">IF(A702="","",IF(COUNTIF(Emplacements!$A$2:$A$1001,A702)=0,"⚠ emplacement inconnu","OK"))</f>
        <v/>
      </c>
      <c r="K702" s="22" t="str">
        <f aca="false">IF(AND(B702&lt;&gt;"",ISNUMBER(SEARCH(Recherche!$C$3,C702&amp;" "&amp;B702&amp;" "&amp;A702&amp;" "&amp;D702))),MAX($K$1:K701)+1,"")</f>
        <v/>
      </c>
    </row>
    <row r="703" customFormat="false" ht="15" hidden="false" customHeight="false" outlineLevel="0" collapsed="false">
      <c r="A703" s="12"/>
      <c r="B703" s="12"/>
      <c r="C703" s="17" t="str">
        <f aca="false">IF(B703="","",IFERROR(INDEX(Produits!$F$2:$F$1001,MATCH(B703,Produits!$A$2:$A$1001,0)),"⚠ code article inconnu"))</f>
        <v/>
      </c>
      <c r="D703" s="12"/>
      <c r="E703" s="23"/>
      <c r="F703" s="24"/>
      <c r="G703" s="23"/>
      <c r="H703" s="21" t="str">
        <f aca="true">IF(E703="","",ROUND((E703-TODAY())/30.4,1))</f>
        <v/>
      </c>
      <c r="I703" s="17" t="str">
        <f aca="false">IF(E703="","",IF(H703&lt;0,IF(LEFT(A703,1)="Q","Périmé (en quarantaine)","PÉRIMÉ → déplacer en zone Q"),IF(H703&lt;3,"Péremption &lt; 3 mois",IF(H703&lt;6,"Péremption &lt; 6 mois",""))))</f>
        <v/>
      </c>
      <c r="J703" s="17" t="str">
        <f aca="false">IF(A703="","",IF(COUNTIF(Emplacements!$A$2:$A$1001,A703)=0,"⚠ emplacement inconnu","OK"))</f>
        <v/>
      </c>
      <c r="K703" s="22" t="str">
        <f aca="false">IF(AND(B703&lt;&gt;"",ISNUMBER(SEARCH(Recherche!$C$3,C703&amp;" "&amp;B703&amp;" "&amp;A703&amp;" "&amp;D703))),MAX($K$1:K702)+1,"")</f>
        <v/>
      </c>
    </row>
    <row r="704" customFormat="false" ht="15" hidden="false" customHeight="false" outlineLevel="0" collapsed="false">
      <c r="A704" s="12"/>
      <c r="B704" s="12"/>
      <c r="C704" s="17" t="str">
        <f aca="false">IF(B704="","",IFERROR(INDEX(Produits!$F$2:$F$1001,MATCH(B704,Produits!$A$2:$A$1001,0)),"⚠ code article inconnu"))</f>
        <v/>
      </c>
      <c r="D704" s="12"/>
      <c r="E704" s="23"/>
      <c r="F704" s="24"/>
      <c r="G704" s="23"/>
      <c r="H704" s="21" t="str">
        <f aca="true">IF(E704="","",ROUND((E704-TODAY())/30.4,1))</f>
        <v/>
      </c>
      <c r="I704" s="17" t="str">
        <f aca="false">IF(E704="","",IF(H704&lt;0,IF(LEFT(A704,1)="Q","Périmé (en quarantaine)","PÉRIMÉ → déplacer en zone Q"),IF(H704&lt;3,"Péremption &lt; 3 mois",IF(H704&lt;6,"Péremption &lt; 6 mois",""))))</f>
        <v/>
      </c>
      <c r="J704" s="17" t="str">
        <f aca="false">IF(A704="","",IF(COUNTIF(Emplacements!$A$2:$A$1001,A704)=0,"⚠ emplacement inconnu","OK"))</f>
        <v/>
      </c>
      <c r="K704" s="22" t="str">
        <f aca="false">IF(AND(B704&lt;&gt;"",ISNUMBER(SEARCH(Recherche!$C$3,C704&amp;" "&amp;B704&amp;" "&amp;A704&amp;" "&amp;D704))),MAX($K$1:K703)+1,"")</f>
        <v/>
      </c>
    </row>
    <row r="705" customFormat="false" ht="15" hidden="false" customHeight="false" outlineLevel="0" collapsed="false">
      <c r="A705" s="12"/>
      <c r="B705" s="12"/>
      <c r="C705" s="17" t="str">
        <f aca="false">IF(B705="","",IFERROR(INDEX(Produits!$F$2:$F$1001,MATCH(B705,Produits!$A$2:$A$1001,0)),"⚠ code article inconnu"))</f>
        <v/>
      </c>
      <c r="D705" s="12"/>
      <c r="E705" s="23"/>
      <c r="F705" s="24"/>
      <c r="G705" s="23"/>
      <c r="H705" s="21" t="str">
        <f aca="true">IF(E705="","",ROUND((E705-TODAY())/30.4,1))</f>
        <v/>
      </c>
      <c r="I705" s="17" t="str">
        <f aca="false">IF(E705="","",IF(H705&lt;0,IF(LEFT(A705,1)="Q","Périmé (en quarantaine)","PÉRIMÉ → déplacer en zone Q"),IF(H705&lt;3,"Péremption &lt; 3 mois",IF(H705&lt;6,"Péremption &lt; 6 mois",""))))</f>
        <v/>
      </c>
      <c r="J705" s="17" t="str">
        <f aca="false">IF(A705="","",IF(COUNTIF(Emplacements!$A$2:$A$1001,A705)=0,"⚠ emplacement inconnu","OK"))</f>
        <v/>
      </c>
      <c r="K705" s="22" t="str">
        <f aca="false">IF(AND(B705&lt;&gt;"",ISNUMBER(SEARCH(Recherche!$C$3,C705&amp;" "&amp;B705&amp;" "&amp;A705&amp;" "&amp;D705))),MAX($K$1:K704)+1,"")</f>
        <v/>
      </c>
    </row>
    <row r="706" customFormat="false" ht="15" hidden="false" customHeight="false" outlineLevel="0" collapsed="false">
      <c r="A706" s="12"/>
      <c r="B706" s="12"/>
      <c r="C706" s="17" t="str">
        <f aca="false">IF(B706="","",IFERROR(INDEX(Produits!$F$2:$F$1001,MATCH(B706,Produits!$A$2:$A$1001,0)),"⚠ code article inconnu"))</f>
        <v/>
      </c>
      <c r="D706" s="12"/>
      <c r="E706" s="23"/>
      <c r="F706" s="24"/>
      <c r="G706" s="23"/>
      <c r="H706" s="21" t="str">
        <f aca="true">IF(E706="","",ROUND((E706-TODAY())/30.4,1))</f>
        <v/>
      </c>
      <c r="I706" s="17" t="str">
        <f aca="false">IF(E706="","",IF(H706&lt;0,IF(LEFT(A706,1)="Q","Périmé (en quarantaine)","PÉRIMÉ → déplacer en zone Q"),IF(H706&lt;3,"Péremption &lt; 3 mois",IF(H706&lt;6,"Péremption &lt; 6 mois",""))))</f>
        <v/>
      </c>
      <c r="J706" s="17" t="str">
        <f aca="false">IF(A706="","",IF(COUNTIF(Emplacements!$A$2:$A$1001,A706)=0,"⚠ emplacement inconnu","OK"))</f>
        <v/>
      </c>
      <c r="K706" s="22" t="str">
        <f aca="false">IF(AND(B706&lt;&gt;"",ISNUMBER(SEARCH(Recherche!$C$3,C706&amp;" "&amp;B706&amp;" "&amp;A706&amp;" "&amp;D706))),MAX($K$1:K705)+1,"")</f>
        <v/>
      </c>
    </row>
    <row r="707" customFormat="false" ht="15" hidden="false" customHeight="false" outlineLevel="0" collapsed="false">
      <c r="A707" s="12"/>
      <c r="B707" s="12"/>
      <c r="C707" s="17" t="str">
        <f aca="false">IF(B707="","",IFERROR(INDEX(Produits!$F$2:$F$1001,MATCH(B707,Produits!$A$2:$A$1001,0)),"⚠ code article inconnu"))</f>
        <v/>
      </c>
      <c r="D707" s="12"/>
      <c r="E707" s="23"/>
      <c r="F707" s="24"/>
      <c r="G707" s="23"/>
      <c r="H707" s="21" t="str">
        <f aca="true">IF(E707="","",ROUND((E707-TODAY())/30.4,1))</f>
        <v/>
      </c>
      <c r="I707" s="17" t="str">
        <f aca="false">IF(E707="","",IF(H707&lt;0,IF(LEFT(A707,1)="Q","Périmé (en quarantaine)","PÉRIMÉ → déplacer en zone Q"),IF(H707&lt;3,"Péremption &lt; 3 mois",IF(H707&lt;6,"Péremption &lt; 6 mois",""))))</f>
        <v/>
      </c>
      <c r="J707" s="17" t="str">
        <f aca="false">IF(A707="","",IF(COUNTIF(Emplacements!$A$2:$A$1001,A707)=0,"⚠ emplacement inconnu","OK"))</f>
        <v/>
      </c>
      <c r="K707" s="22" t="str">
        <f aca="false">IF(AND(B707&lt;&gt;"",ISNUMBER(SEARCH(Recherche!$C$3,C707&amp;" "&amp;B707&amp;" "&amp;A707&amp;" "&amp;D707))),MAX($K$1:K706)+1,"")</f>
        <v/>
      </c>
    </row>
    <row r="708" customFormat="false" ht="15" hidden="false" customHeight="false" outlineLevel="0" collapsed="false">
      <c r="A708" s="12"/>
      <c r="B708" s="12"/>
      <c r="C708" s="17" t="str">
        <f aca="false">IF(B708="","",IFERROR(INDEX(Produits!$F$2:$F$1001,MATCH(B708,Produits!$A$2:$A$1001,0)),"⚠ code article inconnu"))</f>
        <v/>
      </c>
      <c r="D708" s="12"/>
      <c r="E708" s="23"/>
      <c r="F708" s="24"/>
      <c r="G708" s="23"/>
      <c r="H708" s="21" t="str">
        <f aca="true">IF(E708="","",ROUND((E708-TODAY())/30.4,1))</f>
        <v/>
      </c>
      <c r="I708" s="17" t="str">
        <f aca="false">IF(E708="","",IF(H708&lt;0,IF(LEFT(A708,1)="Q","Périmé (en quarantaine)","PÉRIMÉ → déplacer en zone Q"),IF(H708&lt;3,"Péremption &lt; 3 mois",IF(H708&lt;6,"Péremption &lt; 6 mois",""))))</f>
        <v/>
      </c>
      <c r="J708" s="17" t="str">
        <f aca="false">IF(A708="","",IF(COUNTIF(Emplacements!$A$2:$A$1001,A708)=0,"⚠ emplacement inconnu","OK"))</f>
        <v/>
      </c>
      <c r="K708" s="22" t="str">
        <f aca="false">IF(AND(B708&lt;&gt;"",ISNUMBER(SEARCH(Recherche!$C$3,C708&amp;" "&amp;B708&amp;" "&amp;A708&amp;" "&amp;D708))),MAX($K$1:K707)+1,"")</f>
        <v/>
      </c>
    </row>
    <row r="709" customFormat="false" ht="15" hidden="false" customHeight="false" outlineLevel="0" collapsed="false">
      <c r="A709" s="12"/>
      <c r="B709" s="12"/>
      <c r="C709" s="17" t="str">
        <f aca="false">IF(B709="","",IFERROR(INDEX(Produits!$F$2:$F$1001,MATCH(B709,Produits!$A$2:$A$1001,0)),"⚠ code article inconnu"))</f>
        <v/>
      </c>
      <c r="D709" s="12"/>
      <c r="E709" s="23"/>
      <c r="F709" s="24"/>
      <c r="G709" s="23"/>
      <c r="H709" s="21" t="str">
        <f aca="true">IF(E709="","",ROUND((E709-TODAY())/30.4,1))</f>
        <v/>
      </c>
      <c r="I709" s="17" t="str">
        <f aca="false">IF(E709="","",IF(H709&lt;0,IF(LEFT(A709,1)="Q","Périmé (en quarantaine)","PÉRIMÉ → déplacer en zone Q"),IF(H709&lt;3,"Péremption &lt; 3 mois",IF(H709&lt;6,"Péremption &lt; 6 mois",""))))</f>
        <v/>
      </c>
      <c r="J709" s="17" t="str">
        <f aca="false">IF(A709="","",IF(COUNTIF(Emplacements!$A$2:$A$1001,A709)=0,"⚠ emplacement inconnu","OK"))</f>
        <v/>
      </c>
      <c r="K709" s="22" t="str">
        <f aca="false">IF(AND(B709&lt;&gt;"",ISNUMBER(SEARCH(Recherche!$C$3,C709&amp;" "&amp;B709&amp;" "&amp;A709&amp;" "&amp;D709))),MAX($K$1:K708)+1,"")</f>
        <v/>
      </c>
    </row>
    <row r="710" customFormat="false" ht="15" hidden="false" customHeight="false" outlineLevel="0" collapsed="false">
      <c r="A710" s="12"/>
      <c r="B710" s="12"/>
      <c r="C710" s="17" t="str">
        <f aca="false">IF(B710="","",IFERROR(INDEX(Produits!$F$2:$F$1001,MATCH(B710,Produits!$A$2:$A$1001,0)),"⚠ code article inconnu"))</f>
        <v/>
      </c>
      <c r="D710" s="12"/>
      <c r="E710" s="23"/>
      <c r="F710" s="24"/>
      <c r="G710" s="23"/>
      <c r="H710" s="21" t="str">
        <f aca="true">IF(E710="","",ROUND((E710-TODAY())/30.4,1))</f>
        <v/>
      </c>
      <c r="I710" s="17" t="str">
        <f aca="false">IF(E710="","",IF(H710&lt;0,IF(LEFT(A710,1)="Q","Périmé (en quarantaine)","PÉRIMÉ → déplacer en zone Q"),IF(H710&lt;3,"Péremption &lt; 3 mois",IF(H710&lt;6,"Péremption &lt; 6 mois",""))))</f>
        <v/>
      </c>
      <c r="J710" s="17" t="str">
        <f aca="false">IF(A710="","",IF(COUNTIF(Emplacements!$A$2:$A$1001,A710)=0,"⚠ emplacement inconnu","OK"))</f>
        <v/>
      </c>
      <c r="K710" s="22" t="str">
        <f aca="false">IF(AND(B710&lt;&gt;"",ISNUMBER(SEARCH(Recherche!$C$3,C710&amp;" "&amp;B710&amp;" "&amp;A710&amp;" "&amp;D710))),MAX($K$1:K709)+1,"")</f>
        <v/>
      </c>
    </row>
    <row r="711" customFormat="false" ht="15" hidden="false" customHeight="false" outlineLevel="0" collapsed="false">
      <c r="A711" s="12"/>
      <c r="B711" s="12"/>
      <c r="C711" s="17" t="str">
        <f aca="false">IF(B711="","",IFERROR(INDEX(Produits!$F$2:$F$1001,MATCH(B711,Produits!$A$2:$A$1001,0)),"⚠ code article inconnu"))</f>
        <v/>
      </c>
      <c r="D711" s="12"/>
      <c r="E711" s="23"/>
      <c r="F711" s="24"/>
      <c r="G711" s="23"/>
      <c r="H711" s="21" t="str">
        <f aca="true">IF(E711="","",ROUND((E711-TODAY())/30.4,1))</f>
        <v/>
      </c>
      <c r="I711" s="17" t="str">
        <f aca="false">IF(E711="","",IF(H711&lt;0,IF(LEFT(A711,1)="Q","Périmé (en quarantaine)","PÉRIMÉ → déplacer en zone Q"),IF(H711&lt;3,"Péremption &lt; 3 mois",IF(H711&lt;6,"Péremption &lt; 6 mois",""))))</f>
        <v/>
      </c>
      <c r="J711" s="17" t="str">
        <f aca="false">IF(A711="","",IF(COUNTIF(Emplacements!$A$2:$A$1001,A711)=0,"⚠ emplacement inconnu","OK"))</f>
        <v/>
      </c>
      <c r="K711" s="22" t="str">
        <f aca="false">IF(AND(B711&lt;&gt;"",ISNUMBER(SEARCH(Recherche!$C$3,C711&amp;" "&amp;B711&amp;" "&amp;A711&amp;" "&amp;D711))),MAX($K$1:K710)+1,"")</f>
        <v/>
      </c>
    </row>
    <row r="712" customFormat="false" ht="15" hidden="false" customHeight="false" outlineLevel="0" collapsed="false">
      <c r="A712" s="12"/>
      <c r="B712" s="12"/>
      <c r="C712" s="17" t="str">
        <f aca="false">IF(B712="","",IFERROR(INDEX(Produits!$F$2:$F$1001,MATCH(B712,Produits!$A$2:$A$1001,0)),"⚠ code article inconnu"))</f>
        <v/>
      </c>
      <c r="D712" s="12"/>
      <c r="E712" s="23"/>
      <c r="F712" s="24"/>
      <c r="G712" s="23"/>
      <c r="H712" s="21" t="str">
        <f aca="true">IF(E712="","",ROUND((E712-TODAY())/30.4,1))</f>
        <v/>
      </c>
      <c r="I712" s="17" t="str">
        <f aca="false">IF(E712="","",IF(H712&lt;0,IF(LEFT(A712,1)="Q","Périmé (en quarantaine)","PÉRIMÉ → déplacer en zone Q"),IF(H712&lt;3,"Péremption &lt; 3 mois",IF(H712&lt;6,"Péremption &lt; 6 mois",""))))</f>
        <v/>
      </c>
      <c r="J712" s="17" t="str">
        <f aca="false">IF(A712="","",IF(COUNTIF(Emplacements!$A$2:$A$1001,A712)=0,"⚠ emplacement inconnu","OK"))</f>
        <v/>
      </c>
      <c r="K712" s="22" t="str">
        <f aca="false">IF(AND(B712&lt;&gt;"",ISNUMBER(SEARCH(Recherche!$C$3,C712&amp;" "&amp;B712&amp;" "&amp;A712&amp;" "&amp;D712))),MAX($K$1:K711)+1,"")</f>
        <v/>
      </c>
    </row>
    <row r="713" customFormat="false" ht="15" hidden="false" customHeight="false" outlineLevel="0" collapsed="false">
      <c r="A713" s="12"/>
      <c r="B713" s="12"/>
      <c r="C713" s="17" t="str">
        <f aca="false">IF(B713="","",IFERROR(INDEX(Produits!$F$2:$F$1001,MATCH(B713,Produits!$A$2:$A$1001,0)),"⚠ code article inconnu"))</f>
        <v/>
      </c>
      <c r="D713" s="12"/>
      <c r="E713" s="23"/>
      <c r="F713" s="24"/>
      <c r="G713" s="23"/>
      <c r="H713" s="21" t="str">
        <f aca="true">IF(E713="","",ROUND((E713-TODAY())/30.4,1))</f>
        <v/>
      </c>
      <c r="I713" s="17" t="str">
        <f aca="false">IF(E713="","",IF(H713&lt;0,IF(LEFT(A713,1)="Q","Périmé (en quarantaine)","PÉRIMÉ → déplacer en zone Q"),IF(H713&lt;3,"Péremption &lt; 3 mois",IF(H713&lt;6,"Péremption &lt; 6 mois",""))))</f>
        <v/>
      </c>
      <c r="J713" s="17" t="str">
        <f aca="false">IF(A713="","",IF(COUNTIF(Emplacements!$A$2:$A$1001,A713)=0,"⚠ emplacement inconnu","OK"))</f>
        <v/>
      </c>
      <c r="K713" s="22" t="str">
        <f aca="false">IF(AND(B713&lt;&gt;"",ISNUMBER(SEARCH(Recherche!$C$3,C713&amp;" "&amp;B713&amp;" "&amp;A713&amp;" "&amp;D713))),MAX($K$1:K712)+1,"")</f>
        <v/>
      </c>
    </row>
    <row r="714" customFormat="false" ht="15" hidden="false" customHeight="false" outlineLevel="0" collapsed="false">
      <c r="A714" s="12"/>
      <c r="B714" s="12"/>
      <c r="C714" s="17" t="str">
        <f aca="false">IF(B714="","",IFERROR(INDEX(Produits!$F$2:$F$1001,MATCH(B714,Produits!$A$2:$A$1001,0)),"⚠ code article inconnu"))</f>
        <v/>
      </c>
      <c r="D714" s="12"/>
      <c r="E714" s="23"/>
      <c r="F714" s="24"/>
      <c r="G714" s="23"/>
      <c r="H714" s="21" t="str">
        <f aca="true">IF(E714="","",ROUND((E714-TODAY())/30.4,1))</f>
        <v/>
      </c>
      <c r="I714" s="17" t="str">
        <f aca="false">IF(E714="","",IF(H714&lt;0,IF(LEFT(A714,1)="Q","Périmé (en quarantaine)","PÉRIMÉ → déplacer en zone Q"),IF(H714&lt;3,"Péremption &lt; 3 mois",IF(H714&lt;6,"Péremption &lt; 6 mois",""))))</f>
        <v/>
      </c>
      <c r="J714" s="17" t="str">
        <f aca="false">IF(A714="","",IF(COUNTIF(Emplacements!$A$2:$A$1001,A714)=0,"⚠ emplacement inconnu","OK"))</f>
        <v/>
      </c>
      <c r="K714" s="22" t="str">
        <f aca="false">IF(AND(B714&lt;&gt;"",ISNUMBER(SEARCH(Recherche!$C$3,C714&amp;" "&amp;B714&amp;" "&amp;A714&amp;" "&amp;D714))),MAX($K$1:K713)+1,"")</f>
        <v/>
      </c>
    </row>
    <row r="715" customFormat="false" ht="15" hidden="false" customHeight="false" outlineLevel="0" collapsed="false">
      <c r="A715" s="12"/>
      <c r="B715" s="12"/>
      <c r="C715" s="17" t="str">
        <f aca="false">IF(B715="","",IFERROR(INDEX(Produits!$F$2:$F$1001,MATCH(B715,Produits!$A$2:$A$1001,0)),"⚠ code article inconnu"))</f>
        <v/>
      </c>
      <c r="D715" s="12"/>
      <c r="E715" s="23"/>
      <c r="F715" s="24"/>
      <c r="G715" s="23"/>
      <c r="H715" s="21" t="str">
        <f aca="true">IF(E715="","",ROUND((E715-TODAY())/30.4,1))</f>
        <v/>
      </c>
      <c r="I715" s="17" t="str">
        <f aca="false">IF(E715="","",IF(H715&lt;0,IF(LEFT(A715,1)="Q","Périmé (en quarantaine)","PÉRIMÉ → déplacer en zone Q"),IF(H715&lt;3,"Péremption &lt; 3 mois",IF(H715&lt;6,"Péremption &lt; 6 mois",""))))</f>
        <v/>
      </c>
      <c r="J715" s="17" t="str">
        <f aca="false">IF(A715="","",IF(COUNTIF(Emplacements!$A$2:$A$1001,A715)=0,"⚠ emplacement inconnu","OK"))</f>
        <v/>
      </c>
      <c r="K715" s="22" t="str">
        <f aca="false">IF(AND(B715&lt;&gt;"",ISNUMBER(SEARCH(Recherche!$C$3,C715&amp;" "&amp;B715&amp;" "&amp;A715&amp;" "&amp;D715))),MAX($K$1:K714)+1,"")</f>
        <v/>
      </c>
    </row>
    <row r="716" customFormat="false" ht="15" hidden="false" customHeight="false" outlineLevel="0" collapsed="false">
      <c r="A716" s="12"/>
      <c r="B716" s="12"/>
      <c r="C716" s="17" t="str">
        <f aca="false">IF(B716="","",IFERROR(INDEX(Produits!$F$2:$F$1001,MATCH(B716,Produits!$A$2:$A$1001,0)),"⚠ code article inconnu"))</f>
        <v/>
      </c>
      <c r="D716" s="12"/>
      <c r="E716" s="23"/>
      <c r="F716" s="24"/>
      <c r="G716" s="23"/>
      <c r="H716" s="21" t="str">
        <f aca="true">IF(E716="","",ROUND((E716-TODAY())/30.4,1))</f>
        <v/>
      </c>
      <c r="I716" s="17" t="str">
        <f aca="false">IF(E716="","",IF(H716&lt;0,IF(LEFT(A716,1)="Q","Périmé (en quarantaine)","PÉRIMÉ → déplacer en zone Q"),IF(H716&lt;3,"Péremption &lt; 3 mois",IF(H716&lt;6,"Péremption &lt; 6 mois",""))))</f>
        <v/>
      </c>
      <c r="J716" s="17" t="str">
        <f aca="false">IF(A716="","",IF(COUNTIF(Emplacements!$A$2:$A$1001,A716)=0,"⚠ emplacement inconnu","OK"))</f>
        <v/>
      </c>
      <c r="K716" s="22" t="str">
        <f aca="false">IF(AND(B716&lt;&gt;"",ISNUMBER(SEARCH(Recherche!$C$3,C716&amp;" "&amp;B716&amp;" "&amp;A716&amp;" "&amp;D716))),MAX($K$1:K715)+1,"")</f>
        <v/>
      </c>
    </row>
    <row r="717" customFormat="false" ht="15" hidden="false" customHeight="false" outlineLevel="0" collapsed="false">
      <c r="A717" s="12"/>
      <c r="B717" s="12"/>
      <c r="C717" s="17" t="str">
        <f aca="false">IF(B717="","",IFERROR(INDEX(Produits!$F$2:$F$1001,MATCH(B717,Produits!$A$2:$A$1001,0)),"⚠ code article inconnu"))</f>
        <v/>
      </c>
      <c r="D717" s="12"/>
      <c r="E717" s="23"/>
      <c r="F717" s="24"/>
      <c r="G717" s="23"/>
      <c r="H717" s="21" t="str">
        <f aca="true">IF(E717="","",ROUND((E717-TODAY())/30.4,1))</f>
        <v/>
      </c>
      <c r="I717" s="17" t="str">
        <f aca="false">IF(E717="","",IF(H717&lt;0,IF(LEFT(A717,1)="Q","Périmé (en quarantaine)","PÉRIMÉ → déplacer en zone Q"),IF(H717&lt;3,"Péremption &lt; 3 mois",IF(H717&lt;6,"Péremption &lt; 6 mois",""))))</f>
        <v/>
      </c>
      <c r="J717" s="17" t="str">
        <f aca="false">IF(A717="","",IF(COUNTIF(Emplacements!$A$2:$A$1001,A717)=0,"⚠ emplacement inconnu","OK"))</f>
        <v/>
      </c>
      <c r="K717" s="22" t="str">
        <f aca="false">IF(AND(B717&lt;&gt;"",ISNUMBER(SEARCH(Recherche!$C$3,C717&amp;" "&amp;B717&amp;" "&amp;A717&amp;" "&amp;D717))),MAX($K$1:K716)+1,"")</f>
        <v/>
      </c>
    </row>
    <row r="718" customFormat="false" ht="15" hidden="false" customHeight="false" outlineLevel="0" collapsed="false">
      <c r="A718" s="12"/>
      <c r="B718" s="12"/>
      <c r="C718" s="17" t="str">
        <f aca="false">IF(B718="","",IFERROR(INDEX(Produits!$F$2:$F$1001,MATCH(B718,Produits!$A$2:$A$1001,0)),"⚠ code article inconnu"))</f>
        <v/>
      </c>
      <c r="D718" s="12"/>
      <c r="E718" s="23"/>
      <c r="F718" s="24"/>
      <c r="G718" s="23"/>
      <c r="H718" s="21" t="str">
        <f aca="true">IF(E718="","",ROUND((E718-TODAY())/30.4,1))</f>
        <v/>
      </c>
      <c r="I718" s="17" t="str">
        <f aca="false">IF(E718="","",IF(H718&lt;0,IF(LEFT(A718,1)="Q","Périmé (en quarantaine)","PÉRIMÉ → déplacer en zone Q"),IF(H718&lt;3,"Péremption &lt; 3 mois",IF(H718&lt;6,"Péremption &lt; 6 mois",""))))</f>
        <v/>
      </c>
      <c r="J718" s="17" t="str">
        <f aca="false">IF(A718="","",IF(COUNTIF(Emplacements!$A$2:$A$1001,A718)=0,"⚠ emplacement inconnu","OK"))</f>
        <v/>
      </c>
      <c r="K718" s="22" t="str">
        <f aca="false">IF(AND(B718&lt;&gt;"",ISNUMBER(SEARCH(Recherche!$C$3,C718&amp;" "&amp;B718&amp;" "&amp;A718&amp;" "&amp;D718))),MAX($K$1:K717)+1,"")</f>
        <v/>
      </c>
    </row>
    <row r="719" customFormat="false" ht="15" hidden="false" customHeight="false" outlineLevel="0" collapsed="false">
      <c r="A719" s="12"/>
      <c r="B719" s="12"/>
      <c r="C719" s="17" t="str">
        <f aca="false">IF(B719="","",IFERROR(INDEX(Produits!$F$2:$F$1001,MATCH(B719,Produits!$A$2:$A$1001,0)),"⚠ code article inconnu"))</f>
        <v/>
      </c>
      <c r="D719" s="12"/>
      <c r="E719" s="23"/>
      <c r="F719" s="24"/>
      <c r="G719" s="23"/>
      <c r="H719" s="21" t="str">
        <f aca="true">IF(E719="","",ROUND((E719-TODAY())/30.4,1))</f>
        <v/>
      </c>
      <c r="I719" s="17" t="str">
        <f aca="false">IF(E719="","",IF(H719&lt;0,IF(LEFT(A719,1)="Q","Périmé (en quarantaine)","PÉRIMÉ → déplacer en zone Q"),IF(H719&lt;3,"Péremption &lt; 3 mois",IF(H719&lt;6,"Péremption &lt; 6 mois",""))))</f>
        <v/>
      </c>
      <c r="J719" s="17" t="str">
        <f aca="false">IF(A719="","",IF(COUNTIF(Emplacements!$A$2:$A$1001,A719)=0,"⚠ emplacement inconnu","OK"))</f>
        <v/>
      </c>
      <c r="K719" s="22" t="str">
        <f aca="false">IF(AND(B719&lt;&gt;"",ISNUMBER(SEARCH(Recherche!$C$3,C719&amp;" "&amp;B719&amp;" "&amp;A719&amp;" "&amp;D719))),MAX($K$1:K718)+1,"")</f>
        <v/>
      </c>
    </row>
    <row r="720" customFormat="false" ht="15" hidden="false" customHeight="false" outlineLevel="0" collapsed="false">
      <c r="A720" s="12"/>
      <c r="B720" s="12"/>
      <c r="C720" s="17" t="str">
        <f aca="false">IF(B720="","",IFERROR(INDEX(Produits!$F$2:$F$1001,MATCH(B720,Produits!$A$2:$A$1001,0)),"⚠ code article inconnu"))</f>
        <v/>
      </c>
      <c r="D720" s="12"/>
      <c r="E720" s="23"/>
      <c r="F720" s="24"/>
      <c r="G720" s="23"/>
      <c r="H720" s="21" t="str">
        <f aca="true">IF(E720="","",ROUND((E720-TODAY())/30.4,1))</f>
        <v/>
      </c>
      <c r="I720" s="17" t="str">
        <f aca="false">IF(E720="","",IF(H720&lt;0,IF(LEFT(A720,1)="Q","Périmé (en quarantaine)","PÉRIMÉ → déplacer en zone Q"),IF(H720&lt;3,"Péremption &lt; 3 mois",IF(H720&lt;6,"Péremption &lt; 6 mois",""))))</f>
        <v/>
      </c>
      <c r="J720" s="17" t="str">
        <f aca="false">IF(A720="","",IF(COUNTIF(Emplacements!$A$2:$A$1001,A720)=0,"⚠ emplacement inconnu","OK"))</f>
        <v/>
      </c>
      <c r="K720" s="22" t="str">
        <f aca="false">IF(AND(B720&lt;&gt;"",ISNUMBER(SEARCH(Recherche!$C$3,C720&amp;" "&amp;B720&amp;" "&amp;A720&amp;" "&amp;D720))),MAX($K$1:K719)+1,"")</f>
        <v/>
      </c>
    </row>
    <row r="721" customFormat="false" ht="15" hidden="false" customHeight="false" outlineLevel="0" collapsed="false">
      <c r="A721" s="12"/>
      <c r="B721" s="12"/>
      <c r="C721" s="17" t="str">
        <f aca="false">IF(B721="","",IFERROR(INDEX(Produits!$F$2:$F$1001,MATCH(B721,Produits!$A$2:$A$1001,0)),"⚠ code article inconnu"))</f>
        <v/>
      </c>
      <c r="D721" s="12"/>
      <c r="E721" s="23"/>
      <c r="F721" s="24"/>
      <c r="G721" s="23"/>
      <c r="H721" s="21" t="str">
        <f aca="true">IF(E721="","",ROUND((E721-TODAY())/30.4,1))</f>
        <v/>
      </c>
      <c r="I721" s="17" t="str">
        <f aca="false">IF(E721="","",IF(H721&lt;0,IF(LEFT(A721,1)="Q","Périmé (en quarantaine)","PÉRIMÉ → déplacer en zone Q"),IF(H721&lt;3,"Péremption &lt; 3 mois",IF(H721&lt;6,"Péremption &lt; 6 mois",""))))</f>
        <v/>
      </c>
      <c r="J721" s="17" t="str">
        <f aca="false">IF(A721="","",IF(COUNTIF(Emplacements!$A$2:$A$1001,A721)=0,"⚠ emplacement inconnu","OK"))</f>
        <v/>
      </c>
      <c r="K721" s="22" t="str">
        <f aca="false">IF(AND(B721&lt;&gt;"",ISNUMBER(SEARCH(Recherche!$C$3,C721&amp;" "&amp;B721&amp;" "&amp;A721&amp;" "&amp;D721))),MAX($K$1:K720)+1,"")</f>
        <v/>
      </c>
    </row>
    <row r="722" customFormat="false" ht="15" hidden="false" customHeight="false" outlineLevel="0" collapsed="false">
      <c r="A722" s="12"/>
      <c r="B722" s="12"/>
      <c r="C722" s="17" t="str">
        <f aca="false">IF(B722="","",IFERROR(INDEX(Produits!$F$2:$F$1001,MATCH(B722,Produits!$A$2:$A$1001,0)),"⚠ code article inconnu"))</f>
        <v/>
      </c>
      <c r="D722" s="12"/>
      <c r="E722" s="23"/>
      <c r="F722" s="24"/>
      <c r="G722" s="23"/>
      <c r="H722" s="21" t="str">
        <f aca="true">IF(E722="","",ROUND((E722-TODAY())/30.4,1))</f>
        <v/>
      </c>
      <c r="I722" s="17" t="str">
        <f aca="false">IF(E722="","",IF(H722&lt;0,IF(LEFT(A722,1)="Q","Périmé (en quarantaine)","PÉRIMÉ → déplacer en zone Q"),IF(H722&lt;3,"Péremption &lt; 3 mois",IF(H722&lt;6,"Péremption &lt; 6 mois",""))))</f>
        <v/>
      </c>
      <c r="J722" s="17" t="str">
        <f aca="false">IF(A722="","",IF(COUNTIF(Emplacements!$A$2:$A$1001,A722)=0,"⚠ emplacement inconnu","OK"))</f>
        <v/>
      </c>
      <c r="K722" s="22" t="str">
        <f aca="false">IF(AND(B722&lt;&gt;"",ISNUMBER(SEARCH(Recherche!$C$3,C722&amp;" "&amp;B722&amp;" "&amp;A722&amp;" "&amp;D722))),MAX($K$1:K721)+1,"")</f>
        <v/>
      </c>
    </row>
    <row r="723" customFormat="false" ht="15" hidden="false" customHeight="false" outlineLevel="0" collapsed="false">
      <c r="A723" s="12"/>
      <c r="B723" s="12"/>
      <c r="C723" s="17" t="str">
        <f aca="false">IF(B723="","",IFERROR(INDEX(Produits!$F$2:$F$1001,MATCH(B723,Produits!$A$2:$A$1001,0)),"⚠ code article inconnu"))</f>
        <v/>
      </c>
      <c r="D723" s="12"/>
      <c r="E723" s="23"/>
      <c r="F723" s="24"/>
      <c r="G723" s="23"/>
      <c r="H723" s="21" t="str">
        <f aca="true">IF(E723="","",ROUND((E723-TODAY())/30.4,1))</f>
        <v/>
      </c>
      <c r="I723" s="17" t="str">
        <f aca="false">IF(E723="","",IF(H723&lt;0,IF(LEFT(A723,1)="Q","Périmé (en quarantaine)","PÉRIMÉ → déplacer en zone Q"),IF(H723&lt;3,"Péremption &lt; 3 mois",IF(H723&lt;6,"Péremption &lt; 6 mois",""))))</f>
        <v/>
      </c>
      <c r="J723" s="17" t="str">
        <f aca="false">IF(A723="","",IF(COUNTIF(Emplacements!$A$2:$A$1001,A723)=0,"⚠ emplacement inconnu","OK"))</f>
        <v/>
      </c>
      <c r="K723" s="22" t="str">
        <f aca="false">IF(AND(B723&lt;&gt;"",ISNUMBER(SEARCH(Recherche!$C$3,C723&amp;" "&amp;B723&amp;" "&amp;A723&amp;" "&amp;D723))),MAX($K$1:K722)+1,"")</f>
        <v/>
      </c>
    </row>
    <row r="724" customFormat="false" ht="15" hidden="false" customHeight="false" outlineLevel="0" collapsed="false">
      <c r="A724" s="12"/>
      <c r="B724" s="12"/>
      <c r="C724" s="17" t="str">
        <f aca="false">IF(B724="","",IFERROR(INDEX(Produits!$F$2:$F$1001,MATCH(B724,Produits!$A$2:$A$1001,0)),"⚠ code article inconnu"))</f>
        <v/>
      </c>
      <c r="D724" s="12"/>
      <c r="E724" s="23"/>
      <c r="F724" s="24"/>
      <c r="G724" s="23"/>
      <c r="H724" s="21" t="str">
        <f aca="true">IF(E724="","",ROUND((E724-TODAY())/30.4,1))</f>
        <v/>
      </c>
      <c r="I724" s="17" t="str">
        <f aca="false">IF(E724="","",IF(H724&lt;0,IF(LEFT(A724,1)="Q","Périmé (en quarantaine)","PÉRIMÉ → déplacer en zone Q"),IF(H724&lt;3,"Péremption &lt; 3 mois",IF(H724&lt;6,"Péremption &lt; 6 mois",""))))</f>
        <v/>
      </c>
      <c r="J724" s="17" t="str">
        <f aca="false">IF(A724="","",IF(COUNTIF(Emplacements!$A$2:$A$1001,A724)=0,"⚠ emplacement inconnu","OK"))</f>
        <v/>
      </c>
      <c r="K724" s="22" t="str">
        <f aca="false">IF(AND(B724&lt;&gt;"",ISNUMBER(SEARCH(Recherche!$C$3,C724&amp;" "&amp;B724&amp;" "&amp;A724&amp;" "&amp;D724))),MAX($K$1:K723)+1,"")</f>
        <v/>
      </c>
    </row>
    <row r="725" customFormat="false" ht="15" hidden="false" customHeight="false" outlineLevel="0" collapsed="false">
      <c r="A725" s="12"/>
      <c r="B725" s="12"/>
      <c r="C725" s="17" t="str">
        <f aca="false">IF(B725="","",IFERROR(INDEX(Produits!$F$2:$F$1001,MATCH(B725,Produits!$A$2:$A$1001,0)),"⚠ code article inconnu"))</f>
        <v/>
      </c>
      <c r="D725" s="12"/>
      <c r="E725" s="23"/>
      <c r="F725" s="24"/>
      <c r="G725" s="23"/>
      <c r="H725" s="21" t="str">
        <f aca="true">IF(E725="","",ROUND((E725-TODAY())/30.4,1))</f>
        <v/>
      </c>
      <c r="I725" s="17" t="str">
        <f aca="false">IF(E725="","",IF(H725&lt;0,IF(LEFT(A725,1)="Q","Périmé (en quarantaine)","PÉRIMÉ → déplacer en zone Q"),IF(H725&lt;3,"Péremption &lt; 3 mois",IF(H725&lt;6,"Péremption &lt; 6 mois",""))))</f>
        <v/>
      </c>
      <c r="J725" s="17" t="str">
        <f aca="false">IF(A725="","",IF(COUNTIF(Emplacements!$A$2:$A$1001,A725)=0,"⚠ emplacement inconnu","OK"))</f>
        <v/>
      </c>
      <c r="K725" s="22" t="str">
        <f aca="false">IF(AND(B725&lt;&gt;"",ISNUMBER(SEARCH(Recherche!$C$3,C725&amp;" "&amp;B725&amp;" "&amp;A725&amp;" "&amp;D725))),MAX($K$1:K724)+1,"")</f>
        <v/>
      </c>
    </row>
    <row r="726" customFormat="false" ht="15" hidden="false" customHeight="false" outlineLevel="0" collapsed="false">
      <c r="A726" s="12"/>
      <c r="B726" s="12"/>
      <c r="C726" s="17" t="str">
        <f aca="false">IF(B726="","",IFERROR(INDEX(Produits!$F$2:$F$1001,MATCH(B726,Produits!$A$2:$A$1001,0)),"⚠ code article inconnu"))</f>
        <v/>
      </c>
      <c r="D726" s="12"/>
      <c r="E726" s="23"/>
      <c r="F726" s="24"/>
      <c r="G726" s="23"/>
      <c r="H726" s="21" t="str">
        <f aca="true">IF(E726="","",ROUND((E726-TODAY())/30.4,1))</f>
        <v/>
      </c>
      <c r="I726" s="17" t="str">
        <f aca="false">IF(E726="","",IF(H726&lt;0,IF(LEFT(A726,1)="Q","Périmé (en quarantaine)","PÉRIMÉ → déplacer en zone Q"),IF(H726&lt;3,"Péremption &lt; 3 mois",IF(H726&lt;6,"Péremption &lt; 6 mois",""))))</f>
        <v/>
      </c>
      <c r="J726" s="17" t="str">
        <f aca="false">IF(A726="","",IF(COUNTIF(Emplacements!$A$2:$A$1001,A726)=0,"⚠ emplacement inconnu","OK"))</f>
        <v/>
      </c>
      <c r="K726" s="22" t="str">
        <f aca="false">IF(AND(B726&lt;&gt;"",ISNUMBER(SEARCH(Recherche!$C$3,C726&amp;" "&amp;B726&amp;" "&amp;A726&amp;" "&amp;D726))),MAX($K$1:K725)+1,"")</f>
        <v/>
      </c>
    </row>
    <row r="727" customFormat="false" ht="15" hidden="false" customHeight="false" outlineLevel="0" collapsed="false">
      <c r="A727" s="12"/>
      <c r="B727" s="12"/>
      <c r="C727" s="17" t="str">
        <f aca="false">IF(B727="","",IFERROR(INDEX(Produits!$F$2:$F$1001,MATCH(B727,Produits!$A$2:$A$1001,0)),"⚠ code article inconnu"))</f>
        <v/>
      </c>
      <c r="D727" s="12"/>
      <c r="E727" s="23"/>
      <c r="F727" s="24"/>
      <c r="G727" s="23"/>
      <c r="H727" s="21" t="str">
        <f aca="true">IF(E727="","",ROUND((E727-TODAY())/30.4,1))</f>
        <v/>
      </c>
      <c r="I727" s="17" t="str">
        <f aca="false">IF(E727="","",IF(H727&lt;0,IF(LEFT(A727,1)="Q","Périmé (en quarantaine)","PÉRIMÉ → déplacer en zone Q"),IF(H727&lt;3,"Péremption &lt; 3 mois",IF(H727&lt;6,"Péremption &lt; 6 mois",""))))</f>
        <v/>
      </c>
      <c r="J727" s="17" t="str">
        <f aca="false">IF(A727="","",IF(COUNTIF(Emplacements!$A$2:$A$1001,A727)=0,"⚠ emplacement inconnu","OK"))</f>
        <v/>
      </c>
      <c r="K727" s="22" t="str">
        <f aca="false">IF(AND(B727&lt;&gt;"",ISNUMBER(SEARCH(Recherche!$C$3,C727&amp;" "&amp;B727&amp;" "&amp;A727&amp;" "&amp;D727))),MAX($K$1:K726)+1,"")</f>
        <v/>
      </c>
    </row>
    <row r="728" customFormat="false" ht="15" hidden="false" customHeight="false" outlineLevel="0" collapsed="false">
      <c r="A728" s="12"/>
      <c r="B728" s="12"/>
      <c r="C728" s="17" t="str">
        <f aca="false">IF(B728="","",IFERROR(INDEX(Produits!$F$2:$F$1001,MATCH(B728,Produits!$A$2:$A$1001,0)),"⚠ code article inconnu"))</f>
        <v/>
      </c>
      <c r="D728" s="12"/>
      <c r="E728" s="23"/>
      <c r="F728" s="24"/>
      <c r="G728" s="23"/>
      <c r="H728" s="21" t="str">
        <f aca="true">IF(E728="","",ROUND((E728-TODAY())/30.4,1))</f>
        <v/>
      </c>
      <c r="I728" s="17" t="str">
        <f aca="false">IF(E728="","",IF(H728&lt;0,IF(LEFT(A728,1)="Q","Périmé (en quarantaine)","PÉRIMÉ → déplacer en zone Q"),IF(H728&lt;3,"Péremption &lt; 3 mois",IF(H728&lt;6,"Péremption &lt; 6 mois",""))))</f>
        <v/>
      </c>
      <c r="J728" s="17" t="str">
        <f aca="false">IF(A728="","",IF(COUNTIF(Emplacements!$A$2:$A$1001,A728)=0,"⚠ emplacement inconnu","OK"))</f>
        <v/>
      </c>
      <c r="K728" s="22" t="str">
        <f aca="false">IF(AND(B728&lt;&gt;"",ISNUMBER(SEARCH(Recherche!$C$3,C728&amp;" "&amp;B728&amp;" "&amp;A728&amp;" "&amp;D728))),MAX($K$1:K727)+1,"")</f>
        <v/>
      </c>
    </row>
    <row r="729" customFormat="false" ht="15" hidden="false" customHeight="false" outlineLevel="0" collapsed="false">
      <c r="A729" s="12"/>
      <c r="B729" s="12"/>
      <c r="C729" s="17" t="str">
        <f aca="false">IF(B729="","",IFERROR(INDEX(Produits!$F$2:$F$1001,MATCH(B729,Produits!$A$2:$A$1001,0)),"⚠ code article inconnu"))</f>
        <v/>
      </c>
      <c r="D729" s="12"/>
      <c r="E729" s="23"/>
      <c r="F729" s="24"/>
      <c r="G729" s="23"/>
      <c r="H729" s="21" t="str">
        <f aca="true">IF(E729="","",ROUND((E729-TODAY())/30.4,1))</f>
        <v/>
      </c>
      <c r="I729" s="17" t="str">
        <f aca="false">IF(E729="","",IF(H729&lt;0,IF(LEFT(A729,1)="Q","Périmé (en quarantaine)","PÉRIMÉ → déplacer en zone Q"),IF(H729&lt;3,"Péremption &lt; 3 mois",IF(H729&lt;6,"Péremption &lt; 6 mois",""))))</f>
        <v/>
      </c>
      <c r="J729" s="17" t="str">
        <f aca="false">IF(A729="","",IF(COUNTIF(Emplacements!$A$2:$A$1001,A729)=0,"⚠ emplacement inconnu","OK"))</f>
        <v/>
      </c>
      <c r="K729" s="22" t="str">
        <f aca="false">IF(AND(B729&lt;&gt;"",ISNUMBER(SEARCH(Recherche!$C$3,C729&amp;" "&amp;B729&amp;" "&amp;A729&amp;" "&amp;D729))),MAX($K$1:K728)+1,"")</f>
        <v/>
      </c>
    </row>
    <row r="730" customFormat="false" ht="15" hidden="false" customHeight="false" outlineLevel="0" collapsed="false">
      <c r="A730" s="12"/>
      <c r="B730" s="12"/>
      <c r="C730" s="17" t="str">
        <f aca="false">IF(B730="","",IFERROR(INDEX(Produits!$F$2:$F$1001,MATCH(B730,Produits!$A$2:$A$1001,0)),"⚠ code article inconnu"))</f>
        <v/>
      </c>
      <c r="D730" s="12"/>
      <c r="E730" s="23"/>
      <c r="F730" s="24"/>
      <c r="G730" s="23"/>
      <c r="H730" s="21" t="str">
        <f aca="true">IF(E730="","",ROUND((E730-TODAY())/30.4,1))</f>
        <v/>
      </c>
      <c r="I730" s="17" t="str">
        <f aca="false">IF(E730="","",IF(H730&lt;0,IF(LEFT(A730,1)="Q","Périmé (en quarantaine)","PÉRIMÉ → déplacer en zone Q"),IF(H730&lt;3,"Péremption &lt; 3 mois",IF(H730&lt;6,"Péremption &lt; 6 mois",""))))</f>
        <v/>
      </c>
      <c r="J730" s="17" t="str">
        <f aca="false">IF(A730="","",IF(COUNTIF(Emplacements!$A$2:$A$1001,A730)=0,"⚠ emplacement inconnu","OK"))</f>
        <v/>
      </c>
      <c r="K730" s="22" t="str">
        <f aca="false">IF(AND(B730&lt;&gt;"",ISNUMBER(SEARCH(Recherche!$C$3,C730&amp;" "&amp;B730&amp;" "&amp;A730&amp;" "&amp;D730))),MAX($K$1:K729)+1,"")</f>
        <v/>
      </c>
    </row>
    <row r="731" customFormat="false" ht="15" hidden="false" customHeight="false" outlineLevel="0" collapsed="false">
      <c r="A731" s="12"/>
      <c r="B731" s="12"/>
      <c r="C731" s="17" t="str">
        <f aca="false">IF(B731="","",IFERROR(INDEX(Produits!$F$2:$F$1001,MATCH(B731,Produits!$A$2:$A$1001,0)),"⚠ code article inconnu"))</f>
        <v/>
      </c>
      <c r="D731" s="12"/>
      <c r="E731" s="23"/>
      <c r="F731" s="24"/>
      <c r="G731" s="23"/>
      <c r="H731" s="21" t="str">
        <f aca="true">IF(E731="","",ROUND((E731-TODAY())/30.4,1))</f>
        <v/>
      </c>
      <c r="I731" s="17" t="str">
        <f aca="false">IF(E731="","",IF(H731&lt;0,IF(LEFT(A731,1)="Q","Périmé (en quarantaine)","PÉRIMÉ → déplacer en zone Q"),IF(H731&lt;3,"Péremption &lt; 3 mois",IF(H731&lt;6,"Péremption &lt; 6 mois",""))))</f>
        <v/>
      </c>
      <c r="J731" s="17" t="str">
        <f aca="false">IF(A731="","",IF(COUNTIF(Emplacements!$A$2:$A$1001,A731)=0,"⚠ emplacement inconnu","OK"))</f>
        <v/>
      </c>
      <c r="K731" s="22" t="str">
        <f aca="false">IF(AND(B731&lt;&gt;"",ISNUMBER(SEARCH(Recherche!$C$3,C731&amp;" "&amp;B731&amp;" "&amp;A731&amp;" "&amp;D731))),MAX($K$1:K730)+1,"")</f>
        <v/>
      </c>
    </row>
    <row r="732" customFormat="false" ht="15" hidden="false" customHeight="false" outlineLevel="0" collapsed="false">
      <c r="A732" s="12"/>
      <c r="B732" s="12"/>
      <c r="C732" s="17" t="str">
        <f aca="false">IF(B732="","",IFERROR(INDEX(Produits!$F$2:$F$1001,MATCH(B732,Produits!$A$2:$A$1001,0)),"⚠ code article inconnu"))</f>
        <v/>
      </c>
      <c r="D732" s="12"/>
      <c r="E732" s="23"/>
      <c r="F732" s="24"/>
      <c r="G732" s="23"/>
      <c r="H732" s="21" t="str">
        <f aca="true">IF(E732="","",ROUND((E732-TODAY())/30.4,1))</f>
        <v/>
      </c>
      <c r="I732" s="17" t="str">
        <f aca="false">IF(E732="","",IF(H732&lt;0,IF(LEFT(A732,1)="Q","Périmé (en quarantaine)","PÉRIMÉ → déplacer en zone Q"),IF(H732&lt;3,"Péremption &lt; 3 mois",IF(H732&lt;6,"Péremption &lt; 6 mois",""))))</f>
        <v/>
      </c>
      <c r="J732" s="17" t="str">
        <f aca="false">IF(A732="","",IF(COUNTIF(Emplacements!$A$2:$A$1001,A732)=0,"⚠ emplacement inconnu","OK"))</f>
        <v/>
      </c>
      <c r="K732" s="22" t="str">
        <f aca="false">IF(AND(B732&lt;&gt;"",ISNUMBER(SEARCH(Recherche!$C$3,C732&amp;" "&amp;B732&amp;" "&amp;A732&amp;" "&amp;D732))),MAX($K$1:K731)+1,"")</f>
        <v/>
      </c>
    </row>
    <row r="733" customFormat="false" ht="15" hidden="false" customHeight="false" outlineLevel="0" collapsed="false">
      <c r="A733" s="12"/>
      <c r="B733" s="12"/>
      <c r="C733" s="17" t="str">
        <f aca="false">IF(B733="","",IFERROR(INDEX(Produits!$F$2:$F$1001,MATCH(B733,Produits!$A$2:$A$1001,0)),"⚠ code article inconnu"))</f>
        <v/>
      </c>
      <c r="D733" s="12"/>
      <c r="E733" s="23"/>
      <c r="F733" s="24"/>
      <c r="G733" s="23"/>
      <c r="H733" s="21" t="str">
        <f aca="true">IF(E733="","",ROUND((E733-TODAY())/30.4,1))</f>
        <v/>
      </c>
      <c r="I733" s="17" t="str">
        <f aca="false">IF(E733="","",IF(H733&lt;0,IF(LEFT(A733,1)="Q","Périmé (en quarantaine)","PÉRIMÉ → déplacer en zone Q"),IF(H733&lt;3,"Péremption &lt; 3 mois",IF(H733&lt;6,"Péremption &lt; 6 mois",""))))</f>
        <v/>
      </c>
      <c r="J733" s="17" t="str">
        <f aca="false">IF(A733="","",IF(COUNTIF(Emplacements!$A$2:$A$1001,A733)=0,"⚠ emplacement inconnu","OK"))</f>
        <v/>
      </c>
      <c r="K733" s="22" t="str">
        <f aca="false">IF(AND(B733&lt;&gt;"",ISNUMBER(SEARCH(Recherche!$C$3,C733&amp;" "&amp;B733&amp;" "&amp;A733&amp;" "&amp;D733))),MAX($K$1:K732)+1,"")</f>
        <v/>
      </c>
    </row>
    <row r="734" customFormat="false" ht="15" hidden="false" customHeight="false" outlineLevel="0" collapsed="false">
      <c r="A734" s="12"/>
      <c r="B734" s="12"/>
      <c r="C734" s="17" t="str">
        <f aca="false">IF(B734="","",IFERROR(INDEX(Produits!$F$2:$F$1001,MATCH(B734,Produits!$A$2:$A$1001,0)),"⚠ code article inconnu"))</f>
        <v/>
      </c>
      <c r="D734" s="12"/>
      <c r="E734" s="23"/>
      <c r="F734" s="24"/>
      <c r="G734" s="23"/>
      <c r="H734" s="21" t="str">
        <f aca="true">IF(E734="","",ROUND((E734-TODAY())/30.4,1))</f>
        <v/>
      </c>
      <c r="I734" s="17" t="str">
        <f aca="false">IF(E734="","",IF(H734&lt;0,IF(LEFT(A734,1)="Q","Périmé (en quarantaine)","PÉRIMÉ → déplacer en zone Q"),IF(H734&lt;3,"Péremption &lt; 3 mois",IF(H734&lt;6,"Péremption &lt; 6 mois",""))))</f>
        <v/>
      </c>
      <c r="J734" s="17" t="str">
        <f aca="false">IF(A734="","",IF(COUNTIF(Emplacements!$A$2:$A$1001,A734)=0,"⚠ emplacement inconnu","OK"))</f>
        <v/>
      </c>
      <c r="K734" s="22" t="str">
        <f aca="false">IF(AND(B734&lt;&gt;"",ISNUMBER(SEARCH(Recherche!$C$3,C734&amp;" "&amp;B734&amp;" "&amp;A734&amp;" "&amp;D734))),MAX($K$1:K733)+1,"")</f>
        <v/>
      </c>
    </row>
    <row r="735" customFormat="false" ht="15" hidden="false" customHeight="false" outlineLevel="0" collapsed="false">
      <c r="A735" s="12"/>
      <c r="B735" s="12"/>
      <c r="C735" s="17" t="str">
        <f aca="false">IF(B735="","",IFERROR(INDEX(Produits!$F$2:$F$1001,MATCH(B735,Produits!$A$2:$A$1001,0)),"⚠ code article inconnu"))</f>
        <v/>
      </c>
      <c r="D735" s="12"/>
      <c r="E735" s="23"/>
      <c r="F735" s="24"/>
      <c r="G735" s="23"/>
      <c r="H735" s="21" t="str">
        <f aca="true">IF(E735="","",ROUND((E735-TODAY())/30.4,1))</f>
        <v/>
      </c>
      <c r="I735" s="17" t="str">
        <f aca="false">IF(E735="","",IF(H735&lt;0,IF(LEFT(A735,1)="Q","Périmé (en quarantaine)","PÉRIMÉ → déplacer en zone Q"),IF(H735&lt;3,"Péremption &lt; 3 mois",IF(H735&lt;6,"Péremption &lt; 6 mois",""))))</f>
        <v/>
      </c>
      <c r="J735" s="17" t="str">
        <f aca="false">IF(A735="","",IF(COUNTIF(Emplacements!$A$2:$A$1001,A735)=0,"⚠ emplacement inconnu","OK"))</f>
        <v/>
      </c>
      <c r="K735" s="22" t="str">
        <f aca="false">IF(AND(B735&lt;&gt;"",ISNUMBER(SEARCH(Recherche!$C$3,C735&amp;" "&amp;B735&amp;" "&amp;A735&amp;" "&amp;D735))),MAX($K$1:K734)+1,"")</f>
        <v/>
      </c>
    </row>
    <row r="736" customFormat="false" ht="15" hidden="false" customHeight="false" outlineLevel="0" collapsed="false">
      <c r="A736" s="12"/>
      <c r="B736" s="12"/>
      <c r="C736" s="17" t="str">
        <f aca="false">IF(B736="","",IFERROR(INDEX(Produits!$F$2:$F$1001,MATCH(B736,Produits!$A$2:$A$1001,0)),"⚠ code article inconnu"))</f>
        <v/>
      </c>
      <c r="D736" s="12"/>
      <c r="E736" s="23"/>
      <c r="F736" s="24"/>
      <c r="G736" s="23"/>
      <c r="H736" s="21" t="str">
        <f aca="true">IF(E736="","",ROUND((E736-TODAY())/30.4,1))</f>
        <v/>
      </c>
      <c r="I736" s="17" t="str">
        <f aca="false">IF(E736="","",IF(H736&lt;0,IF(LEFT(A736,1)="Q","Périmé (en quarantaine)","PÉRIMÉ → déplacer en zone Q"),IF(H736&lt;3,"Péremption &lt; 3 mois",IF(H736&lt;6,"Péremption &lt; 6 mois",""))))</f>
        <v/>
      </c>
      <c r="J736" s="17" t="str">
        <f aca="false">IF(A736="","",IF(COUNTIF(Emplacements!$A$2:$A$1001,A736)=0,"⚠ emplacement inconnu","OK"))</f>
        <v/>
      </c>
      <c r="K736" s="22" t="str">
        <f aca="false">IF(AND(B736&lt;&gt;"",ISNUMBER(SEARCH(Recherche!$C$3,C736&amp;" "&amp;B736&amp;" "&amp;A736&amp;" "&amp;D736))),MAX($K$1:K735)+1,"")</f>
        <v/>
      </c>
    </row>
    <row r="737" customFormat="false" ht="15" hidden="false" customHeight="false" outlineLevel="0" collapsed="false">
      <c r="A737" s="12"/>
      <c r="B737" s="12"/>
      <c r="C737" s="17" t="str">
        <f aca="false">IF(B737="","",IFERROR(INDEX(Produits!$F$2:$F$1001,MATCH(B737,Produits!$A$2:$A$1001,0)),"⚠ code article inconnu"))</f>
        <v/>
      </c>
      <c r="D737" s="12"/>
      <c r="E737" s="23"/>
      <c r="F737" s="24"/>
      <c r="G737" s="23"/>
      <c r="H737" s="21" t="str">
        <f aca="true">IF(E737="","",ROUND((E737-TODAY())/30.4,1))</f>
        <v/>
      </c>
      <c r="I737" s="17" t="str">
        <f aca="false">IF(E737="","",IF(H737&lt;0,IF(LEFT(A737,1)="Q","Périmé (en quarantaine)","PÉRIMÉ → déplacer en zone Q"),IF(H737&lt;3,"Péremption &lt; 3 mois",IF(H737&lt;6,"Péremption &lt; 6 mois",""))))</f>
        <v/>
      </c>
      <c r="J737" s="17" t="str">
        <f aca="false">IF(A737="","",IF(COUNTIF(Emplacements!$A$2:$A$1001,A737)=0,"⚠ emplacement inconnu","OK"))</f>
        <v/>
      </c>
      <c r="K737" s="22" t="str">
        <f aca="false">IF(AND(B737&lt;&gt;"",ISNUMBER(SEARCH(Recherche!$C$3,C737&amp;" "&amp;B737&amp;" "&amp;A737&amp;" "&amp;D737))),MAX($K$1:K736)+1,"")</f>
        <v/>
      </c>
    </row>
    <row r="738" customFormat="false" ht="15" hidden="false" customHeight="false" outlineLevel="0" collapsed="false">
      <c r="A738" s="12"/>
      <c r="B738" s="12"/>
      <c r="C738" s="17" t="str">
        <f aca="false">IF(B738="","",IFERROR(INDEX(Produits!$F$2:$F$1001,MATCH(B738,Produits!$A$2:$A$1001,0)),"⚠ code article inconnu"))</f>
        <v/>
      </c>
      <c r="D738" s="12"/>
      <c r="E738" s="23"/>
      <c r="F738" s="24"/>
      <c r="G738" s="23"/>
      <c r="H738" s="21" t="str">
        <f aca="true">IF(E738="","",ROUND((E738-TODAY())/30.4,1))</f>
        <v/>
      </c>
      <c r="I738" s="17" t="str">
        <f aca="false">IF(E738="","",IF(H738&lt;0,IF(LEFT(A738,1)="Q","Périmé (en quarantaine)","PÉRIMÉ → déplacer en zone Q"),IF(H738&lt;3,"Péremption &lt; 3 mois",IF(H738&lt;6,"Péremption &lt; 6 mois",""))))</f>
        <v/>
      </c>
      <c r="J738" s="17" t="str">
        <f aca="false">IF(A738="","",IF(COUNTIF(Emplacements!$A$2:$A$1001,A738)=0,"⚠ emplacement inconnu","OK"))</f>
        <v/>
      </c>
      <c r="K738" s="22" t="str">
        <f aca="false">IF(AND(B738&lt;&gt;"",ISNUMBER(SEARCH(Recherche!$C$3,C738&amp;" "&amp;B738&amp;" "&amp;A738&amp;" "&amp;D738))),MAX($K$1:K737)+1,"")</f>
        <v/>
      </c>
    </row>
    <row r="739" customFormat="false" ht="15" hidden="false" customHeight="false" outlineLevel="0" collapsed="false">
      <c r="A739" s="12"/>
      <c r="B739" s="12"/>
      <c r="C739" s="17" t="str">
        <f aca="false">IF(B739="","",IFERROR(INDEX(Produits!$F$2:$F$1001,MATCH(B739,Produits!$A$2:$A$1001,0)),"⚠ code article inconnu"))</f>
        <v/>
      </c>
      <c r="D739" s="12"/>
      <c r="E739" s="23"/>
      <c r="F739" s="24"/>
      <c r="G739" s="23"/>
      <c r="H739" s="21" t="str">
        <f aca="true">IF(E739="","",ROUND((E739-TODAY())/30.4,1))</f>
        <v/>
      </c>
      <c r="I739" s="17" t="str">
        <f aca="false">IF(E739="","",IF(H739&lt;0,IF(LEFT(A739,1)="Q","Périmé (en quarantaine)","PÉRIMÉ → déplacer en zone Q"),IF(H739&lt;3,"Péremption &lt; 3 mois",IF(H739&lt;6,"Péremption &lt; 6 mois",""))))</f>
        <v/>
      </c>
      <c r="J739" s="17" t="str">
        <f aca="false">IF(A739="","",IF(COUNTIF(Emplacements!$A$2:$A$1001,A739)=0,"⚠ emplacement inconnu","OK"))</f>
        <v/>
      </c>
      <c r="K739" s="22" t="str">
        <f aca="false">IF(AND(B739&lt;&gt;"",ISNUMBER(SEARCH(Recherche!$C$3,C739&amp;" "&amp;B739&amp;" "&amp;A739&amp;" "&amp;D739))),MAX($K$1:K738)+1,"")</f>
        <v/>
      </c>
    </row>
    <row r="740" customFormat="false" ht="15" hidden="false" customHeight="false" outlineLevel="0" collapsed="false">
      <c r="A740" s="12"/>
      <c r="B740" s="12"/>
      <c r="C740" s="17" t="str">
        <f aca="false">IF(B740="","",IFERROR(INDEX(Produits!$F$2:$F$1001,MATCH(B740,Produits!$A$2:$A$1001,0)),"⚠ code article inconnu"))</f>
        <v/>
      </c>
      <c r="D740" s="12"/>
      <c r="E740" s="23"/>
      <c r="F740" s="24"/>
      <c r="G740" s="23"/>
      <c r="H740" s="21" t="str">
        <f aca="true">IF(E740="","",ROUND((E740-TODAY())/30.4,1))</f>
        <v/>
      </c>
      <c r="I740" s="17" t="str">
        <f aca="false">IF(E740="","",IF(H740&lt;0,IF(LEFT(A740,1)="Q","Périmé (en quarantaine)","PÉRIMÉ → déplacer en zone Q"),IF(H740&lt;3,"Péremption &lt; 3 mois",IF(H740&lt;6,"Péremption &lt; 6 mois",""))))</f>
        <v/>
      </c>
      <c r="J740" s="17" t="str">
        <f aca="false">IF(A740="","",IF(COUNTIF(Emplacements!$A$2:$A$1001,A740)=0,"⚠ emplacement inconnu","OK"))</f>
        <v/>
      </c>
      <c r="K740" s="22" t="str">
        <f aca="false">IF(AND(B740&lt;&gt;"",ISNUMBER(SEARCH(Recherche!$C$3,C740&amp;" "&amp;B740&amp;" "&amp;A740&amp;" "&amp;D740))),MAX($K$1:K739)+1,"")</f>
        <v/>
      </c>
    </row>
    <row r="741" customFormat="false" ht="15" hidden="false" customHeight="false" outlineLevel="0" collapsed="false">
      <c r="A741" s="12"/>
      <c r="B741" s="12"/>
      <c r="C741" s="17" t="str">
        <f aca="false">IF(B741="","",IFERROR(INDEX(Produits!$F$2:$F$1001,MATCH(B741,Produits!$A$2:$A$1001,0)),"⚠ code article inconnu"))</f>
        <v/>
      </c>
      <c r="D741" s="12"/>
      <c r="E741" s="23"/>
      <c r="F741" s="24"/>
      <c r="G741" s="23"/>
      <c r="H741" s="21" t="str">
        <f aca="true">IF(E741="","",ROUND((E741-TODAY())/30.4,1))</f>
        <v/>
      </c>
      <c r="I741" s="17" t="str">
        <f aca="false">IF(E741="","",IF(H741&lt;0,IF(LEFT(A741,1)="Q","Périmé (en quarantaine)","PÉRIMÉ → déplacer en zone Q"),IF(H741&lt;3,"Péremption &lt; 3 mois",IF(H741&lt;6,"Péremption &lt; 6 mois",""))))</f>
        <v/>
      </c>
      <c r="J741" s="17" t="str">
        <f aca="false">IF(A741="","",IF(COUNTIF(Emplacements!$A$2:$A$1001,A741)=0,"⚠ emplacement inconnu","OK"))</f>
        <v/>
      </c>
      <c r="K741" s="22" t="str">
        <f aca="false">IF(AND(B741&lt;&gt;"",ISNUMBER(SEARCH(Recherche!$C$3,C741&amp;" "&amp;B741&amp;" "&amp;A741&amp;" "&amp;D741))),MAX($K$1:K740)+1,"")</f>
        <v/>
      </c>
    </row>
    <row r="742" customFormat="false" ht="15" hidden="false" customHeight="false" outlineLevel="0" collapsed="false">
      <c r="A742" s="12"/>
      <c r="B742" s="12"/>
      <c r="C742" s="17" t="str">
        <f aca="false">IF(B742="","",IFERROR(INDEX(Produits!$F$2:$F$1001,MATCH(B742,Produits!$A$2:$A$1001,0)),"⚠ code article inconnu"))</f>
        <v/>
      </c>
      <c r="D742" s="12"/>
      <c r="E742" s="23"/>
      <c r="F742" s="24"/>
      <c r="G742" s="23"/>
      <c r="H742" s="21" t="str">
        <f aca="true">IF(E742="","",ROUND((E742-TODAY())/30.4,1))</f>
        <v/>
      </c>
      <c r="I742" s="17" t="str">
        <f aca="false">IF(E742="","",IF(H742&lt;0,IF(LEFT(A742,1)="Q","Périmé (en quarantaine)","PÉRIMÉ → déplacer en zone Q"),IF(H742&lt;3,"Péremption &lt; 3 mois",IF(H742&lt;6,"Péremption &lt; 6 mois",""))))</f>
        <v/>
      </c>
      <c r="J742" s="17" t="str">
        <f aca="false">IF(A742="","",IF(COUNTIF(Emplacements!$A$2:$A$1001,A742)=0,"⚠ emplacement inconnu","OK"))</f>
        <v/>
      </c>
      <c r="K742" s="22" t="str">
        <f aca="false">IF(AND(B742&lt;&gt;"",ISNUMBER(SEARCH(Recherche!$C$3,C742&amp;" "&amp;B742&amp;" "&amp;A742&amp;" "&amp;D742))),MAX($K$1:K741)+1,"")</f>
        <v/>
      </c>
    </row>
    <row r="743" customFormat="false" ht="15" hidden="false" customHeight="false" outlineLevel="0" collapsed="false">
      <c r="A743" s="12"/>
      <c r="B743" s="12"/>
      <c r="C743" s="17" t="str">
        <f aca="false">IF(B743="","",IFERROR(INDEX(Produits!$F$2:$F$1001,MATCH(B743,Produits!$A$2:$A$1001,0)),"⚠ code article inconnu"))</f>
        <v/>
      </c>
      <c r="D743" s="12"/>
      <c r="E743" s="23"/>
      <c r="F743" s="24"/>
      <c r="G743" s="23"/>
      <c r="H743" s="21" t="str">
        <f aca="true">IF(E743="","",ROUND((E743-TODAY())/30.4,1))</f>
        <v/>
      </c>
      <c r="I743" s="17" t="str">
        <f aca="false">IF(E743="","",IF(H743&lt;0,IF(LEFT(A743,1)="Q","Périmé (en quarantaine)","PÉRIMÉ → déplacer en zone Q"),IF(H743&lt;3,"Péremption &lt; 3 mois",IF(H743&lt;6,"Péremption &lt; 6 mois",""))))</f>
        <v/>
      </c>
      <c r="J743" s="17" t="str">
        <f aca="false">IF(A743="","",IF(COUNTIF(Emplacements!$A$2:$A$1001,A743)=0,"⚠ emplacement inconnu","OK"))</f>
        <v/>
      </c>
      <c r="K743" s="22" t="str">
        <f aca="false">IF(AND(B743&lt;&gt;"",ISNUMBER(SEARCH(Recherche!$C$3,C743&amp;" "&amp;B743&amp;" "&amp;A743&amp;" "&amp;D743))),MAX($K$1:K742)+1,"")</f>
        <v/>
      </c>
    </row>
    <row r="744" customFormat="false" ht="15" hidden="false" customHeight="false" outlineLevel="0" collapsed="false">
      <c r="A744" s="12"/>
      <c r="B744" s="12"/>
      <c r="C744" s="17" t="str">
        <f aca="false">IF(B744="","",IFERROR(INDEX(Produits!$F$2:$F$1001,MATCH(B744,Produits!$A$2:$A$1001,0)),"⚠ code article inconnu"))</f>
        <v/>
      </c>
      <c r="D744" s="12"/>
      <c r="E744" s="23"/>
      <c r="F744" s="24"/>
      <c r="G744" s="23"/>
      <c r="H744" s="21" t="str">
        <f aca="true">IF(E744="","",ROUND((E744-TODAY())/30.4,1))</f>
        <v/>
      </c>
      <c r="I744" s="17" t="str">
        <f aca="false">IF(E744="","",IF(H744&lt;0,IF(LEFT(A744,1)="Q","Périmé (en quarantaine)","PÉRIMÉ → déplacer en zone Q"),IF(H744&lt;3,"Péremption &lt; 3 mois",IF(H744&lt;6,"Péremption &lt; 6 mois",""))))</f>
        <v/>
      </c>
      <c r="J744" s="17" t="str">
        <f aca="false">IF(A744="","",IF(COUNTIF(Emplacements!$A$2:$A$1001,A744)=0,"⚠ emplacement inconnu","OK"))</f>
        <v/>
      </c>
      <c r="K744" s="22" t="str">
        <f aca="false">IF(AND(B744&lt;&gt;"",ISNUMBER(SEARCH(Recherche!$C$3,C744&amp;" "&amp;B744&amp;" "&amp;A744&amp;" "&amp;D744))),MAX($K$1:K743)+1,"")</f>
        <v/>
      </c>
    </row>
    <row r="745" customFormat="false" ht="15" hidden="false" customHeight="false" outlineLevel="0" collapsed="false">
      <c r="A745" s="12"/>
      <c r="B745" s="12"/>
      <c r="C745" s="17" t="str">
        <f aca="false">IF(B745="","",IFERROR(INDEX(Produits!$F$2:$F$1001,MATCH(B745,Produits!$A$2:$A$1001,0)),"⚠ code article inconnu"))</f>
        <v/>
      </c>
      <c r="D745" s="12"/>
      <c r="E745" s="23"/>
      <c r="F745" s="24"/>
      <c r="G745" s="23"/>
      <c r="H745" s="21" t="str">
        <f aca="true">IF(E745="","",ROUND((E745-TODAY())/30.4,1))</f>
        <v/>
      </c>
      <c r="I745" s="17" t="str">
        <f aca="false">IF(E745="","",IF(H745&lt;0,IF(LEFT(A745,1)="Q","Périmé (en quarantaine)","PÉRIMÉ → déplacer en zone Q"),IF(H745&lt;3,"Péremption &lt; 3 mois",IF(H745&lt;6,"Péremption &lt; 6 mois",""))))</f>
        <v/>
      </c>
      <c r="J745" s="17" t="str">
        <f aca="false">IF(A745="","",IF(COUNTIF(Emplacements!$A$2:$A$1001,A745)=0,"⚠ emplacement inconnu","OK"))</f>
        <v/>
      </c>
      <c r="K745" s="22" t="str">
        <f aca="false">IF(AND(B745&lt;&gt;"",ISNUMBER(SEARCH(Recherche!$C$3,C745&amp;" "&amp;B745&amp;" "&amp;A745&amp;" "&amp;D745))),MAX($K$1:K744)+1,"")</f>
        <v/>
      </c>
    </row>
    <row r="746" customFormat="false" ht="15" hidden="false" customHeight="false" outlineLevel="0" collapsed="false">
      <c r="A746" s="12"/>
      <c r="B746" s="12"/>
      <c r="C746" s="17" t="str">
        <f aca="false">IF(B746="","",IFERROR(INDEX(Produits!$F$2:$F$1001,MATCH(B746,Produits!$A$2:$A$1001,0)),"⚠ code article inconnu"))</f>
        <v/>
      </c>
      <c r="D746" s="12"/>
      <c r="E746" s="23"/>
      <c r="F746" s="24"/>
      <c r="G746" s="23"/>
      <c r="H746" s="21" t="str">
        <f aca="true">IF(E746="","",ROUND((E746-TODAY())/30.4,1))</f>
        <v/>
      </c>
      <c r="I746" s="17" t="str">
        <f aca="false">IF(E746="","",IF(H746&lt;0,IF(LEFT(A746,1)="Q","Périmé (en quarantaine)","PÉRIMÉ → déplacer en zone Q"),IF(H746&lt;3,"Péremption &lt; 3 mois",IF(H746&lt;6,"Péremption &lt; 6 mois",""))))</f>
        <v/>
      </c>
      <c r="J746" s="17" t="str">
        <f aca="false">IF(A746="","",IF(COUNTIF(Emplacements!$A$2:$A$1001,A746)=0,"⚠ emplacement inconnu","OK"))</f>
        <v/>
      </c>
      <c r="K746" s="22" t="str">
        <f aca="false">IF(AND(B746&lt;&gt;"",ISNUMBER(SEARCH(Recherche!$C$3,C746&amp;" "&amp;B746&amp;" "&amp;A746&amp;" "&amp;D746))),MAX($K$1:K745)+1,"")</f>
        <v/>
      </c>
    </row>
    <row r="747" customFormat="false" ht="15" hidden="false" customHeight="false" outlineLevel="0" collapsed="false">
      <c r="A747" s="12"/>
      <c r="B747" s="12"/>
      <c r="C747" s="17" t="str">
        <f aca="false">IF(B747="","",IFERROR(INDEX(Produits!$F$2:$F$1001,MATCH(B747,Produits!$A$2:$A$1001,0)),"⚠ code article inconnu"))</f>
        <v/>
      </c>
      <c r="D747" s="12"/>
      <c r="E747" s="23"/>
      <c r="F747" s="24"/>
      <c r="G747" s="23"/>
      <c r="H747" s="21" t="str">
        <f aca="true">IF(E747="","",ROUND((E747-TODAY())/30.4,1))</f>
        <v/>
      </c>
      <c r="I747" s="17" t="str">
        <f aca="false">IF(E747="","",IF(H747&lt;0,IF(LEFT(A747,1)="Q","Périmé (en quarantaine)","PÉRIMÉ → déplacer en zone Q"),IF(H747&lt;3,"Péremption &lt; 3 mois",IF(H747&lt;6,"Péremption &lt; 6 mois",""))))</f>
        <v/>
      </c>
      <c r="J747" s="17" t="str">
        <f aca="false">IF(A747="","",IF(COUNTIF(Emplacements!$A$2:$A$1001,A747)=0,"⚠ emplacement inconnu","OK"))</f>
        <v/>
      </c>
      <c r="K747" s="22" t="str">
        <f aca="false">IF(AND(B747&lt;&gt;"",ISNUMBER(SEARCH(Recherche!$C$3,C747&amp;" "&amp;B747&amp;" "&amp;A747&amp;" "&amp;D747))),MAX($K$1:K746)+1,"")</f>
        <v/>
      </c>
    </row>
    <row r="748" customFormat="false" ht="15" hidden="false" customHeight="false" outlineLevel="0" collapsed="false">
      <c r="A748" s="12"/>
      <c r="B748" s="12"/>
      <c r="C748" s="17" t="str">
        <f aca="false">IF(B748="","",IFERROR(INDEX(Produits!$F$2:$F$1001,MATCH(B748,Produits!$A$2:$A$1001,0)),"⚠ code article inconnu"))</f>
        <v/>
      </c>
      <c r="D748" s="12"/>
      <c r="E748" s="23"/>
      <c r="F748" s="24"/>
      <c r="G748" s="23"/>
      <c r="H748" s="21" t="str">
        <f aca="true">IF(E748="","",ROUND((E748-TODAY())/30.4,1))</f>
        <v/>
      </c>
      <c r="I748" s="17" t="str">
        <f aca="false">IF(E748="","",IF(H748&lt;0,IF(LEFT(A748,1)="Q","Périmé (en quarantaine)","PÉRIMÉ → déplacer en zone Q"),IF(H748&lt;3,"Péremption &lt; 3 mois",IF(H748&lt;6,"Péremption &lt; 6 mois",""))))</f>
        <v/>
      </c>
      <c r="J748" s="17" t="str">
        <f aca="false">IF(A748="","",IF(COUNTIF(Emplacements!$A$2:$A$1001,A748)=0,"⚠ emplacement inconnu","OK"))</f>
        <v/>
      </c>
      <c r="K748" s="22" t="str">
        <f aca="false">IF(AND(B748&lt;&gt;"",ISNUMBER(SEARCH(Recherche!$C$3,C748&amp;" "&amp;B748&amp;" "&amp;A748&amp;" "&amp;D748))),MAX($K$1:K747)+1,"")</f>
        <v/>
      </c>
    </row>
    <row r="749" customFormat="false" ht="15" hidden="false" customHeight="false" outlineLevel="0" collapsed="false">
      <c r="A749" s="12"/>
      <c r="B749" s="12"/>
      <c r="C749" s="17" t="str">
        <f aca="false">IF(B749="","",IFERROR(INDEX(Produits!$F$2:$F$1001,MATCH(B749,Produits!$A$2:$A$1001,0)),"⚠ code article inconnu"))</f>
        <v/>
      </c>
      <c r="D749" s="12"/>
      <c r="E749" s="23"/>
      <c r="F749" s="24"/>
      <c r="G749" s="23"/>
      <c r="H749" s="21" t="str">
        <f aca="true">IF(E749="","",ROUND((E749-TODAY())/30.4,1))</f>
        <v/>
      </c>
      <c r="I749" s="17" t="str">
        <f aca="false">IF(E749="","",IF(H749&lt;0,IF(LEFT(A749,1)="Q","Périmé (en quarantaine)","PÉRIMÉ → déplacer en zone Q"),IF(H749&lt;3,"Péremption &lt; 3 mois",IF(H749&lt;6,"Péremption &lt; 6 mois",""))))</f>
        <v/>
      </c>
      <c r="J749" s="17" t="str">
        <f aca="false">IF(A749="","",IF(COUNTIF(Emplacements!$A$2:$A$1001,A749)=0,"⚠ emplacement inconnu","OK"))</f>
        <v/>
      </c>
      <c r="K749" s="22" t="str">
        <f aca="false">IF(AND(B749&lt;&gt;"",ISNUMBER(SEARCH(Recherche!$C$3,C749&amp;" "&amp;B749&amp;" "&amp;A749&amp;" "&amp;D749))),MAX($K$1:K748)+1,"")</f>
        <v/>
      </c>
    </row>
    <row r="750" customFormat="false" ht="15" hidden="false" customHeight="false" outlineLevel="0" collapsed="false">
      <c r="A750" s="12"/>
      <c r="B750" s="12"/>
      <c r="C750" s="17" t="str">
        <f aca="false">IF(B750="","",IFERROR(INDEX(Produits!$F$2:$F$1001,MATCH(B750,Produits!$A$2:$A$1001,0)),"⚠ code article inconnu"))</f>
        <v/>
      </c>
      <c r="D750" s="12"/>
      <c r="E750" s="23"/>
      <c r="F750" s="24"/>
      <c r="G750" s="23"/>
      <c r="H750" s="21" t="str">
        <f aca="true">IF(E750="","",ROUND((E750-TODAY())/30.4,1))</f>
        <v/>
      </c>
      <c r="I750" s="17" t="str">
        <f aca="false">IF(E750="","",IF(H750&lt;0,IF(LEFT(A750,1)="Q","Périmé (en quarantaine)","PÉRIMÉ → déplacer en zone Q"),IF(H750&lt;3,"Péremption &lt; 3 mois",IF(H750&lt;6,"Péremption &lt; 6 mois",""))))</f>
        <v/>
      </c>
      <c r="J750" s="17" t="str">
        <f aca="false">IF(A750="","",IF(COUNTIF(Emplacements!$A$2:$A$1001,A750)=0,"⚠ emplacement inconnu","OK"))</f>
        <v/>
      </c>
      <c r="K750" s="22" t="str">
        <f aca="false">IF(AND(B750&lt;&gt;"",ISNUMBER(SEARCH(Recherche!$C$3,C750&amp;" "&amp;B750&amp;" "&amp;A750&amp;" "&amp;D750))),MAX($K$1:K749)+1,"")</f>
        <v/>
      </c>
    </row>
    <row r="751" customFormat="false" ht="15" hidden="false" customHeight="false" outlineLevel="0" collapsed="false">
      <c r="A751" s="12"/>
      <c r="B751" s="12"/>
      <c r="C751" s="17" t="str">
        <f aca="false">IF(B751="","",IFERROR(INDEX(Produits!$F$2:$F$1001,MATCH(B751,Produits!$A$2:$A$1001,0)),"⚠ code article inconnu"))</f>
        <v/>
      </c>
      <c r="D751" s="12"/>
      <c r="E751" s="23"/>
      <c r="F751" s="24"/>
      <c r="G751" s="23"/>
      <c r="H751" s="21" t="str">
        <f aca="true">IF(E751="","",ROUND((E751-TODAY())/30.4,1))</f>
        <v/>
      </c>
      <c r="I751" s="17" t="str">
        <f aca="false">IF(E751="","",IF(H751&lt;0,IF(LEFT(A751,1)="Q","Périmé (en quarantaine)","PÉRIMÉ → déplacer en zone Q"),IF(H751&lt;3,"Péremption &lt; 3 mois",IF(H751&lt;6,"Péremption &lt; 6 mois",""))))</f>
        <v/>
      </c>
      <c r="J751" s="17" t="str">
        <f aca="false">IF(A751="","",IF(COUNTIF(Emplacements!$A$2:$A$1001,A751)=0,"⚠ emplacement inconnu","OK"))</f>
        <v/>
      </c>
      <c r="K751" s="22" t="str">
        <f aca="false">IF(AND(B751&lt;&gt;"",ISNUMBER(SEARCH(Recherche!$C$3,C751&amp;" "&amp;B751&amp;" "&amp;A751&amp;" "&amp;D751))),MAX($K$1:K750)+1,"")</f>
        <v/>
      </c>
    </row>
    <row r="752" customFormat="false" ht="15" hidden="false" customHeight="false" outlineLevel="0" collapsed="false">
      <c r="A752" s="12"/>
      <c r="B752" s="12"/>
      <c r="C752" s="17" t="str">
        <f aca="false">IF(B752="","",IFERROR(INDEX(Produits!$F$2:$F$1001,MATCH(B752,Produits!$A$2:$A$1001,0)),"⚠ code article inconnu"))</f>
        <v/>
      </c>
      <c r="D752" s="12"/>
      <c r="E752" s="23"/>
      <c r="F752" s="24"/>
      <c r="G752" s="23"/>
      <c r="H752" s="21" t="str">
        <f aca="true">IF(E752="","",ROUND((E752-TODAY())/30.4,1))</f>
        <v/>
      </c>
      <c r="I752" s="17" t="str">
        <f aca="false">IF(E752="","",IF(H752&lt;0,IF(LEFT(A752,1)="Q","Périmé (en quarantaine)","PÉRIMÉ → déplacer en zone Q"),IF(H752&lt;3,"Péremption &lt; 3 mois",IF(H752&lt;6,"Péremption &lt; 6 mois",""))))</f>
        <v/>
      </c>
      <c r="J752" s="17" t="str">
        <f aca="false">IF(A752="","",IF(COUNTIF(Emplacements!$A$2:$A$1001,A752)=0,"⚠ emplacement inconnu","OK"))</f>
        <v/>
      </c>
      <c r="K752" s="22" t="str">
        <f aca="false">IF(AND(B752&lt;&gt;"",ISNUMBER(SEARCH(Recherche!$C$3,C752&amp;" "&amp;B752&amp;" "&amp;A752&amp;" "&amp;D752))),MAX($K$1:K751)+1,"")</f>
        <v/>
      </c>
    </row>
    <row r="753" customFormat="false" ht="15" hidden="false" customHeight="false" outlineLevel="0" collapsed="false">
      <c r="A753" s="12"/>
      <c r="B753" s="12"/>
      <c r="C753" s="17" t="str">
        <f aca="false">IF(B753="","",IFERROR(INDEX(Produits!$F$2:$F$1001,MATCH(B753,Produits!$A$2:$A$1001,0)),"⚠ code article inconnu"))</f>
        <v/>
      </c>
      <c r="D753" s="12"/>
      <c r="E753" s="23"/>
      <c r="F753" s="24"/>
      <c r="G753" s="23"/>
      <c r="H753" s="21" t="str">
        <f aca="true">IF(E753="","",ROUND((E753-TODAY())/30.4,1))</f>
        <v/>
      </c>
      <c r="I753" s="17" t="str">
        <f aca="false">IF(E753="","",IF(H753&lt;0,IF(LEFT(A753,1)="Q","Périmé (en quarantaine)","PÉRIMÉ → déplacer en zone Q"),IF(H753&lt;3,"Péremption &lt; 3 mois",IF(H753&lt;6,"Péremption &lt; 6 mois",""))))</f>
        <v/>
      </c>
      <c r="J753" s="17" t="str">
        <f aca="false">IF(A753="","",IF(COUNTIF(Emplacements!$A$2:$A$1001,A753)=0,"⚠ emplacement inconnu","OK"))</f>
        <v/>
      </c>
      <c r="K753" s="22" t="str">
        <f aca="false">IF(AND(B753&lt;&gt;"",ISNUMBER(SEARCH(Recherche!$C$3,C753&amp;" "&amp;B753&amp;" "&amp;A753&amp;" "&amp;D753))),MAX($K$1:K752)+1,"")</f>
        <v/>
      </c>
    </row>
    <row r="754" customFormat="false" ht="15" hidden="false" customHeight="false" outlineLevel="0" collapsed="false">
      <c r="A754" s="12"/>
      <c r="B754" s="12"/>
      <c r="C754" s="17" t="str">
        <f aca="false">IF(B754="","",IFERROR(INDEX(Produits!$F$2:$F$1001,MATCH(B754,Produits!$A$2:$A$1001,0)),"⚠ code article inconnu"))</f>
        <v/>
      </c>
      <c r="D754" s="12"/>
      <c r="E754" s="23"/>
      <c r="F754" s="24"/>
      <c r="G754" s="23"/>
      <c r="H754" s="21" t="str">
        <f aca="true">IF(E754="","",ROUND((E754-TODAY())/30.4,1))</f>
        <v/>
      </c>
      <c r="I754" s="17" t="str">
        <f aca="false">IF(E754="","",IF(H754&lt;0,IF(LEFT(A754,1)="Q","Périmé (en quarantaine)","PÉRIMÉ → déplacer en zone Q"),IF(H754&lt;3,"Péremption &lt; 3 mois",IF(H754&lt;6,"Péremption &lt; 6 mois",""))))</f>
        <v/>
      </c>
      <c r="J754" s="17" t="str">
        <f aca="false">IF(A754="","",IF(COUNTIF(Emplacements!$A$2:$A$1001,A754)=0,"⚠ emplacement inconnu","OK"))</f>
        <v/>
      </c>
      <c r="K754" s="22" t="str">
        <f aca="false">IF(AND(B754&lt;&gt;"",ISNUMBER(SEARCH(Recherche!$C$3,C754&amp;" "&amp;B754&amp;" "&amp;A754&amp;" "&amp;D754))),MAX($K$1:K753)+1,"")</f>
        <v/>
      </c>
    </row>
    <row r="755" customFormat="false" ht="15" hidden="false" customHeight="false" outlineLevel="0" collapsed="false">
      <c r="A755" s="12"/>
      <c r="B755" s="12"/>
      <c r="C755" s="17" t="str">
        <f aca="false">IF(B755="","",IFERROR(INDEX(Produits!$F$2:$F$1001,MATCH(B755,Produits!$A$2:$A$1001,0)),"⚠ code article inconnu"))</f>
        <v/>
      </c>
      <c r="D755" s="12"/>
      <c r="E755" s="23"/>
      <c r="F755" s="24"/>
      <c r="G755" s="23"/>
      <c r="H755" s="21" t="str">
        <f aca="true">IF(E755="","",ROUND((E755-TODAY())/30.4,1))</f>
        <v/>
      </c>
      <c r="I755" s="17" t="str">
        <f aca="false">IF(E755="","",IF(H755&lt;0,IF(LEFT(A755,1)="Q","Périmé (en quarantaine)","PÉRIMÉ → déplacer en zone Q"),IF(H755&lt;3,"Péremption &lt; 3 mois",IF(H755&lt;6,"Péremption &lt; 6 mois",""))))</f>
        <v/>
      </c>
      <c r="J755" s="17" t="str">
        <f aca="false">IF(A755="","",IF(COUNTIF(Emplacements!$A$2:$A$1001,A755)=0,"⚠ emplacement inconnu","OK"))</f>
        <v/>
      </c>
      <c r="K755" s="22" t="str">
        <f aca="false">IF(AND(B755&lt;&gt;"",ISNUMBER(SEARCH(Recherche!$C$3,C755&amp;" "&amp;B755&amp;" "&amp;A755&amp;" "&amp;D755))),MAX($K$1:K754)+1,"")</f>
        <v/>
      </c>
    </row>
    <row r="756" customFormat="false" ht="15" hidden="false" customHeight="false" outlineLevel="0" collapsed="false">
      <c r="A756" s="12"/>
      <c r="B756" s="12"/>
      <c r="C756" s="17" t="str">
        <f aca="false">IF(B756="","",IFERROR(INDEX(Produits!$F$2:$F$1001,MATCH(B756,Produits!$A$2:$A$1001,0)),"⚠ code article inconnu"))</f>
        <v/>
      </c>
      <c r="D756" s="12"/>
      <c r="E756" s="23"/>
      <c r="F756" s="24"/>
      <c r="G756" s="23"/>
      <c r="H756" s="21" t="str">
        <f aca="true">IF(E756="","",ROUND((E756-TODAY())/30.4,1))</f>
        <v/>
      </c>
      <c r="I756" s="17" t="str">
        <f aca="false">IF(E756="","",IF(H756&lt;0,IF(LEFT(A756,1)="Q","Périmé (en quarantaine)","PÉRIMÉ → déplacer en zone Q"),IF(H756&lt;3,"Péremption &lt; 3 mois",IF(H756&lt;6,"Péremption &lt; 6 mois",""))))</f>
        <v/>
      </c>
      <c r="J756" s="17" t="str">
        <f aca="false">IF(A756="","",IF(COUNTIF(Emplacements!$A$2:$A$1001,A756)=0,"⚠ emplacement inconnu","OK"))</f>
        <v/>
      </c>
      <c r="K756" s="22" t="str">
        <f aca="false">IF(AND(B756&lt;&gt;"",ISNUMBER(SEARCH(Recherche!$C$3,C756&amp;" "&amp;B756&amp;" "&amp;A756&amp;" "&amp;D756))),MAX($K$1:K755)+1,"")</f>
        <v/>
      </c>
    </row>
    <row r="757" customFormat="false" ht="15" hidden="false" customHeight="false" outlineLevel="0" collapsed="false">
      <c r="A757" s="12"/>
      <c r="B757" s="12"/>
      <c r="C757" s="17" t="str">
        <f aca="false">IF(B757="","",IFERROR(INDEX(Produits!$F$2:$F$1001,MATCH(B757,Produits!$A$2:$A$1001,0)),"⚠ code article inconnu"))</f>
        <v/>
      </c>
      <c r="D757" s="12"/>
      <c r="E757" s="23"/>
      <c r="F757" s="24"/>
      <c r="G757" s="23"/>
      <c r="H757" s="21" t="str">
        <f aca="true">IF(E757="","",ROUND((E757-TODAY())/30.4,1))</f>
        <v/>
      </c>
      <c r="I757" s="17" t="str">
        <f aca="false">IF(E757="","",IF(H757&lt;0,IF(LEFT(A757,1)="Q","Périmé (en quarantaine)","PÉRIMÉ → déplacer en zone Q"),IF(H757&lt;3,"Péremption &lt; 3 mois",IF(H757&lt;6,"Péremption &lt; 6 mois",""))))</f>
        <v/>
      </c>
      <c r="J757" s="17" t="str">
        <f aca="false">IF(A757="","",IF(COUNTIF(Emplacements!$A$2:$A$1001,A757)=0,"⚠ emplacement inconnu","OK"))</f>
        <v/>
      </c>
      <c r="K757" s="22" t="str">
        <f aca="false">IF(AND(B757&lt;&gt;"",ISNUMBER(SEARCH(Recherche!$C$3,C757&amp;" "&amp;B757&amp;" "&amp;A757&amp;" "&amp;D757))),MAX($K$1:K756)+1,"")</f>
        <v/>
      </c>
    </row>
    <row r="758" customFormat="false" ht="15" hidden="false" customHeight="false" outlineLevel="0" collapsed="false">
      <c r="A758" s="12"/>
      <c r="B758" s="12"/>
      <c r="C758" s="17" t="str">
        <f aca="false">IF(B758="","",IFERROR(INDEX(Produits!$F$2:$F$1001,MATCH(B758,Produits!$A$2:$A$1001,0)),"⚠ code article inconnu"))</f>
        <v/>
      </c>
      <c r="D758" s="12"/>
      <c r="E758" s="23"/>
      <c r="F758" s="24"/>
      <c r="G758" s="23"/>
      <c r="H758" s="21" t="str">
        <f aca="true">IF(E758="","",ROUND((E758-TODAY())/30.4,1))</f>
        <v/>
      </c>
      <c r="I758" s="17" t="str">
        <f aca="false">IF(E758="","",IF(H758&lt;0,IF(LEFT(A758,1)="Q","Périmé (en quarantaine)","PÉRIMÉ → déplacer en zone Q"),IF(H758&lt;3,"Péremption &lt; 3 mois",IF(H758&lt;6,"Péremption &lt; 6 mois",""))))</f>
        <v/>
      </c>
      <c r="J758" s="17" t="str">
        <f aca="false">IF(A758="","",IF(COUNTIF(Emplacements!$A$2:$A$1001,A758)=0,"⚠ emplacement inconnu","OK"))</f>
        <v/>
      </c>
      <c r="K758" s="22" t="str">
        <f aca="false">IF(AND(B758&lt;&gt;"",ISNUMBER(SEARCH(Recherche!$C$3,C758&amp;" "&amp;B758&amp;" "&amp;A758&amp;" "&amp;D758))),MAX($K$1:K757)+1,"")</f>
        <v/>
      </c>
    </row>
    <row r="759" customFormat="false" ht="15" hidden="false" customHeight="false" outlineLevel="0" collapsed="false">
      <c r="A759" s="12"/>
      <c r="B759" s="12"/>
      <c r="C759" s="17" t="str">
        <f aca="false">IF(B759="","",IFERROR(INDEX(Produits!$F$2:$F$1001,MATCH(B759,Produits!$A$2:$A$1001,0)),"⚠ code article inconnu"))</f>
        <v/>
      </c>
      <c r="D759" s="12"/>
      <c r="E759" s="23"/>
      <c r="F759" s="24"/>
      <c r="G759" s="23"/>
      <c r="H759" s="21" t="str">
        <f aca="true">IF(E759="","",ROUND((E759-TODAY())/30.4,1))</f>
        <v/>
      </c>
      <c r="I759" s="17" t="str">
        <f aca="false">IF(E759="","",IF(H759&lt;0,IF(LEFT(A759,1)="Q","Périmé (en quarantaine)","PÉRIMÉ → déplacer en zone Q"),IF(H759&lt;3,"Péremption &lt; 3 mois",IF(H759&lt;6,"Péremption &lt; 6 mois",""))))</f>
        <v/>
      </c>
      <c r="J759" s="17" t="str">
        <f aca="false">IF(A759="","",IF(COUNTIF(Emplacements!$A$2:$A$1001,A759)=0,"⚠ emplacement inconnu","OK"))</f>
        <v/>
      </c>
      <c r="K759" s="22" t="str">
        <f aca="false">IF(AND(B759&lt;&gt;"",ISNUMBER(SEARCH(Recherche!$C$3,C759&amp;" "&amp;B759&amp;" "&amp;A759&amp;" "&amp;D759))),MAX($K$1:K758)+1,"")</f>
        <v/>
      </c>
    </row>
    <row r="760" customFormat="false" ht="15" hidden="false" customHeight="false" outlineLevel="0" collapsed="false">
      <c r="A760" s="12"/>
      <c r="B760" s="12"/>
      <c r="C760" s="17" t="str">
        <f aca="false">IF(B760="","",IFERROR(INDEX(Produits!$F$2:$F$1001,MATCH(B760,Produits!$A$2:$A$1001,0)),"⚠ code article inconnu"))</f>
        <v/>
      </c>
      <c r="D760" s="12"/>
      <c r="E760" s="23"/>
      <c r="F760" s="24"/>
      <c r="G760" s="23"/>
      <c r="H760" s="21" t="str">
        <f aca="true">IF(E760="","",ROUND((E760-TODAY())/30.4,1))</f>
        <v/>
      </c>
      <c r="I760" s="17" t="str">
        <f aca="false">IF(E760="","",IF(H760&lt;0,IF(LEFT(A760,1)="Q","Périmé (en quarantaine)","PÉRIMÉ → déplacer en zone Q"),IF(H760&lt;3,"Péremption &lt; 3 mois",IF(H760&lt;6,"Péremption &lt; 6 mois",""))))</f>
        <v/>
      </c>
      <c r="J760" s="17" t="str">
        <f aca="false">IF(A760="","",IF(COUNTIF(Emplacements!$A$2:$A$1001,A760)=0,"⚠ emplacement inconnu","OK"))</f>
        <v/>
      </c>
      <c r="K760" s="22" t="str">
        <f aca="false">IF(AND(B760&lt;&gt;"",ISNUMBER(SEARCH(Recherche!$C$3,C760&amp;" "&amp;B760&amp;" "&amp;A760&amp;" "&amp;D760))),MAX($K$1:K759)+1,"")</f>
        <v/>
      </c>
    </row>
    <row r="761" customFormat="false" ht="15" hidden="false" customHeight="false" outlineLevel="0" collapsed="false">
      <c r="A761" s="12"/>
      <c r="B761" s="12"/>
      <c r="C761" s="17" t="str">
        <f aca="false">IF(B761="","",IFERROR(INDEX(Produits!$F$2:$F$1001,MATCH(B761,Produits!$A$2:$A$1001,0)),"⚠ code article inconnu"))</f>
        <v/>
      </c>
      <c r="D761" s="12"/>
      <c r="E761" s="23"/>
      <c r="F761" s="24"/>
      <c r="G761" s="23"/>
      <c r="H761" s="21" t="str">
        <f aca="true">IF(E761="","",ROUND((E761-TODAY())/30.4,1))</f>
        <v/>
      </c>
      <c r="I761" s="17" t="str">
        <f aca="false">IF(E761="","",IF(H761&lt;0,IF(LEFT(A761,1)="Q","Périmé (en quarantaine)","PÉRIMÉ → déplacer en zone Q"),IF(H761&lt;3,"Péremption &lt; 3 mois",IF(H761&lt;6,"Péremption &lt; 6 mois",""))))</f>
        <v/>
      </c>
      <c r="J761" s="17" t="str">
        <f aca="false">IF(A761="","",IF(COUNTIF(Emplacements!$A$2:$A$1001,A761)=0,"⚠ emplacement inconnu","OK"))</f>
        <v/>
      </c>
      <c r="K761" s="22" t="str">
        <f aca="false">IF(AND(B761&lt;&gt;"",ISNUMBER(SEARCH(Recherche!$C$3,C761&amp;" "&amp;B761&amp;" "&amp;A761&amp;" "&amp;D761))),MAX($K$1:K760)+1,"")</f>
        <v/>
      </c>
    </row>
    <row r="762" customFormat="false" ht="15" hidden="false" customHeight="false" outlineLevel="0" collapsed="false">
      <c r="A762" s="12"/>
      <c r="B762" s="12"/>
      <c r="C762" s="17" t="str">
        <f aca="false">IF(B762="","",IFERROR(INDEX(Produits!$F$2:$F$1001,MATCH(B762,Produits!$A$2:$A$1001,0)),"⚠ code article inconnu"))</f>
        <v/>
      </c>
      <c r="D762" s="12"/>
      <c r="E762" s="23"/>
      <c r="F762" s="24"/>
      <c r="G762" s="23"/>
      <c r="H762" s="21" t="str">
        <f aca="true">IF(E762="","",ROUND((E762-TODAY())/30.4,1))</f>
        <v/>
      </c>
      <c r="I762" s="17" t="str">
        <f aca="false">IF(E762="","",IF(H762&lt;0,IF(LEFT(A762,1)="Q","Périmé (en quarantaine)","PÉRIMÉ → déplacer en zone Q"),IF(H762&lt;3,"Péremption &lt; 3 mois",IF(H762&lt;6,"Péremption &lt; 6 mois",""))))</f>
        <v/>
      </c>
      <c r="J762" s="17" t="str">
        <f aca="false">IF(A762="","",IF(COUNTIF(Emplacements!$A$2:$A$1001,A762)=0,"⚠ emplacement inconnu","OK"))</f>
        <v/>
      </c>
      <c r="K762" s="22" t="str">
        <f aca="false">IF(AND(B762&lt;&gt;"",ISNUMBER(SEARCH(Recherche!$C$3,C762&amp;" "&amp;B762&amp;" "&amp;A762&amp;" "&amp;D762))),MAX($K$1:K761)+1,"")</f>
        <v/>
      </c>
    </row>
    <row r="763" customFormat="false" ht="15" hidden="false" customHeight="false" outlineLevel="0" collapsed="false">
      <c r="A763" s="12"/>
      <c r="B763" s="12"/>
      <c r="C763" s="17" t="str">
        <f aca="false">IF(B763="","",IFERROR(INDEX(Produits!$F$2:$F$1001,MATCH(B763,Produits!$A$2:$A$1001,0)),"⚠ code article inconnu"))</f>
        <v/>
      </c>
      <c r="D763" s="12"/>
      <c r="E763" s="23"/>
      <c r="F763" s="24"/>
      <c r="G763" s="23"/>
      <c r="H763" s="21" t="str">
        <f aca="true">IF(E763="","",ROUND((E763-TODAY())/30.4,1))</f>
        <v/>
      </c>
      <c r="I763" s="17" t="str">
        <f aca="false">IF(E763="","",IF(H763&lt;0,IF(LEFT(A763,1)="Q","Périmé (en quarantaine)","PÉRIMÉ → déplacer en zone Q"),IF(H763&lt;3,"Péremption &lt; 3 mois",IF(H763&lt;6,"Péremption &lt; 6 mois",""))))</f>
        <v/>
      </c>
      <c r="J763" s="17" t="str">
        <f aca="false">IF(A763="","",IF(COUNTIF(Emplacements!$A$2:$A$1001,A763)=0,"⚠ emplacement inconnu","OK"))</f>
        <v/>
      </c>
      <c r="K763" s="22" t="str">
        <f aca="false">IF(AND(B763&lt;&gt;"",ISNUMBER(SEARCH(Recherche!$C$3,C763&amp;" "&amp;B763&amp;" "&amp;A763&amp;" "&amp;D763))),MAX($K$1:K762)+1,"")</f>
        <v/>
      </c>
    </row>
    <row r="764" customFormat="false" ht="15" hidden="false" customHeight="false" outlineLevel="0" collapsed="false">
      <c r="A764" s="12"/>
      <c r="B764" s="12"/>
      <c r="C764" s="17" t="str">
        <f aca="false">IF(B764="","",IFERROR(INDEX(Produits!$F$2:$F$1001,MATCH(B764,Produits!$A$2:$A$1001,0)),"⚠ code article inconnu"))</f>
        <v/>
      </c>
      <c r="D764" s="12"/>
      <c r="E764" s="23"/>
      <c r="F764" s="24"/>
      <c r="G764" s="23"/>
      <c r="H764" s="21" t="str">
        <f aca="true">IF(E764="","",ROUND((E764-TODAY())/30.4,1))</f>
        <v/>
      </c>
      <c r="I764" s="17" t="str">
        <f aca="false">IF(E764="","",IF(H764&lt;0,IF(LEFT(A764,1)="Q","Périmé (en quarantaine)","PÉRIMÉ → déplacer en zone Q"),IF(H764&lt;3,"Péremption &lt; 3 mois",IF(H764&lt;6,"Péremption &lt; 6 mois",""))))</f>
        <v/>
      </c>
      <c r="J764" s="17" t="str">
        <f aca="false">IF(A764="","",IF(COUNTIF(Emplacements!$A$2:$A$1001,A764)=0,"⚠ emplacement inconnu","OK"))</f>
        <v/>
      </c>
      <c r="K764" s="22" t="str">
        <f aca="false">IF(AND(B764&lt;&gt;"",ISNUMBER(SEARCH(Recherche!$C$3,C764&amp;" "&amp;B764&amp;" "&amp;A764&amp;" "&amp;D764))),MAX($K$1:K763)+1,"")</f>
        <v/>
      </c>
    </row>
    <row r="765" customFormat="false" ht="15" hidden="false" customHeight="false" outlineLevel="0" collapsed="false">
      <c r="A765" s="12"/>
      <c r="B765" s="12"/>
      <c r="C765" s="17" t="str">
        <f aca="false">IF(B765="","",IFERROR(INDEX(Produits!$F$2:$F$1001,MATCH(B765,Produits!$A$2:$A$1001,0)),"⚠ code article inconnu"))</f>
        <v/>
      </c>
      <c r="D765" s="12"/>
      <c r="E765" s="23"/>
      <c r="F765" s="24"/>
      <c r="G765" s="23"/>
      <c r="H765" s="21" t="str">
        <f aca="true">IF(E765="","",ROUND((E765-TODAY())/30.4,1))</f>
        <v/>
      </c>
      <c r="I765" s="17" t="str">
        <f aca="false">IF(E765="","",IF(H765&lt;0,IF(LEFT(A765,1)="Q","Périmé (en quarantaine)","PÉRIMÉ → déplacer en zone Q"),IF(H765&lt;3,"Péremption &lt; 3 mois",IF(H765&lt;6,"Péremption &lt; 6 mois",""))))</f>
        <v/>
      </c>
      <c r="J765" s="17" t="str">
        <f aca="false">IF(A765="","",IF(COUNTIF(Emplacements!$A$2:$A$1001,A765)=0,"⚠ emplacement inconnu","OK"))</f>
        <v/>
      </c>
      <c r="K765" s="22" t="str">
        <f aca="false">IF(AND(B765&lt;&gt;"",ISNUMBER(SEARCH(Recherche!$C$3,C765&amp;" "&amp;B765&amp;" "&amp;A765&amp;" "&amp;D765))),MAX($K$1:K764)+1,"")</f>
        <v/>
      </c>
    </row>
    <row r="766" customFormat="false" ht="15" hidden="false" customHeight="false" outlineLevel="0" collapsed="false">
      <c r="A766" s="12"/>
      <c r="B766" s="12"/>
      <c r="C766" s="17" t="str">
        <f aca="false">IF(B766="","",IFERROR(INDEX(Produits!$F$2:$F$1001,MATCH(B766,Produits!$A$2:$A$1001,0)),"⚠ code article inconnu"))</f>
        <v/>
      </c>
      <c r="D766" s="12"/>
      <c r="E766" s="23"/>
      <c r="F766" s="24"/>
      <c r="G766" s="23"/>
      <c r="H766" s="21" t="str">
        <f aca="true">IF(E766="","",ROUND((E766-TODAY())/30.4,1))</f>
        <v/>
      </c>
      <c r="I766" s="17" t="str">
        <f aca="false">IF(E766="","",IF(H766&lt;0,IF(LEFT(A766,1)="Q","Périmé (en quarantaine)","PÉRIMÉ → déplacer en zone Q"),IF(H766&lt;3,"Péremption &lt; 3 mois",IF(H766&lt;6,"Péremption &lt; 6 mois",""))))</f>
        <v/>
      </c>
      <c r="J766" s="17" t="str">
        <f aca="false">IF(A766="","",IF(COUNTIF(Emplacements!$A$2:$A$1001,A766)=0,"⚠ emplacement inconnu","OK"))</f>
        <v/>
      </c>
      <c r="K766" s="22" t="str">
        <f aca="false">IF(AND(B766&lt;&gt;"",ISNUMBER(SEARCH(Recherche!$C$3,C766&amp;" "&amp;B766&amp;" "&amp;A766&amp;" "&amp;D766))),MAX($K$1:K765)+1,"")</f>
        <v/>
      </c>
    </row>
    <row r="767" customFormat="false" ht="15" hidden="false" customHeight="false" outlineLevel="0" collapsed="false">
      <c r="A767" s="12"/>
      <c r="B767" s="12"/>
      <c r="C767" s="17" t="str">
        <f aca="false">IF(B767="","",IFERROR(INDEX(Produits!$F$2:$F$1001,MATCH(B767,Produits!$A$2:$A$1001,0)),"⚠ code article inconnu"))</f>
        <v/>
      </c>
      <c r="D767" s="12"/>
      <c r="E767" s="23"/>
      <c r="F767" s="24"/>
      <c r="G767" s="23"/>
      <c r="H767" s="21" t="str">
        <f aca="true">IF(E767="","",ROUND((E767-TODAY())/30.4,1))</f>
        <v/>
      </c>
      <c r="I767" s="17" t="str">
        <f aca="false">IF(E767="","",IF(H767&lt;0,IF(LEFT(A767,1)="Q","Périmé (en quarantaine)","PÉRIMÉ → déplacer en zone Q"),IF(H767&lt;3,"Péremption &lt; 3 mois",IF(H767&lt;6,"Péremption &lt; 6 mois",""))))</f>
        <v/>
      </c>
      <c r="J767" s="17" t="str">
        <f aca="false">IF(A767="","",IF(COUNTIF(Emplacements!$A$2:$A$1001,A767)=0,"⚠ emplacement inconnu","OK"))</f>
        <v/>
      </c>
      <c r="K767" s="22" t="str">
        <f aca="false">IF(AND(B767&lt;&gt;"",ISNUMBER(SEARCH(Recherche!$C$3,C767&amp;" "&amp;B767&amp;" "&amp;A767&amp;" "&amp;D767))),MAX($K$1:K766)+1,"")</f>
        <v/>
      </c>
    </row>
    <row r="768" customFormat="false" ht="15" hidden="false" customHeight="false" outlineLevel="0" collapsed="false">
      <c r="A768" s="12"/>
      <c r="B768" s="12"/>
      <c r="C768" s="17" t="str">
        <f aca="false">IF(B768="","",IFERROR(INDEX(Produits!$F$2:$F$1001,MATCH(B768,Produits!$A$2:$A$1001,0)),"⚠ code article inconnu"))</f>
        <v/>
      </c>
      <c r="D768" s="12"/>
      <c r="E768" s="23"/>
      <c r="F768" s="24"/>
      <c r="G768" s="23"/>
      <c r="H768" s="21" t="str">
        <f aca="true">IF(E768="","",ROUND((E768-TODAY())/30.4,1))</f>
        <v/>
      </c>
      <c r="I768" s="17" t="str">
        <f aca="false">IF(E768="","",IF(H768&lt;0,IF(LEFT(A768,1)="Q","Périmé (en quarantaine)","PÉRIMÉ → déplacer en zone Q"),IF(H768&lt;3,"Péremption &lt; 3 mois",IF(H768&lt;6,"Péremption &lt; 6 mois",""))))</f>
        <v/>
      </c>
      <c r="J768" s="17" t="str">
        <f aca="false">IF(A768="","",IF(COUNTIF(Emplacements!$A$2:$A$1001,A768)=0,"⚠ emplacement inconnu","OK"))</f>
        <v/>
      </c>
      <c r="K768" s="22" t="str">
        <f aca="false">IF(AND(B768&lt;&gt;"",ISNUMBER(SEARCH(Recherche!$C$3,C768&amp;" "&amp;B768&amp;" "&amp;A768&amp;" "&amp;D768))),MAX($K$1:K767)+1,"")</f>
        <v/>
      </c>
    </row>
    <row r="769" customFormat="false" ht="15" hidden="false" customHeight="false" outlineLevel="0" collapsed="false">
      <c r="A769" s="12"/>
      <c r="B769" s="12"/>
      <c r="C769" s="17" t="str">
        <f aca="false">IF(B769="","",IFERROR(INDEX(Produits!$F$2:$F$1001,MATCH(B769,Produits!$A$2:$A$1001,0)),"⚠ code article inconnu"))</f>
        <v/>
      </c>
      <c r="D769" s="12"/>
      <c r="E769" s="23"/>
      <c r="F769" s="24"/>
      <c r="G769" s="23"/>
      <c r="H769" s="21" t="str">
        <f aca="true">IF(E769="","",ROUND((E769-TODAY())/30.4,1))</f>
        <v/>
      </c>
      <c r="I769" s="17" t="str">
        <f aca="false">IF(E769="","",IF(H769&lt;0,IF(LEFT(A769,1)="Q","Périmé (en quarantaine)","PÉRIMÉ → déplacer en zone Q"),IF(H769&lt;3,"Péremption &lt; 3 mois",IF(H769&lt;6,"Péremption &lt; 6 mois",""))))</f>
        <v/>
      </c>
      <c r="J769" s="17" t="str">
        <f aca="false">IF(A769="","",IF(COUNTIF(Emplacements!$A$2:$A$1001,A769)=0,"⚠ emplacement inconnu","OK"))</f>
        <v/>
      </c>
      <c r="K769" s="22" t="str">
        <f aca="false">IF(AND(B769&lt;&gt;"",ISNUMBER(SEARCH(Recherche!$C$3,C769&amp;" "&amp;B769&amp;" "&amp;A769&amp;" "&amp;D769))),MAX($K$1:K768)+1,"")</f>
        <v/>
      </c>
    </row>
    <row r="770" customFormat="false" ht="15" hidden="false" customHeight="false" outlineLevel="0" collapsed="false">
      <c r="A770" s="12"/>
      <c r="B770" s="12"/>
      <c r="C770" s="17" t="str">
        <f aca="false">IF(B770="","",IFERROR(INDEX(Produits!$F$2:$F$1001,MATCH(B770,Produits!$A$2:$A$1001,0)),"⚠ code article inconnu"))</f>
        <v/>
      </c>
      <c r="D770" s="12"/>
      <c r="E770" s="23"/>
      <c r="F770" s="24"/>
      <c r="G770" s="23"/>
      <c r="H770" s="21" t="str">
        <f aca="true">IF(E770="","",ROUND((E770-TODAY())/30.4,1))</f>
        <v/>
      </c>
      <c r="I770" s="17" t="str">
        <f aca="false">IF(E770="","",IF(H770&lt;0,IF(LEFT(A770,1)="Q","Périmé (en quarantaine)","PÉRIMÉ → déplacer en zone Q"),IF(H770&lt;3,"Péremption &lt; 3 mois",IF(H770&lt;6,"Péremption &lt; 6 mois",""))))</f>
        <v/>
      </c>
      <c r="J770" s="17" t="str">
        <f aca="false">IF(A770="","",IF(COUNTIF(Emplacements!$A$2:$A$1001,A770)=0,"⚠ emplacement inconnu","OK"))</f>
        <v/>
      </c>
      <c r="K770" s="22" t="str">
        <f aca="false">IF(AND(B770&lt;&gt;"",ISNUMBER(SEARCH(Recherche!$C$3,C770&amp;" "&amp;B770&amp;" "&amp;A770&amp;" "&amp;D770))),MAX($K$1:K769)+1,"")</f>
        <v/>
      </c>
    </row>
    <row r="771" customFormat="false" ht="15" hidden="false" customHeight="false" outlineLevel="0" collapsed="false">
      <c r="A771" s="12"/>
      <c r="B771" s="12"/>
      <c r="C771" s="17" t="str">
        <f aca="false">IF(B771="","",IFERROR(INDEX(Produits!$F$2:$F$1001,MATCH(B771,Produits!$A$2:$A$1001,0)),"⚠ code article inconnu"))</f>
        <v/>
      </c>
      <c r="D771" s="12"/>
      <c r="E771" s="23"/>
      <c r="F771" s="24"/>
      <c r="G771" s="23"/>
      <c r="H771" s="21" t="str">
        <f aca="true">IF(E771="","",ROUND((E771-TODAY())/30.4,1))</f>
        <v/>
      </c>
      <c r="I771" s="17" t="str">
        <f aca="false">IF(E771="","",IF(H771&lt;0,IF(LEFT(A771,1)="Q","Périmé (en quarantaine)","PÉRIMÉ → déplacer en zone Q"),IF(H771&lt;3,"Péremption &lt; 3 mois",IF(H771&lt;6,"Péremption &lt; 6 mois",""))))</f>
        <v/>
      </c>
      <c r="J771" s="17" t="str">
        <f aca="false">IF(A771="","",IF(COUNTIF(Emplacements!$A$2:$A$1001,A771)=0,"⚠ emplacement inconnu","OK"))</f>
        <v/>
      </c>
      <c r="K771" s="22" t="str">
        <f aca="false">IF(AND(B771&lt;&gt;"",ISNUMBER(SEARCH(Recherche!$C$3,C771&amp;" "&amp;B771&amp;" "&amp;A771&amp;" "&amp;D771))),MAX($K$1:K770)+1,"")</f>
        <v/>
      </c>
    </row>
    <row r="772" customFormat="false" ht="15" hidden="false" customHeight="false" outlineLevel="0" collapsed="false">
      <c r="A772" s="12"/>
      <c r="B772" s="12"/>
      <c r="C772" s="17" t="str">
        <f aca="false">IF(B772="","",IFERROR(INDEX(Produits!$F$2:$F$1001,MATCH(B772,Produits!$A$2:$A$1001,0)),"⚠ code article inconnu"))</f>
        <v/>
      </c>
      <c r="D772" s="12"/>
      <c r="E772" s="23"/>
      <c r="F772" s="24"/>
      <c r="G772" s="23"/>
      <c r="H772" s="21" t="str">
        <f aca="true">IF(E772="","",ROUND((E772-TODAY())/30.4,1))</f>
        <v/>
      </c>
      <c r="I772" s="17" t="str">
        <f aca="false">IF(E772="","",IF(H772&lt;0,IF(LEFT(A772,1)="Q","Périmé (en quarantaine)","PÉRIMÉ → déplacer en zone Q"),IF(H772&lt;3,"Péremption &lt; 3 mois",IF(H772&lt;6,"Péremption &lt; 6 mois",""))))</f>
        <v/>
      </c>
      <c r="J772" s="17" t="str">
        <f aca="false">IF(A772="","",IF(COUNTIF(Emplacements!$A$2:$A$1001,A772)=0,"⚠ emplacement inconnu","OK"))</f>
        <v/>
      </c>
      <c r="K772" s="22" t="str">
        <f aca="false">IF(AND(B772&lt;&gt;"",ISNUMBER(SEARCH(Recherche!$C$3,C772&amp;" "&amp;B772&amp;" "&amp;A772&amp;" "&amp;D772))),MAX($K$1:K771)+1,"")</f>
        <v/>
      </c>
    </row>
    <row r="773" customFormat="false" ht="15" hidden="false" customHeight="false" outlineLevel="0" collapsed="false">
      <c r="A773" s="12"/>
      <c r="B773" s="12"/>
      <c r="C773" s="17" t="str">
        <f aca="false">IF(B773="","",IFERROR(INDEX(Produits!$F$2:$F$1001,MATCH(B773,Produits!$A$2:$A$1001,0)),"⚠ code article inconnu"))</f>
        <v/>
      </c>
      <c r="D773" s="12"/>
      <c r="E773" s="23"/>
      <c r="F773" s="24"/>
      <c r="G773" s="23"/>
      <c r="H773" s="21" t="str">
        <f aca="true">IF(E773="","",ROUND((E773-TODAY())/30.4,1))</f>
        <v/>
      </c>
      <c r="I773" s="17" t="str">
        <f aca="false">IF(E773="","",IF(H773&lt;0,IF(LEFT(A773,1)="Q","Périmé (en quarantaine)","PÉRIMÉ → déplacer en zone Q"),IF(H773&lt;3,"Péremption &lt; 3 mois",IF(H773&lt;6,"Péremption &lt; 6 mois",""))))</f>
        <v/>
      </c>
      <c r="J773" s="17" t="str">
        <f aca="false">IF(A773="","",IF(COUNTIF(Emplacements!$A$2:$A$1001,A773)=0,"⚠ emplacement inconnu","OK"))</f>
        <v/>
      </c>
      <c r="K773" s="22" t="str">
        <f aca="false">IF(AND(B773&lt;&gt;"",ISNUMBER(SEARCH(Recherche!$C$3,C773&amp;" "&amp;B773&amp;" "&amp;A773&amp;" "&amp;D773))),MAX($K$1:K772)+1,"")</f>
        <v/>
      </c>
    </row>
    <row r="774" customFormat="false" ht="15" hidden="false" customHeight="false" outlineLevel="0" collapsed="false">
      <c r="A774" s="12"/>
      <c r="B774" s="12"/>
      <c r="C774" s="17" t="str">
        <f aca="false">IF(B774="","",IFERROR(INDEX(Produits!$F$2:$F$1001,MATCH(B774,Produits!$A$2:$A$1001,0)),"⚠ code article inconnu"))</f>
        <v/>
      </c>
      <c r="D774" s="12"/>
      <c r="E774" s="23"/>
      <c r="F774" s="24"/>
      <c r="G774" s="23"/>
      <c r="H774" s="21" t="str">
        <f aca="true">IF(E774="","",ROUND((E774-TODAY())/30.4,1))</f>
        <v/>
      </c>
      <c r="I774" s="17" t="str">
        <f aca="false">IF(E774="","",IF(H774&lt;0,IF(LEFT(A774,1)="Q","Périmé (en quarantaine)","PÉRIMÉ → déplacer en zone Q"),IF(H774&lt;3,"Péremption &lt; 3 mois",IF(H774&lt;6,"Péremption &lt; 6 mois",""))))</f>
        <v/>
      </c>
      <c r="J774" s="17" t="str">
        <f aca="false">IF(A774="","",IF(COUNTIF(Emplacements!$A$2:$A$1001,A774)=0,"⚠ emplacement inconnu","OK"))</f>
        <v/>
      </c>
      <c r="K774" s="22" t="str">
        <f aca="false">IF(AND(B774&lt;&gt;"",ISNUMBER(SEARCH(Recherche!$C$3,C774&amp;" "&amp;B774&amp;" "&amp;A774&amp;" "&amp;D774))),MAX($K$1:K773)+1,"")</f>
        <v/>
      </c>
    </row>
    <row r="775" customFormat="false" ht="15" hidden="false" customHeight="false" outlineLevel="0" collapsed="false">
      <c r="A775" s="12"/>
      <c r="B775" s="12"/>
      <c r="C775" s="17" t="str">
        <f aca="false">IF(B775="","",IFERROR(INDEX(Produits!$F$2:$F$1001,MATCH(B775,Produits!$A$2:$A$1001,0)),"⚠ code article inconnu"))</f>
        <v/>
      </c>
      <c r="D775" s="12"/>
      <c r="E775" s="23"/>
      <c r="F775" s="24"/>
      <c r="G775" s="23"/>
      <c r="H775" s="21" t="str">
        <f aca="true">IF(E775="","",ROUND((E775-TODAY())/30.4,1))</f>
        <v/>
      </c>
      <c r="I775" s="17" t="str">
        <f aca="false">IF(E775="","",IF(H775&lt;0,IF(LEFT(A775,1)="Q","Périmé (en quarantaine)","PÉRIMÉ → déplacer en zone Q"),IF(H775&lt;3,"Péremption &lt; 3 mois",IF(H775&lt;6,"Péremption &lt; 6 mois",""))))</f>
        <v/>
      </c>
      <c r="J775" s="17" t="str">
        <f aca="false">IF(A775="","",IF(COUNTIF(Emplacements!$A$2:$A$1001,A775)=0,"⚠ emplacement inconnu","OK"))</f>
        <v/>
      </c>
      <c r="K775" s="22" t="str">
        <f aca="false">IF(AND(B775&lt;&gt;"",ISNUMBER(SEARCH(Recherche!$C$3,C775&amp;" "&amp;B775&amp;" "&amp;A775&amp;" "&amp;D775))),MAX($K$1:K774)+1,"")</f>
        <v/>
      </c>
    </row>
    <row r="776" customFormat="false" ht="15" hidden="false" customHeight="false" outlineLevel="0" collapsed="false">
      <c r="A776" s="12"/>
      <c r="B776" s="12"/>
      <c r="C776" s="17" t="str">
        <f aca="false">IF(B776="","",IFERROR(INDEX(Produits!$F$2:$F$1001,MATCH(B776,Produits!$A$2:$A$1001,0)),"⚠ code article inconnu"))</f>
        <v/>
      </c>
      <c r="D776" s="12"/>
      <c r="E776" s="23"/>
      <c r="F776" s="24"/>
      <c r="G776" s="23"/>
      <c r="H776" s="21" t="str">
        <f aca="true">IF(E776="","",ROUND((E776-TODAY())/30.4,1))</f>
        <v/>
      </c>
      <c r="I776" s="17" t="str">
        <f aca="false">IF(E776="","",IF(H776&lt;0,IF(LEFT(A776,1)="Q","Périmé (en quarantaine)","PÉRIMÉ → déplacer en zone Q"),IF(H776&lt;3,"Péremption &lt; 3 mois",IF(H776&lt;6,"Péremption &lt; 6 mois",""))))</f>
        <v/>
      </c>
      <c r="J776" s="17" t="str">
        <f aca="false">IF(A776="","",IF(COUNTIF(Emplacements!$A$2:$A$1001,A776)=0,"⚠ emplacement inconnu","OK"))</f>
        <v/>
      </c>
      <c r="K776" s="22" t="str">
        <f aca="false">IF(AND(B776&lt;&gt;"",ISNUMBER(SEARCH(Recherche!$C$3,C776&amp;" "&amp;B776&amp;" "&amp;A776&amp;" "&amp;D776))),MAX($K$1:K775)+1,"")</f>
        <v/>
      </c>
    </row>
    <row r="777" customFormat="false" ht="15" hidden="false" customHeight="false" outlineLevel="0" collapsed="false">
      <c r="A777" s="12"/>
      <c r="B777" s="12"/>
      <c r="C777" s="17" t="str">
        <f aca="false">IF(B777="","",IFERROR(INDEX(Produits!$F$2:$F$1001,MATCH(B777,Produits!$A$2:$A$1001,0)),"⚠ code article inconnu"))</f>
        <v/>
      </c>
      <c r="D777" s="12"/>
      <c r="E777" s="23"/>
      <c r="F777" s="24"/>
      <c r="G777" s="23"/>
      <c r="H777" s="21" t="str">
        <f aca="true">IF(E777="","",ROUND((E777-TODAY())/30.4,1))</f>
        <v/>
      </c>
      <c r="I777" s="17" t="str">
        <f aca="false">IF(E777="","",IF(H777&lt;0,IF(LEFT(A777,1)="Q","Périmé (en quarantaine)","PÉRIMÉ → déplacer en zone Q"),IF(H777&lt;3,"Péremption &lt; 3 mois",IF(H777&lt;6,"Péremption &lt; 6 mois",""))))</f>
        <v/>
      </c>
      <c r="J777" s="17" t="str">
        <f aca="false">IF(A777="","",IF(COUNTIF(Emplacements!$A$2:$A$1001,A777)=0,"⚠ emplacement inconnu","OK"))</f>
        <v/>
      </c>
      <c r="K777" s="22" t="str">
        <f aca="false">IF(AND(B777&lt;&gt;"",ISNUMBER(SEARCH(Recherche!$C$3,C777&amp;" "&amp;B777&amp;" "&amp;A777&amp;" "&amp;D777))),MAX($K$1:K776)+1,"")</f>
        <v/>
      </c>
    </row>
    <row r="778" customFormat="false" ht="15" hidden="false" customHeight="false" outlineLevel="0" collapsed="false">
      <c r="A778" s="12"/>
      <c r="B778" s="12"/>
      <c r="C778" s="17" t="str">
        <f aca="false">IF(B778="","",IFERROR(INDEX(Produits!$F$2:$F$1001,MATCH(B778,Produits!$A$2:$A$1001,0)),"⚠ code article inconnu"))</f>
        <v/>
      </c>
      <c r="D778" s="12"/>
      <c r="E778" s="23"/>
      <c r="F778" s="24"/>
      <c r="G778" s="23"/>
      <c r="H778" s="21" t="str">
        <f aca="true">IF(E778="","",ROUND((E778-TODAY())/30.4,1))</f>
        <v/>
      </c>
      <c r="I778" s="17" t="str">
        <f aca="false">IF(E778="","",IF(H778&lt;0,IF(LEFT(A778,1)="Q","Périmé (en quarantaine)","PÉRIMÉ → déplacer en zone Q"),IF(H778&lt;3,"Péremption &lt; 3 mois",IF(H778&lt;6,"Péremption &lt; 6 mois",""))))</f>
        <v/>
      </c>
      <c r="J778" s="17" t="str">
        <f aca="false">IF(A778="","",IF(COUNTIF(Emplacements!$A$2:$A$1001,A778)=0,"⚠ emplacement inconnu","OK"))</f>
        <v/>
      </c>
      <c r="K778" s="22" t="str">
        <f aca="false">IF(AND(B778&lt;&gt;"",ISNUMBER(SEARCH(Recherche!$C$3,C778&amp;" "&amp;B778&amp;" "&amp;A778&amp;" "&amp;D778))),MAX($K$1:K777)+1,"")</f>
        <v/>
      </c>
    </row>
    <row r="779" customFormat="false" ht="15" hidden="false" customHeight="false" outlineLevel="0" collapsed="false">
      <c r="A779" s="12"/>
      <c r="B779" s="12"/>
      <c r="C779" s="17" t="str">
        <f aca="false">IF(B779="","",IFERROR(INDEX(Produits!$F$2:$F$1001,MATCH(B779,Produits!$A$2:$A$1001,0)),"⚠ code article inconnu"))</f>
        <v/>
      </c>
      <c r="D779" s="12"/>
      <c r="E779" s="23"/>
      <c r="F779" s="24"/>
      <c r="G779" s="23"/>
      <c r="H779" s="21" t="str">
        <f aca="true">IF(E779="","",ROUND((E779-TODAY())/30.4,1))</f>
        <v/>
      </c>
      <c r="I779" s="17" t="str">
        <f aca="false">IF(E779="","",IF(H779&lt;0,IF(LEFT(A779,1)="Q","Périmé (en quarantaine)","PÉRIMÉ → déplacer en zone Q"),IF(H779&lt;3,"Péremption &lt; 3 mois",IF(H779&lt;6,"Péremption &lt; 6 mois",""))))</f>
        <v/>
      </c>
      <c r="J779" s="17" t="str">
        <f aca="false">IF(A779="","",IF(COUNTIF(Emplacements!$A$2:$A$1001,A779)=0,"⚠ emplacement inconnu","OK"))</f>
        <v/>
      </c>
      <c r="K779" s="22" t="str">
        <f aca="false">IF(AND(B779&lt;&gt;"",ISNUMBER(SEARCH(Recherche!$C$3,C779&amp;" "&amp;B779&amp;" "&amp;A779&amp;" "&amp;D779))),MAX($K$1:K778)+1,"")</f>
        <v/>
      </c>
    </row>
    <row r="780" customFormat="false" ht="15" hidden="false" customHeight="false" outlineLevel="0" collapsed="false">
      <c r="A780" s="12"/>
      <c r="B780" s="12"/>
      <c r="C780" s="17" t="str">
        <f aca="false">IF(B780="","",IFERROR(INDEX(Produits!$F$2:$F$1001,MATCH(B780,Produits!$A$2:$A$1001,0)),"⚠ code article inconnu"))</f>
        <v/>
      </c>
      <c r="D780" s="12"/>
      <c r="E780" s="23"/>
      <c r="F780" s="24"/>
      <c r="G780" s="23"/>
      <c r="H780" s="21" t="str">
        <f aca="true">IF(E780="","",ROUND((E780-TODAY())/30.4,1))</f>
        <v/>
      </c>
      <c r="I780" s="17" t="str">
        <f aca="false">IF(E780="","",IF(H780&lt;0,IF(LEFT(A780,1)="Q","Périmé (en quarantaine)","PÉRIMÉ → déplacer en zone Q"),IF(H780&lt;3,"Péremption &lt; 3 mois",IF(H780&lt;6,"Péremption &lt; 6 mois",""))))</f>
        <v/>
      </c>
      <c r="J780" s="17" t="str">
        <f aca="false">IF(A780="","",IF(COUNTIF(Emplacements!$A$2:$A$1001,A780)=0,"⚠ emplacement inconnu","OK"))</f>
        <v/>
      </c>
      <c r="K780" s="22" t="str">
        <f aca="false">IF(AND(B780&lt;&gt;"",ISNUMBER(SEARCH(Recherche!$C$3,C780&amp;" "&amp;B780&amp;" "&amp;A780&amp;" "&amp;D780))),MAX($K$1:K779)+1,"")</f>
        <v/>
      </c>
    </row>
    <row r="781" customFormat="false" ht="15" hidden="false" customHeight="false" outlineLevel="0" collapsed="false">
      <c r="A781" s="12"/>
      <c r="B781" s="12"/>
      <c r="C781" s="17" t="str">
        <f aca="false">IF(B781="","",IFERROR(INDEX(Produits!$F$2:$F$1001,MATCH(B781,Produits!$A$2:$A$1001,0)),"⚠ code article inconnu"))</f>
        <v/>
      </c>
      <c r="D781" s="12"/>
      <c r="E781" s="23"/>
      <c r="F781" s="24"/>
      <c r="G781" s="23"/>
      <c r="H781" s="21" t="str">
        <f aca="true">IF(E781="","",ROUND((E781-TODAY())/30.4,1))</f>
        <v/>
      </c>
      <c r="I781" s="17" t="str">
        <f aca="false">IF(E781="","",IF(H781&lt;0,IF(LEFT(A781,1)="Q","Périmé (en quarantaine)","PÉRIMÉ → déplacer en zone Q"),IF(H781&lt;3,"Péremption &lt; 3 mois",IF(H781&lt;6,"Péremption &lt; 6 mois",""))))</f>
        <v/>
      </c>
      <c r="J781" s="17" t="str">
        <f aca="false">IF(A781="","",IF(COUNTIF(Emplacements!$A$2:$A$1001,A781)=0,"⚠ emplacement inconnu","OK"))</f>
        <v/>
      </c>
      <c r="K781" s="22" t="str">
        <f aca="false">IF(AND(B781&lt;&gt;"",ISNUMBER(SEARCH(Recherche!$C$3,C781&amp;" "&amp;B781&amp;" "&amp;A781&amp;" "&amp;D781))),MAX($K$1:K780)+1,"")</f>
        <v/>
      </c>
    </row>
    <row r="782" customFormat="false" ht="15" hidden="false" customHeight="false" outlineLevel="0" collapsed="false">
      <c r="A782" s="12"/>
      <c r="B782" s="12"/>
      <c r="C782" s="17" t="str">
        <f aca="false">IF(B782="","",IFERROR(INDEX(Produits!$F$2:$F$1001,MATCH(B782,Produits!$A$2:$A$1001,0)),"⚠ code article inconnu"))</f>
        <v/>
      </c>
      <c r="D782" s="12"/>
      <c r="E782" s="23"/>
      <c r="F782" s="24"/>
      <c r="G782" s="23"/>
      <c r="H782" s="21" t="str">
        <f aca="true">IF(E782="","",ROUND((E782-TODAY())/30.4,1))</f>
        <v/>
      </c>
      <c r="I782" s="17" t="str">
        <f aca="false">IF(E782="","",IF(H782&lt;0,IF(LEFT(A782,1)="Q","Périmé (en quarantaine)","PÉRIMÉ → déplacer en zone Q"),IF(H782&lt;3,"Péremption &lt; 3 mois",IF(H782&lt;6,"Péremption &lt; 6 mois",""))))</f>
        <v/>
      </c>
      <c r="J782" s="17" t="str">
        <f aca="false">IF(A782="","",IF(COUNTIF(Emplacements!$A$2:$A$1001,A782)=0,"⚠ emplacement inconnu","OK"))</f>
        <v/>
      </c>
      <c r="K782" s="22" t="str">
        <f aca="false">IF(AND(B782&lt;&gt;"",ISNUMBER(SEARCH(Recherche!$C$3,C782&amp;" "&amp;B782&amp;" "&amp;A782&amp;" "&amp;D782))),MAX($K$1:K781)+1,"")</f>
        <v/>
      </c>
    </row>
    <row r="783" customFormat="false" ht="15" hidden="false" customHeight="false" outlineLevel="0" collapsed="false">
      <c r="A783" s="12"/>
      <c r="B783" s="12"/>
      <c r="C783" s="17" t="str">
        <f aca="false">IF(B783="","",IFERROR(INDEX(Produits!$F$2:$F$1001,MATCH(B783,Produits!$A$2:$A$1001,0)),"⚠ code article inconnu"))</f>
        <v/>
      </c>
      <c r="D783" s="12"/>
      <c r="E783" s="23"/>
      <c r="F783" s="24"/>
      <c r="G783" s="23"/>
      <c r="H783" s="21" t="str">
        <f aca="true">IF(E783="","",ROUND((E783-TODAY())/30.4,1))</f>
        <v/>
      </c>
      <c r="I783" s="17" t="str">
        <f aca="false">IF(E783="","",IF(H783&lt;0,IF(LEFT(A783,1)="Q","Périmé (en quarantaine)","PÉRIMÉ → déplacer en zone Q"),IF(H783&lt;3,"Péremption &lt; 3 mois",IF(H783&lt;6,"Péremption &lt; 6 mois",""))))</f>
        <v/>
      </c>
      <c r="J783" s="17" t="str">
        <f aca="false">IF(A783="","",IF(COUNTIF(Emplacements!$A$2:$A$1001,A783)=0,"⚠ emplacement inconnu","OK"))</f>
        <v/>
      </c>
      <c r="K783" s="22" t="str">
        <f aca="false">IF(AND(B783&lt;&gt;"",ISNUMBER(SEARCH(Recherche!$C$3,C783&amp;" "&amp;B783&amp;" "&amp;A783&amp;" "&amp;D783))),MAX($K$1:K782)+1,"")</f>
        <v/>
      </c>
    </row>
    <row r="784" customFormat="false" ht="15" hidden="false" customHeight="false" outlineLevel="0" collapsed="false">
      <c r="A784" s="12"/>
      <c r="B784" s="12"/>
      <c r="C784" s="17" t="str">
        <f aca="false">IF(B784="","",IFERROR(INDEX(Produits!$F$2:$F$1001,MATCH(B784,Produits!$A$2:$A$1001,0)),"⚠ code article inconnu"))</f>
        <v/>
      </c>
      <c r="D784" s="12"/>
      <c r="E784" s="23"/>
      <c r="F784" s="24"/>
      <c r="G784" s="23"/>
      <c r="H784" s="21" t="str">
        <f aca="true">IF(E784="","",ROUND((E784-TODAY())/30.4,1))</f>
        <v/>
      </c>
      <c r="I784" s="17" t="str">
        <f aca="false">IF(E784="","",IF(H784&lt;0,IF(LEFT(A784,1)="Q","Périmé (en quarantaine)","PÉRIMÉ → déplacer en zone Q"),IF(H784&lt;3,"Péremption &lt; 3 mois",IF(H784&lt;6,"Péremption &lt; 6 mois",""))))</f>
        <v/>
      </c>
      <c r="J784" s="17" t="str">
        <f aca="false">IF(A784="","",IF(COUNTIF(Emplacements!$A$2:$A$1001,A784)=0,"⚠ emplacement inconnu","OK"))</f>
        <v/>
      </c>
      <c r="K784" s="22" t="str">
        <f aca="false">IF(AND(B784&lt;&gt;"",ISNUMBER(SEARCH(Recherche!$C$3,C784&amp;" "&amp;B784&amp;" "&amp;A784&amp;" "&amp;D784))),MAX($K$1:K783)+1,"")</f>
        <v/>
      </c>
    </row>
    <row r="785" customFormat="false" ht="15" hidden="false" customHeight="false" outlineLevel="0" collapsed="false">
      <c r="A785" s="12"/>
      <c r="B785" s="12"/>
      <c r="C785" s="17" t="str">
        <f aca="false">IF(B785="","",IFERROR(INDEX(Produits!$F$2:$F$1001,MATCH(B785,Produits!$A$2:$A$1001,0)),"⚠ code article inconnu"))</f>
        <v/>
      </c>
      <c r="D785" s="12"/>
      <c r="E785" s="23"/>
      <c r="F785" s="24"/>
      <c r="G785" s="23"/>
      <c r="H785" s="21" t="str">
        <f aca="true">IF(E785="","",ROUND((E785-TODAY())/30.4,1))</f>
        <v/>
      </c>
      <c r="I785" s="17" t="str">
        <f aca="false">IF(E785="","",IF(H785&lt;0,IF(LEFT(A785,1)="Q","Périmé (en quarantaine)","PÉRIMÉ → déplacer en zone Q"),IF(H785&lt;3,"Péremption &lt; 3 mois",IF(H785&lt;6,"Péremption &lt; 6 mois",""))))</f>
        <v/>
      </c>
      <c r="J785" s="17" t="str">
        <f aca="false">IF(A785="","",IF(COUNTIF(Emplacements!$A$2:$A$1001,A785)=0,"⚠ emplacement inconnu","OK"))</f>
        <v/>
      </c>
      <c r="K785" s="22" t="str">
        <f aca="false">IF(AND(B785&lt;&gt;"",ISNUMBER(SEARCH(Recherche!$C$3,C785&amp;" "&amp;B785&amp;" "&amp;A785&amp;" "&amp;D785))),MAX($K$1:K784)+1,"")</f>
        <v/>
      </c>
    </row>
    <row r="786" customFormat="false" ht="15" hidden="false" customHeight="false" outlineLevel="0" collapsed="false">
      <c r="A786" s="12"/>
      <c r="B786" s="12"/>
      <c r="C786" s="17" t="str">
        <f aca="false">IF(B786="","",IFERROR(INDEX(Produits!$F$2:$F$1001,MATCH(B786,Produits!$A$2:$A$1001,0)),"⚠ code article inconnu"))</f>
        <v/>
      </c>
      <c r="D786" s="12"/>
      <c r="E786" s="23"/>
      <c r="F786" s="24"/>
      <c r="G786" s="23"/>
      <c r="H786" s="21" t="str">
        <f aca="true">IF(E786="","",ROUND((E786-TODAY())/30.4,1))</f>
        <v/>
      </c>
      <c r="I786" s="17" t="str">
        <f aca="false">IF(E786="","",IF(H786&lt;0,IF(LEFT(A786,1)="Q","Périmé (en quarantaine)","PÉRIMÉ → déplacer en zone Q"),IF(H786&lt;3,"Péremption &lt; 3 mois",IF(H786&lt;6,"Péremption &lt; 6 mois",""))))</f>
        <v/>
      </c>
      <c r="J786" s="17" t="str">
        <f aca="false">IF(A786="","",IF(COUNTIF(Emplacements!$A$2:$A$1001,A786)=0,"⚠ emplacement inconnu","OK"))</f>
        <v/>
      </c>
      <c r="K786" s="22" t="str">
        <f aca="false">IF(AND(B786&lt;&gt;"",ISNUMBER(SEARCH(Recherche!$C$3,C786&amp;" "&amp;B786&amp;" "&amp;A786&amp;" "&amp;D786))),MAX($K$1:K785)+1,"")</f>
        <v/>
      </c>
    </row>
    <row r="787" customFormat="false" ht="15" hidden="false" customHeight="false" outlineLevel="0" collapsed="false">
      <c r="A787" s="12"/>
      <c r="B787" s="12"/>
      <c r="C787" s="17" t="str">
        <f aca="false">IF(B787="","",IFERROR(INDEX(Produits!$F$2:$F$1001,MATCH(B787,Produits!$A$2:$A$1001,0)),"⚠ code article inconnu"))</f>
        <v/>
      </c>
      <c r="D787" s="12"/>
      <c r="E787" s="23"/>
      <c r="F787" s="24"/>
      <c r="G787" s="23"/>
      <c r="H787" s="21" t="str">
        <f aca="true">IF(E787="","",ROUND((E787-TODAY())/30.4,1))</f>
        <v/>
      </c>
      <c r="I787" s="17" t="str">
        <f aca="false">IF(E787="","",IF(H787&lt;0,IF(LEFT(A787,1)="Q","Périmé (en quarantaine)","PÉRIMÉ → déplacer en zone Q"),IF(H787&lt;3,"Péremption &lt; 3 mois",IF(H787&lt;6,"Péremption &lt; 6 mois",""))))</f>
        <v/>
      </c>
      <c r="J787" s="17" t="str">
        <f aca="false">IF(A787="","",IF(COUNTIF(Emplacements!$A$2:$A$1001,A787)=0,"⚠ emplacement inconnu","OK"))</f>
        <v/>
      </c>
      <c r="K787" s="22" t="str">
        <f aca="false">IF(AND(B787&lt;&gt;"",ISNUMBER(SEARCH(Recherche!$C$3,C787&amp;" "&amp;B787&amp;" "&amp;A787&amp;" "&amp;D787))),MAX($K$1:K786)+1,"")</f>
        <v/>
      </c>
    </row>
    <row r="788" customFormat="false" ht="15" hidden="false" customHeight="false" outlineLevel="0" collapsed="false">
      <c r="A788" s="12"/>
      <c r="B788" s="12"/>
      <c r="C788" s="17" t="str">
        <f aca="false">IF(B788="","",IFERROR(INDEX(Produits!$F$2:$F$1001,MATCH(B788,Produits!$A$2:$A$1001,0)),"⚠ code article inconnu"))</f>
        <v/>
      </c>
      <c r="D788" s="12"/>
      <c r="E788" s="23"/>
      <c r="F788" s="24"/>
      <c r="G788" s="23"/>
      <c r="H788" s="21" t="str">
        <f aca="true">IF(E788="","",ROUND((E788-TODAY())/30.4,1))</f>
        <v/>
      </c>
      <c r="I788" s="17" t="str">
        <f aca="false">IF(E788="","",IF(H788&lt;0,IF(LEFT(A788,1)="Q","Périmé (en quarantaine)","PÉRIMÉ → déplacer en zone Q"),IF(H788&lt;3,"Péremption &lt; 3 mois",IF(H788&lt;6,"Péremption &lt; 6 mois",""))))</f>
        <v/>
      </c>
      <c r="J788" s="17" t="str">
        <f aca="false">IF(A788="","",IF(COUNTIF(Emplacements!$A$2:$A$1001,A788)=0,"⚠ emplacement inconnu","OK"))</f>
        <v/>
      </c>
      <c r="K788" s="22" t="str">
        <f aca="false">IF(AND(B788&lt;&gt;"",ISNUMBER(SEARCH(Recherche!$C$3,C788&amp;" "&amp;B788&amp;" "&amp;A788&amp;" "&amp;D788))),MAX($K$1:K787)+1,"")</f>
        <v/>
      </c>
    </row>
    <row r="789" customFormat="false" ht="15" hidden="false" customHeight="false" outlineLevel="0" collapsed="false">
      <c r="A789" s="12"/>
      <c r="B789" s="12"/>
      <c r="C789" s="17" t="str">
        <f aca="false">IF(B789="","",IFERROR(INDEX(Produits!$F$2:$F$1001,MATCH(B789,Produits!$A$2:$A$1001,0)),"⚠ code article inconnu"))</f>
        <v/>
      </c>
      <c r="D789" s="12"/>
      <c r="E789" s="23"/>
      <c r="F789" s="24"/>
      <c r="G789" s="23"/>
      <c r="H789" s="21" t="str">
        <f aca="true">IF(E789="","",ROUND((E789-TODAY())/30.4,1))</f>
        <v/>
      </c>
      <c r="I789" s="17" t="str">
        <f aca="false">IF(E789="","",IF(H789&lt;0,IF(LEFT(A789,1)="Q","Périmé (en quarantaine)","PÉRIMÉ → déplacer en zone Q"),IF(H789&lt;3,"Péremption &lt; 3 mois",IF(H789&lt;6,"Péremption &lt; 6 mois",""))))</f>
        <v/>
      </c>
      <c r="J789" s="17" t="str">
        <f aca="false">IF(A789="","",IF(COUNTIF(Emplacements!$A$2:$A$1001,A789)=0,"⚠ emplacement inconnu","OK"))</f>
        <v/>
      </c>
      <c r="K789" s="22" t="str">
        <f aca="false">IF(AND(B789&lt;&gt;"",ISNUMBER(SEARCH(Recherche!$C$3,C789&amp;" "&amp;B789&amp;" "&amp;A789&amp;" "&amp;D789))),MAX($K$1:K788)+1,"")</f>
        <v/>
      </c>
    </row>
    <row r="790" customFormat="false" ht="15" hidden="false" customHeight="false" outlineLevel="0" collapsed="false">
      <c r="A790" s="12"/>
      <c r="B790" s="12"/>
      <c r="C790" s="17" t="str">
        <f aca="false">IF(B790="","",IFERROR(INDEX(Produits!$F$2:$F$1001,MATCH(B790,Produits!$A$2:$A$1001,0)),"⚠ code article inconnu"))</f>
        <v/>
      </c>
      <c r="D790" s="12"/>
      <c r="E790" s="23"/>
      <c r="F790" s="24"/>
      <c r="G790" s="23"/>
      <c r="H790" s="21" t="str">
        <f aca="true">IF(E790="","",ROUND((E790-TODAY())/30.4,1))</f>
        <v/>
      </c>
      <c r="I790" s="17" t="str">
        <f aca="false">IF(E790="","",IF(H790&lt;0,IF(LEFT(A790,1)="Q","Périmé (en quarantaine)","PÉRIMÉ → déplacer en zone Q"),IF(H790&lt;3,"Péremption &lt; 3 mois",IF(H790&lt;6,"Péremption &lt; 6 mois",""))))</f>
        <v/>
      </c>
      <c r="J790" s="17" t="str">
        <f aca="false">IF(A790="","",IF(COUNTIF(Emplacements!$A$2:$A$1001,A790)=0,"⚠ emplacement inconnu","OK"))</f>
        <v/>
      </c>
      <c r="K790" s="22" t="str">
        <f aca="false">IF(AND(B790&lt;&gt;"",ISNUMBER(SEARCH(Recherche!$C$3,C790&amp;" "&amp;B790&amp;" "&amp;A790&amp;" "&amp;D790))),MAX($K$1:K789)+1,"")</f>
        <v/>
      </c>
    </row>
    <row r="791" customFormat="false" ht="15" hidden="false" customHeight="false" outlineLevel="0" collapsed="false">
      <c r="A791" s="12"/>
      <c r="B791" s="12"/>
      <c r="C791" s="17" t="str">
        <f aca="false">IF(B791="","",IFERROR(INDEX(Produits!$F$2:$F$1001,MATCH(B791,Produits!$A$2:$A$1001,0)),"⚠ code article inconnu"))</f>
        <v/>
      </c>
      <c r="D791" s="12"/>
      <c r="E791" s="23"/>
      <c r="F791" s="24"/>
      <c r="G791" s="23"/>
      <c r="H791" s="21" t="str">
        <f aca="true">IF(E791="","",ROUND((E791-TODAY())/30.4,1))</f>
        <v/>
      </c>
      <c r="I791" s="17" t="str">
        <f aca="false">IF(E791="","",IF(H791&lt;0,IF(LEFT(A791,1)="Q","Périmé (en quarantaine)","PÉRIMÉ → déplacer en zone Q"),IF(H791&lt;3,"Péremption &lt; 3 mois",IF(H791&lt;6,"Péremption &lt; 6 mois",""))))</f>
        <v/>
      </c>
      <c r="J791" s="17" t="str">
        <f aca="false">IF(A791="","",IF(COUNTIF(Emplacements!$A$2:$A$1001,A791)=0,"⚠ emplacement inconnu","OK"))</f>
        <v/>
      </c>
      <c r="K791" s="22" t="str">
        <f aca="false">IF(AND(B791&lt;&gt;"",ISNUMBER(SEARCH(Recherche!$C$3,C791&amp;" "&amp;B791&amp;" "&amp;A791&amp;" "&amp;D791))),MAX($K$1:K790)+1,"")</f>
        <v/>
      </c>
    </row>
    <row r="792" customFormat="false" ht="15" hidden="false" customHeight="false" outlineLevel="0" collapsed="false">
      <c r="A792" s="12"/>
      <c r="B792" s="12"/>
      <c r="C792" s="17" t="str">
        <f aca="false">IF(B792="","",IFERROR(INDEX(Produits!$F$2:$F$1001,MATCH(B792,Produits!$A$2:$A$1001,0)),"⚠ code article inconnu"))</f>
        <v/>
      </c>
      <c r="D792" s="12"/>
      <c r="E792" s="23"/>
      <c r="F792" s="24"/>
      <c r="G792" s="23"/>
      <c r="H792" s="21" t="str">
        <f aca="true">IF(E792="","",ROUND((E792-TODAY())/30.4,1))</f>
        <v/>
      </c>
      <c r="I792" s="17" t="str">
        <f aca="false">IF(E792="","",IF(H792&lt;0,IF(LEFT(A792,1)="Q","Périmé (en quarantaine)","PÉRIMÉ → déplacer en zone Q"),IF(H792&lt;3,"Péremption &lt; 3 mois",IF(H792&lt;6,"Péremption &lt; 6 mois",""))))</f>
        <v/>
      </c>
      <c r="J792" s="17" t="str">
        <f aca="false">IF(A792="","",IF(COUNTIF(Emplacements!$A$2:$A$1001,A792)=0,"⚠ emplacement inconnu","OK"))</f>
        <v/>
      </c>
      <c r="K792" s="22" t="str">
        <f aca="false">IF(AND(B792&lt;&gt;"",ISNUMBER(SEARCH(Recherche!$C$3,C792&amp;" "&amp;B792&amp;" "&amp;A792&amp;" "&amp;D792))),MAX($K$1:K791)+1,"")</f>
        <v/>
      </c>
    </row>
    <row r="793" customFormat="false" ht="15" hidden="false" customHeight="false" outlineLevel="0" collapsed="false">
      <c r="A793" s="12"/>
      <c r="B793" s="12"/>
      <c r="C793" s="17" t="str">
        <f aca="false">IF(B793="","",IFERROR(INDEX(Produits!$F$2:$F$1001,MATCH(B793,Produits!$A$2:$A$1001,0)),"⚠ code article inconnu"))</f>
        <v/>
      </c>
      <c r="D793" s="12"/>
      <c r="E793" s="23"/>
      <c r="F793" s="24"/>
      <c r="G793" s="23"/>
      <c r="H793" s="21" t="str">
        <f aca="true">IF(E793="","",ROUND((E793-TODAY())/30.4,1))</f>
        <v/>
      </c>
      <c r="I793" s="17" t="str">
        <f aca="false">IF(E793="","",IF(H793&lt;0,IF(LEFT(A793,1)="Q","Périmé (en quarantaine)","PÉRIMÉ → déplacer en zone Q"),IF(H793&lt;3,"Péremption &lt; 3 mois",IF(H793&lt;6,"Péremption &lt; 6 mois",""))))</f>
        <v/>
      </c>
      <c r="J793" s="17" t="str">
        <f aca="false">IF(A793="","",IF(COUNTIF(Emplacements!$A$2:$A$1001,A793)=0,"⚠ emplacement inconnu","OK"))</f>
        <v/>
      </c>
      <c r="K793" s="22" t="str">
        <f aca="false">IF(AND(B793&lt;&gt;"",ISNUMBER(SEARCH(Recherche!$C$3,C793&amp;" "&amp;B793&amp;" "&amp;A793&amp;" "&amp;D793))),MAX($K$1:K792)+1,"")</f>
        <v/>
      </c>
    </row>
    <row r="794" customFormat="false" ht="15" hidden="false" customHeight="false" outlineLevel="0" collapsed="false">
      <c r="A794" s="12"/>
      <c r="B794" s="12"/>
      <c r="C794" s="17" t="str">
        <f aca="false">IF(B794="","",IFERROR(INDEX(Produits!$F$2:$F$1001,MATCH(B794,Produits!$A$2:$A$1001,0)),"⚠ code article inconnu"))</f>
        <v/>
      </c>
      <c r="D794" s="12"/>
      <c r="E794" s="23"/>
      <c r="F794" s="24"/>
      <c r="G794" s="23"/>
      <c r="H794" s="21" t="str">
        <f aca="true">IF(E794="","",ROUND((E794-TODAY())/30.4,1))</f>
        <v/>
      </c>
      <c r="I794" s="17" t="str">
        <f aca="false">IF(E794="","",IF(H794&lt;0,IF(LEFT(A794,1)="Q","Périmé (en quarantaine)","PÉRIMÉ → déplacer en zone Q"),IF(H794&lt;3,"Péremption &lt; 3 mois",IF(H794&lt;6,"Péremption &lt; 6 mois",""))))</f>
        <v/>
      </c>
      <c r="J794" s="17" t="str">
        <f aca="false">IF(A794="","",IF(COUNTIF(Emplacements!$A$2:$A$1001,A794)=0,"⚠ emplacement inconnu","OK"))</f>
        <v/>
      </c>
      <c r="K794" s="22" t="str">
        <f aca="false">IF(AND(B794&lt;&gt;"",ISNUMBER(SEARCH(Recherche!$C$3,C794&amp;" "&amp;B794&amp;" "&amp;A794&amp;" "&amp;D794))),MAX($K$1:K793)+1,"")</f>
        <v/>
      </c>
    </row>
    <row r="795" customFormat="false" ht="15" hidden="false" customHeight="false" outlineLevel="0" collapsed="false">
      <c r="A795" s="12"/>
      <c r="B795" s="12"/>
      <c r="C795" s="17" t="str">
        <f aca="false">IF(B795="","",IFERROR(INDEX(Produits!$F$2:$F$1001,MATCH(B795,Produits!$A$2:$A$1001,0)),"⚠ code article inconnu"))</f>
        <v/>
      </c>
      <c r="D795" s="12"/>
      <c r="E795" s="23"/>
      <c r="F795" s="24"/>
      <c r="G795" s="23"/>
      <c r="H795" s="21" t="str">
        <f aca="true">IF(E795="","",ROUND((E795-TODAY())/30.4,1))</f>
        <v/>
      </c>
      <c r="I795" s="17" t="str">
        <f aca="false">IF(E795="","",IF(H795&lt;0,IF(LEFT(A795,1)="Q","Périmé (en quarantaine)","PÉRIMÉ → déplacer en zone Q"),IF(H795&lt;3,"Péremption &lt; 3 mois",IF(H795&lt;6,"Péremption &lt; 6 mois",""))))</f>
        <v/>
      </c>
      <c r="J795" s="17" t="str">
        <f aca="false">IF(A795="","",IF(COUNTIF(Emplacements!$A$2:$A$1001,A795)=0,"⚠ emplacement inconnu","OK"))</f>
        <v/>
      </c>
      <c r="K795" s="22" t="str">
        <f aca="false">IF(AND(B795&lt;&gt;"",ISNUMBER(SEARCH(Recherche!$C$3,C795&amp;" "&amp;B795&amp;" "&amp;A795&amp;" "&amp;D795))),MAX($K$1:K794)+1,"")</f>
        <v/>
      </c>
    </row>
    <row r="796" customFormat="false" ht="15" hidden="false" customHeight="false" outlineLevel="0" collapsed="false">
      <c r="A796" s="12"/>
      <c r="B796" s="12"/>
      <c r="C796" s="17" t="str">
        <f aca="false">IF(B796="","",IFERROR(INDEX(Produits!$F$2:$F$1001,MATCH(B796,Produits!$A$2:$A$1001,0)),"⚠ code article inconnu"))</f>
        <v/>
      </c>
      <c r="D796" s="12"/>
      <c r="E796" s="23"/>
      <c r="F796" s="24"/>
      <c r="G796" s="23"/>
      <c r="H796" s="21" t="str">
        <f aca="true">IF(E796="","",ROUND((E796-TODAY())/30.4,1))</f>
        <v/>
      </c>
      <c r="I796" s="17" t="str">
        <f aca="false">IF(E796="","",IF(H796&lt;0,IF(LEFT(A796,1)="Q","Périmé (en quarantaine)","PÉRIMÉ → déplacer en zone Q"),IF(H796&lt;3,"Péremption &lt; 3 mois",IF(H796&lt;6,"Péremption &lt; 6 mois",""))))</f>
        <v/>
      </c>
      <c r="J796" s="17" t="str">
        <f aca="false">IF(A796="","",IF(COUNTIF(Emplacements!$A$2:$A$1001,A796)=0,"⚠ emplacement inconnu","OK"))</f>
        <v/>
      </c>
      <c r="K796" s="22" t="str">
        <f aca="false">IF(AND(B796&lt;&gt;"",ISNUMBER(SEARCH(Recherche!$C$3,C796&amp;" "&amp;B796&amp;" "&amp;A796&amp;" "&amp;D796))),MAX($K$1:K795)+1,"")</f>
        <v/>
      </c>
    </row>
    <row r="797" customFormat="false" ht="15" hidden="false" customHeight="false" outlineLevel="0" collapsed="false">
      <c r="A797" s="12"/>
      <c r="B797" s="12"/>
      <c r="C797" s="17" t="str">
        <f aca="false">IF(B797="","",IFERROR(INDEX(Produits!$F$2:$F$1001,MATCH(B797,Produits!$A$2:$A$1001,0)),"⚠ code article inconnu"))</f>
        <v/>
      </c>
      <c r="D797" s="12"/>
      <c r="E797" s="23"/>
      <c r="F797" s="24"/>
      <c r="G797" s="23"/>
      <c r="H797" s="21" t="str">
        <f aca="true">IF(E797="","",ROUND((E797-TODAY())/30.4,1))</f>
        <v/>
      </c>
      <c r="I797" s="17" t="str">
        <f aca="false">IF(E797="","",IF(H797&lt;0,IF(LEFT(A797,1)="Q","Périmé (en quarantaine)","PÉRIMÉ → déplacer en zone Q"),IF(H797&lt;3,"Péremption &lt; 3 mois",IF(H797&lt;6,"Péremption &lt; 6 mois",""))))</f>
        <v/>
      </c>
      <c r="J797" s="17" t="str">
        <f aca="false">IF(A797="","",IF(COUNTIF(Emplacements!$A$2:$A$1001,A797)=0,"⚠ emplacement inconnu","OK"))</f>
        <v/>
      </c>
      <c r="K797" s="22" t="str">
        <f aca="false">IF(AND(B797&lt;&gt;"",ISNUMBER(SEARCH(Recherche!$C$3,C797&amp;" "&amp;B797&amp;" "&amp;A797&amp;" "&amp;D797))),MAX($K$1:K796)+1,"")</f>
        <v/>
      </c>
    </row>
    <row r="798" customFormat="false" ht="15" hidden="false" customHeight="false" outlineLevel="0" collapsed="false">
      <c r="A798" s="12"/>
      <c r="B798" s="12"/>
      <c r="C798" s="17" t="str">
        <f aca="false">IF(B798="","",IFERROR(INDEX(Produits!$F$2:$F$1001,MATCH(B798,Produits!$A$2:$A$1001,0)),"⚠ code article inconnu"))</f>
        <v/>
      </c>
      <c r="D798" s="12"/>
      <c r="E798" s="23"/>
      <c r="F798" s="24"/>
      <c r="G798" s="23"/>
      <c r="H798" s="21" t="str">
        <f aca="true">IF(E798="","",ROUND((E798-TODAY())/30.4,1))</f>
        <v/>
      </c>
      <c r="I798" s="17" t="str">
        <f aca="false">IF(E798="","",IF(H798&lt;0,IF(LEFT(A798,1)="Q","Périmé (en quarantaine)","PÉRIMÉ → déplacer en zone Q"),IF(H798&lt;3,"Péremption &lt; 3 mois",IF(H798&lt;6,"Péremption &lt; 6 mois",""))))</f>
        <v/>
      </c>
      <c r="J798" s="17" t="str">
        <f aca="false">IF(A798="","",IF(COUNTIF(Emplacements!$A$2:$A$1001,A798)=0,"⚠ emplacement inconnu","OK"))</f>
        <v/>
      </c>
      <c r="K798" s="22" t="str">
        <f aca="false">IF(AND(B798&lt;&gt;"",ISNUMBER(SEARCH(Recherche!$C$3,C798&amp;" "&amp;B798&amp;" "&amp;A798&amp;" "&amp;D798))),MAX($K$1:K797)+1,"")</f>
        <v/>
      </c>
    </row>
    <row r="799" customFormat="false" ht="15" hidden="false" customHeight="false" outlineLevel="0" collapsed="false">
      <c r="A799" s="12"/>
      <c r="B799" s="12"/>
      <c r="C799" s="17" t="str">
        <f aca="false">IF(B799="","",IFERROR(INDEX(Produits!$F$2:$F$1001,MATCH(B799,Produits!$A$2:$A$1001,0)),"⚠ code article inconnu"))</f>
        <v/>
      </c>
      <c r="D799" s="12"/>
      <c r="E799" s="23"/>
      <c r="F799" s="24"/>
      <c r="G799" s="23"/>
      <c r="H799" s="21" t="str">
        <f aca="true">IF(E799="","",ROUND((E799-TODAY())/30.4,1))</f>
        <v/>
      </c>
      <c r="I799" s="17" t="str">
        <f aca="false">IF(E799="","",IF(H799&lt;0,IF(LEFT(A799,1)="Q","Périmé (en quarantaine)","PÉRIMÉ → déplacer en zone Q"),IF(H799&lt;3,"Péremption &lt; 3 mois",IF(H799&lt;6,"Péremption &lt; 6 mois",""))))</f>
        <v/>
      </c>
      <c r="J799" s="17" t="str">
        <f aca="false">IF(A799="","",IF(COUNTIF(Emplacements!$A$2:$A$1001,A799)=0,"⚠ emplacement inconnu","OK"))</f>
        <v/>
      </c>
      <c r="K799" s="22" t="str">
        <f aca="false">IF(AND(B799&lt;&gt;"",ISNUMBER(SEARCH(Recherche!$C$3,C799&amp;" "&amp;B799&amp;" "&amp;A799&amp;" "&amp;D799))),MAX($K$1:K798)+1,"")</f>
        <v/>
      </c>
    </row>
    <row r="800" customFormat="false" ht="15" hidden="false" customHeight="false" outlineLevel="0" collapsed="false">
      <c r="A800" s="12"/>
      <c r="B800" s="12"/>
      <c r="C800" s="17" t="str">
        <f aca="false">IF(B800="","",IFERROR(INDEX(Produits!$F$2:$F$1001,MATCH(B800,Produits!$A$2:$A$1001,0)),"⚠ code article inconnu"))</f>
        <v/>
      </c>
      <c r="D800" s="12"/>
      <c r="E800" s="23"/>
      <c r="F800" s="24"/>
      <c r="G800" s="23"/>
      <c r="H800" s="21" t="str">
        <f aca="true">IF(E800="","",ROUND((E800-TODAY())/30.4,1))</f>
        <v/>
      </c>
      <c r="I800" s="17" t="str">
        <f aca="false">IF(E800="","",IF(H800&lt;0,IF(LEFT(A800,1)="Q","Périmé (en quarantaine)","PÉRIMÉ → déplacer en zone Q"),IF(H800&lt;3,"Péremption &lt; 3 mois",IF(H800&lt;6,"Péremption &lt; 6 mois",""))))</f>
        <v/>
      </c>
      <c r="J800" s="17" t="str">
        <f aca="false">IF(A800="","",IF(COUNTIF(Emplacements!$A$2:$A$1001,A800)=0,"⚠ emplacement inconnu","OK"))</f>
        <v/>
      </c>
      <c r="K800" s="22" t="str">
        <f aca="false">IF(AND(B800&lt;&gt;"",ISNUMBER(SEARCH(Recherche!$C$3,C800&amp;" "&amp;B800&amp;" "&amp;A800&amp;" "&amp;D800))),MAX($K$1:K799)+1,"")</f>
        <v/>
      </c>
    </row>
    <row r="801" customFormat="false" ht="15" hidden="false" customHeight="false" outlineLevel="0" collapsed="false">
      <c r="A801" s="12"/>
      <c r="B801" s="12"/>
      <c r="C801" s="17" t="str">
        <f aca="false">IF(B801="","",IFERROR(INDEX(Produits!$F$2:$F$1001,MATCH(B801,Produits!$A$2:$A$1001,0)),"⚠ code article inconnu"))</f>
        <v/>
      </c>
      <c r="D801" s="12"/>
      <c r="E801" s="23"/>
      <c r="F801" s="24"/>
      <c r="G801" s="23"/>
      <c r="H801" s="21" t="str">
        <f aca="true">IF(E801="","",ROUND((E801-TODAY())/30.4,1))</f>
        <v/>
      </c>
      <c r="I801" s="17" t="str">
        <f aca="false">IF(E801="","",IF(H801&lt;0,IF(LEFT(A801,1)="Q","Périmé (en quarantaine)","PÉRIMÉ → déplacer en zone Q"),IF(H801&lt;3,"Péremption &lt; 3 mois",IF(H801&lt;6,"Péremption &lt; 6 mois",""))))</f>
        <v/>
      </c>
      <c r="J801" s="17" t="str">
        <f aca="false">IF(A801="","",IF(COUNTIF(Emplacements!$A$2:$A$1001,A801)=0,"⚠ emplacement inconnu","OK"))</f>
        <v/>
      </c>
      <c r="K801" s="22" t="str">
        <f aca="false">IF(AND(B801&lt;&gt;"",ISNUMBER(SEARCH(Recherche!$C$3,C801&amp;" "&amp;B801&amp;" "&amp;A801&amp;" "&amp;D801))),MAX($K$1:K800)+1,"")</f>
        <v/>
      </c>
    </row>
    <row r="802" customFormat="false" ht="15" hidden="false" customHeight="false" outlineLevel="0" collapsed="false">
      <c r="A802" s="12"/>
      <c r="B802" s="12"/>
      <c r="C802" s="17" t="str">
        <f aca="false">IF(B802="","",IFERROR(INDEX(Produits!$F$2:$F$1001,MATCH(B802,Produits!$A$2:$A$1001,0)),"⚠ code article inconnu"))</f>
        <v/>
      </c>
      <c r="D802" s="12"/>
      <c r="E802" s="23"/>
      <c r="F802" s="24"/>
      <c r="G802" s="23"/>
      <c r="H802" s="21" t="str">
        <f aca="true">IF(E802="","",ROUND((E802-TODAY())/30.4,1))</f>
        <v/>
      </c>
      <c r="I802" s="17" t="str">
        <f aca="false">IF(E802="","",IF(H802&lt;0,IF(LEFT(A802,1)="Q","Périmé (en quarantaine)","PÉRIMÉ → déplacer en zone Q"),IF(H802&lt;3,"Péremption &lt; 3 mois",IF(H802&lt;6,"Péremption &lt; 6 mois",""))))</f>
        <v/>
      </c>
      <c r="J802" s="17" t="str">
        <f aca="false">IF(A802="","",IF(COUNTIF(Emplacements!$A$2:$A$1001,A802)=0,"⚠ emplacement inconnu","OK"))</f>
        <v/>
      </c>
      <c r="K802" s="22" t="str">
        <f aca="false">IF(AND(B802&lt;&gt;"",ISNUMBER(SEARCH(Recherche!$C$3,C802&amp;" "&amp;B802&amp;" "&amp;A802&amp;" "&amp;D802))),MAX($K$1:K801)+1,"")</f>
        <v/>
      </c>
    </row>
    <row r="803" customFormat="false" ht="15" hidden="false" customHeight="false" outlineLevel="0" collapsed="false">
      <c r="A803" s="12"/>
      <c r="B803" s="12"/>
      <c r="C803" s="17" t="str">
        <f aca="false">IF(B803="","",IFERROR(INDEX(Produits!$F$2:$F$1001,MATCH(B803,Produits!$A$2:$A$1001,0)),"⚠ code article inconnu"))</f>
        <v/>
      </c>
      <c r="D803" s="12"/>
      <c r="E803" s="23"/>
      <c r="F803" s="24"/>
      <c r="G803" s="23"/>
      <c r="H803" s="21" t="str">
        <f aca="true">IF(E803="","",ROUND((E803-TODAY())/30.4,1))</f>
        <v/>
      </c>
      <c r="I803" s="17" t="str">
        <f aca="false">IF(E803="","",IF(H803&lt;0,IF(LEFT(A803,1)="Q","Périmé (en quarantaine)","PÉRIMÉ → déplacer en zone Q"),IF(H803&lt;3,"Péremption &lt; 3 mois",IF(H803&lt;6,"Péremption &lt; 6 mois",""))))</f>
        <v/>
      </c>
      <c r="J803" s="17" t="str">
        <f aca="false">IF(A803="","",IF(COUNTIF(Emplacements!$A$2:$A$1001,A803)=0,"⚠ emplacement inconnu","OK"))</f>
        <v/>
      </c>
      <c r="K803" s="22" t="str">
        <f aca="false">IF(AND(B803&lt;&gt;"",ISNUMBER(SEARCH(Recherche!$C$3,C803&amp;" "&amp;B803&amp;" "&amp;A803&amp;" "&amp;D803))),MAX($K$1:K802)+1,"")</f>
        <v/>
      </c>
    </row>
    <row r="804" customFormat="false" ht="15" hidden="false" customHeight="false" outlineLevel="0" collapsed="false">
      <c r="A804" s="12"/>
      <c r="B804" s="12"/>
      <c r="C804" s="17" t="str">
        <f aca="false">IF(B804="","",IFERROR(INDEX(Produits!$F$2:$F$1001,MATCH(B804,Produits!$A$2:$A$1001,0)),"⚠ code article inconnu"))</f>
        <v/>
      </c>
      <c r="D804" s="12"/>
      <c r="E804" s="23"/>
      <c r="F804" s="24"/>
      <c r="G804" s="23"/>
      <c r="H804" s="21" t="str">
        <f aca="true">IF(E804="","",ROUND((E804-TODAY())/30.4,1))</f>
        <v/>
      </c>
      <c r="I804" s="17" t="str">
        <f aca="false">IF(E804="","",IF(H804&lt;0,IF(LEFT(A804,1)="Q","Périmé (en quarantaine)","PÉRIMÉ → déplacer en zone Q"),IF(H804&lt;3,"Péremption &lt; 3 mois",IF(H804&lt;6,"Péremption &lt; 6 mois",""))))</f>
        <v/>
      </c>
      <c r="J804" s="17" t="str">
        <f aca="false">IF(A804="","",IF(COUNTIF(Emplacements!$A$2:$A$1001,A804)=0,"⚠ emplacement inconnu","OK"))</f>
        <v/>
      </c>
      <c r="K804" s="22" t="str">
        <f aca="false">IF(AND(B804&lt;&gt;"",ISNUMBER(SEARCH(Recherche!$C$3,C804&amp;" "&amp;B804&amp;" "&amp;A804&amp;" "&amp;D804))),MAX($K$1:K803)+1,"")</f>
        <v/>
      </c>
    </row>
    <row r="805" customFormat="false" ht="15" hidden="false" customHeight="false" outlineLevel="0" collapsed="false">
      <c r="A805" s="12"/>
      <c r="B805" s="12"/>
      <c r="C805" s="17" t="str">
        <f aca="false">IF(B805="","",IFERROR(INDEX(Produits!$F$2:$F$1001,MATCH(B805,Produits!$A$2:$A$1001,0)),"⚠ code article inconnu"))</f>
        <v/>
      </c>
      <c r="D805" s="12"/>
      <c r="E805" s="23"/>
      <c r="F805" s="24"/>
      <c r="G805" s="23"/>
      <c r="H805" s="21" t="str">
        <f aca="true">IF(E805="","",ROUND((E805-TODAY())/30.4,1))</f>
        <v/>
      </c>
      <c r="I805" s="17" t="str">
        <f aca="false">IF(E805="","",IF(H805&lt;0,IF(LEFT(A805,1)="Q","Périmé (en quarantaine)","PÉRIMÉ → déplacer en zone Q"),IF(H805&lt;3,"Péremption &lt; 3 mois",IF(H805&lt;6,"Péremption &lt; 6 mois",""))))</f>
        <v/>
      </c>
      <c r="J805" s="17" t="str">
        <f aca="false">IF(A805="","",IF(COUNTIF(Emplacements!$A$2:$A$1001,A805)=0,"⚠ emplacement inconnu","OK"))</f>
        <v/>
      </c>
      <c r="K805" s="22" t="str">
        <f aca="false">IF(AND(B805&lt;&gt;"",ISNUMBER(SEARCH(Recherche!$C$3,C805&amp;" "&amp;B805&amp;" "&amp;A805&amp;" "&amp;D805))),MAX($K$1:K804)+1,"")</f>
        <v/>
      </c>
    </row>
    <row r="806" customFormat="false" ht="15" hidden="false" customHeight="false" outlineLevel="0" collapsed="false">
      <c r="A806" s="12"/>
      <c r="B806" s="12"/>
      <c r="C806" s="17" t="str">
        <f aca="false">IF(B806="","",IFERROR(INDEX(Produits!$F$2:$F$1001,MATCH(B806,Produits!$A$2:$A$1001,0)),"⚠ code article inconnu"))</f>
        <v/>
      </c>
      <c r="D806" s="12"/>
      <c r="E806" s="23"/>
      <c r="F806" s="24"/>
      <c r="G806" s="23"/>
      <c r="H806" s="21" t="str">
        <f aca="true">IF(E806="","",ROUND((E806-TODAY())/30.4,1))</f>
        <v/>
      </c>
      <c r="I806" s="17" t="str">
        <f aca="false">IF(E806="","",IF(H806&lt;0,IF(LEFT(A806,1)="Q","Périmé (en quarantaine)","PÉRIMÉ → déplacer en zone Q"),IF(H806&lt;3,"Péremption &lt; 3 mois",IF(H806&lt;6,"Péremption &lt; 6 mois",""))))</f>
        <v/>
      </c>
      <c r="J806" s="17" t="str">
        <f aca="false">IF(A806="","",IF(COUNTIF(Emplacements!$A$2:$A$1001,A806)=0,"⚠ emplacement inconnu","OK"))</f>
        <v/>
      </c>
      <c r="K806" s="22" t="str">
        <f aca="false">IF(AND(B806&lt;&gt;"",ISNUMBER(SEARCH(Recherche!$C$3,C806&amp;" "&amp;B806&amp;" "&amp;A806&amp;" "&amp;D806))),MAX($K$1:K805)+1,"")</f>
        <v/>
      </c>
    </row>
    <row r="807" customFormat="false" ht="15" hidden="false" customHeight="false" outlineLevel="0" collapsed="false">
      <c r="A807" s="12"/>
      <c r="B807" s="12"/>
      <c r="C807" s="17" t="str">
        <f aca="false">IF(B807="","",IFERROR(INDEX(Produits!$F$2:$F$1001,MATCH(B807,Produits!$A$2:$A$1001,0)),"⚠ code article inconnu"))</f>
        <v/>
      </c>
      <c r="D807" s="12"/>
      <c r="E807" s="23"/>
      <c r="F807" s="24"/>
      <c r="G807" s="23"/>
      <c r="H807" s="21" t="str">
        <f aca="true">IF(E807="","",ROUND((E807-TODAY())/30.4,1))</f>
        <v/>
      </c>
      <c r="I807" s="17" t="str">
        <f aca="false">IF(E807="","",IF(H807&lt;0,IF(LEFT(A807,1)="Q","Périmé (en quarantaine)","PÉRIMÉ → déplacer en zone Q"),IF(H807&lt;3,"Péremption &lt; 3 mois",IF(H807&lt;6,"Péremption &lt; 6 mois",""))))</f>
        <v/>
      </c>
      <c r="J807" s="17" t="str">
        <f aca="false">IF(A807="","",IF(COUNTIF(Emplacements!$A$2:$A$1001,A807)=0,"⚠ emplacement inconnu","OK"))</f>
        <v/>
      </c>
      <c r="K807" s="22" t="str">
        <f aca="false">IF(AND(B807&lt;&gt;"",ISNUMBER(SEARCH(Recherche!$C$3,C807&amp;" "&amp;B807&amp;" "&amp;A807&amp;" "&amp;D807))),MAX($K$1:K806)+1,"")</f>
        <v/>
      </c>
    </row>
    <row r="808" customFormat="false" ht="15" hidden="false" customHeight="false" outlineLevel="0" collapsed="false">
      <c r="A808" s="12"/>
      <c r="B808" s="12"/>
      <c r="C808" s="17" t="str">
        <f aca="false">IF(B808="","",IFERROR(INDEX(Produits!$F$2:$F$1001,MATCH(B808,Produits!$A$2:$A$1001,0)),"⚠ code article inconnu"))</f>
        <v/>
      </c>
      <c r="D808" s="12"/>
      <c r="E808" s="23"/>
      <c r="F808" s="24"/>
      <c r="G808" s="23"/>
      <c r="H808" s="21" t="str">
        <f aca="true">IF(E808="","",ROUND((E808-TODAY())/30.4,1))</f>
        <v/>
      </c>
      <c r="I808" s="17" t="str">
        <f aca="false">IF(E808="","",IF(H808&lt;0,IF(LEFT(A808,1)="Q","Périmé (en quarantaine)","PÉRIMÉ → déplacer en zone Q"),IF(H808&lt;3,"Péremption &lt; 3 mois",IF(H808&lt;6,"Péremption &lt; 6 mois",""))))</f>
        <v/>
      </c>
      <c r="J808" s="17" t="str">
        <f aca="false">IF(A808="","",IF(COUNTIF(Emplacements!$A$2:$A$1001,A808)=0,"⚠ emplacement inconnu","OK"))</f>
        <v/>
      </c>
      <c r="K808" s="22" t="str">
        <f aca="false">IF(AND(B808&lt;&gt;"",ISNUMBER(SEARCH(Recherche!$C$3,C808&amp;" "&amp;B808&amp;" "&amp;A808&amp;" "&amp;D808))),MAX($K$1:K807)+1,"")</f>
        <v/>
      </c>
    </row>
    <row r="809" customFormat="false" ht="15" hidden="false" customHeight="false" outlineLevel="0" collapsed="false">
      <c r="A809" s="12"/>
      <c r="B809" s="12"/>
      <c r="C809" s="17" t="str">
        <f aca="false">IF(B809="","",IFERROR(INDEX(Produits!$F$2:$F$1001,MATCH(B809,Produits!$A$2:$A$1001,0)),"⚠ code article inconnu"))</f>
        <v/>
      </c>
      <c r="D809" s="12"/>
      <c r="E809" s="23"/>
      <c r="F809" s="24"/>
      <c r="G809" s="23"/>
      <c r="H809" s="21" t="str">
        <f aca="true">IF(E809="","",ROUND((E809-TODAY())/30.4,1))</f>
        <v/>
      </c>
      <c r="I809" s="17" t="str">
        <f aca="false">IF(E809="","",IF(H809&lt;0,IF(LEFT(A809,1)="Q","Périmé (en quarantaine)","PÉRIMÉ → déplacer en zone Q"),IF(H809&lt;3,"Péremption &lt; 3 mois",IF(H809&lt;6,"Péremption &lt; 6 mois",""))))</f>
        <v/>
      </c>
      <c r="J809" s="17" t="str">
        <f aca="false">IF(A809="","",IF(COUNTIF(Emplacements!$A$2:$A$1001,A809)=0,"⚠ emplacement inconnu","OK"))</f>
        <v/>
      </c>
      <c r="K809" s="22" t="str">
        <f aca="false">IF(AND(B809&lt;&gt;"",ISNUMBER(SEARCH(Recherche!$C$3,C809&amp;" "&amp;B809&amp;" "&amp;A809&amp;" "&amp;D809))),MAX($K$1:K808)+1,"")</f>
        <v/>
      </c>
    </row>
    <row r="810" customFormat="false" ht="15" hidden="false" customHeight="false" outlineLevel="0" collapsed="false">
      <c r="A810" s="12"/>
      <c r="B810" s="12"/>
      <c r="C810" s="17" t="str">
        <f aca="false">IF(B810="","",IFERROR(INDEX(Produits!$F$2:$F$1001,MATCH(B810,Produits!$A$2:$A$1001,0)),"⚠ code article inconnu"))</f>
        <v/>
      </c>
      <c r="D810" s="12"/>
      <c r="E810" s="23"/>
      <c r="F810" s="24"/>
      <c r="G810" s="23"/>
      <c r="H810" s="21" t="str">
        <f aca="true">IF(E810="","",ROUND((E810-TODAY())/30.4,1))</f>
        <v/>
      </c>
      <c r="I810" s="17" t="str">
        <f aca="false">IF(E810="","",IF(H810&lt;0,IF(LEFT(A810,1)="Q","Périmé (en quarantaine)","PÉRIMÉ → déplacer en zone Q"),IF(H810&lt;3,"Péremption &lt; 3 mois",IF(H810&lt;6,"Péremption &lt; 6 mois",""))))</f>
        <v/>
      </c>
      <c r="J810" s="17" t="str">
        <f aca="false">IF(A810="","",IF(COUNTIF(Emplacements!$A$2:$A$1001,A810)=0,"⚠ emplacement inconnu","OK"))</f>
        <v/>
      </c>
      <c r="K810" s="22" t="str">
        <f aca="false">IF(AND(B810&lt;&gt;"",ISNUMBER(SEARCH(Recherche!$C$3,C810&amp;" "&amp;B810&amp;" "&amp;A810&amp;" "&amp;D810))),MAX($K$1:K809)+1,"")</f>
        <v/>
      </c>
    </row>
    <row r="811" customFormat="false" ht="15" hidden="false" customHeight="false" outlineLevel="0" collapsed="false">
      <c r="A811" s="12"/>
      <c r="B811" s="12"/>
      <c r="C811" s="17" t="str">
        <f aca="false">IF(B811="","",IFERROR(INDEX(Produits!$F$2:$F$1001,MATCH(B811,Produits!$A$2:$A$1001,0)),"⚠ code article inconnu"))</f>
        <v/>
      </c>
      <c r="D811" s="12"/>
      <c r="E811" s="23"/>
      <c r="F811" s="24"/>
      <c r="G811" s="23"/>
      <c r="H811" s="21" t="str">
        <f aca="true">IF(E811="","",ROUND((E811-TODAY())/30.4,1))</f>
        <v/>
      </c>
      <c r="I811" s="17" t="str">
        <f aca="false">IF(E811="","",IF(H811&lt;0,IF(LEFT(A811,1)="Q","Périmé (en quarantaine)","PÉRIMÉ → déplacer en zone Q"),IF(H811&lt;3,"Péremption &lt; 3 mois",IF(H811&lt;6,"Péremption &lt; 6 mois",""))))</f>
        <v/>
      </c>
      <c r="J811" s="17" t="str">
        <f aca="false">IF(A811="","",IF(COUNTIF(Emplacements!$A$2:$A$1001,A811)=0,"⚠ emplacement inconnu","OK"))</f>
        <v/>
      </c>
      <c r="K811" s="22" t="str">
        <f aca="false">IF(AND(B811&lt;&gt;"",ISNUMBER(SEARCH(Recherche!$C$3,C811&amp;" "&amp;B811&amp;" "&amp;A811&amp;" "&amp;D811))),MAX($K$1:K810)+1,"")</f>
        <v/>
      </c>
    </row>
    <row r="812" customFormat="false" ht="15" hidden="false" customHeight="false" outlineLevel="0" collapsed="false">
      <c r="A812" s="12"/>
      <c r="B812" s="12"/>
      <c r="C812" s="17" t="str">
        <f aca="false">IF(B812="","",IFERROR(INDEX(Produits!$F$2:$F$1001,MATCH(B812,Produits!$A$2:$A$1001,0)),"⚠ code article inconnu"))</f>
        <v/>
      </c>
      <c r="D812" s="12"/>
      <c r="E812" s="23"/>
      <c r="F812" s="24"/>
      <c r="G812" s="23"/>
      <c r="H812" s="21" t="str">
        <f aca="true">IF(E812="","",ROUND((E812-TODAY())/30.4,1))</f>
        <v/>
      </c>
      <c r="I812" s="17" t="str">
        <f aca="false">IF(E812="","",IF(H812&lt;0,IF(LEFT(A812,1)="Q","Périmé (en quarantaine)","PÉRIMÉ → déplacer en zone Q"),IF(H812&lt;3,"Péremption &lt; 3 mois",IF(H812&lt;6,"Péremption &lt; 6 mois",""))))</f>
        <v/>
      </c>
      <c r="J812" s="17" t="str">
        <f aca="false">IF(A812="","",IF(COUNTIF(Emplacements!$A$2:$A$1001,A812)=0,"⚠ emplacement inconnu","OK"))</f>
        <v/>
      </c>
      <c r="K812" s="22" t="str">
        <f aca="false">IF(AND(B812&lt;&gt;"",ISNUMBER(SEARCH(Recherche!$C$3,C812&amp;" "&amp;B812&amp;" "&amp;A812&amp;" "&amp;D812))),MAX($K$1:K811)+1,"")</f>
        <v/>
      </c>
    </row>
    <row r="813" customFormat="false" ht="15" hidden="false" customHeight="false" outlineLevel="0" collapsed="false">
      <c r="A813" s="12"/>
      <c r="B813" s="12"/>
      <c r="C813" s="17" t="str">
        <f aca="false">IF(B813="","",IFERROR(INDEX(Produits!$F$2:$F$1001,MATCH(B813,Produits!$A$2:$A$1001,0)),"⚠ code article inconnu"))</f>
        <v/>
      </c>
      <c r="D813" s="12"/>
      <c r="E813" s="23"/>
      <c r="F813" s="24"/>
      <c r="G813" s="23"/>
      <c r="H813" s="21" t="str">
        <f aca="true">IF(E813="","",ROUND((E813-TODAY())/30.4,1))</f>
        <v/>
      </c>
      <c r="I813" s="17" t="str">
        <f aca="false">IF(E813="","",IF(H813&lt;0,IF(LEFT(A813,1)="Q","Périmé (en quarantaine)","PÉRIMÉ → déplacer en zone Q"),IF(H813&lt;3,"Péremption &lt; 3 mois",IF(H813&lt;6,"Péremption &lt; 6 mois",""))))</f>
        <v/>
      </c>
      <c r="J813" s="17" t="str">
        <f aca="false">IF(A813="","",IF(COUNTIF(Emplacements!$A$2:$A$1001,A813)=0,"⚠ emplacement inconnu","OK"))</f>
        <v/>
      </c>
      <c r="K813" s="22" t="str">
        <f aca="false">IF(AND(B813&lt;&gt;"",ISNUMBER(SEARCH(Recherche!$C$3,C813&amp;" "&amp;B813&amp;" "&amp;A813&amp;" "&amp;D813))),MAX($K$1:K812)+1,"")</f>
        <v/>
      </c>
    </row>
    <row r="814" customFormat="false" ht="15" hidden="false" customHeight="false" outlineLevel="0" collapsed="false">
      <c r="A814" s="12"/>
      <c r="B814" s="12"/>
      <c r="C814" s="17" t="str">
        <f aca="false">IF(B814="","",IFERROR(INDEX(Produits!$F$2:$F$1001,MATCH(B814,Produits!$A$2:$A$1001,0)),"⚠ code article inconnu"))</f>
        <v/>
      </c>
      <c r="D814" s="12"/>
      <c r="E814" s="23"/>
      <c r="F814" s="24"/>
      <c r="G814" s="23"/>
      <c r="H814" s="21" t="str">
        <f aca="true">IF(E814="","",ROUND((E814-TODAY())/30.4,1))</f>
        <v/>
      </c>
      <c r="I814" s="17" t="str">
        <f aca="false">IF(E814="","",IF(H814&lt;0,IF(LEFT(A814,1)="Q","Périmé (en quarantaine)","PÉRIMÉ → déplacer en zone Q"),IF(H814&lt;3,"Péremption &lt; 3 mois",IF(H814&lt;6,"Péremption &lt; 6 mois",""))))</f>
        <v/>
      </c>
      <c r="J814" s="17" t="str">
        <f aca="false">IF(A814="","",IF(COUNTIF(Emplacements!$A$2:$A$1001,A814)=0,"⚠ emplacement inconnu","OK"))</f>
        <v/>
      </c>
      <c r="K814" s="22" t="str">
        <f aca="false">IF(AND(B814&lt;&gt;"",ISNUMBER(SEARCH(Recherche!$C$3,C814&amp;" "&amp;B814&amp;" "&amp;A814&amp;" "&amp;D814))),MAX($K$1:K813)+1,"")</f>
        <v/>
      </c>
    </row>
    <row r="815" customFormat="false" ht="15" hidden="false" customHeight="false" outlineLevel="0" collapsed="false">
      <c r="A815" s="12"/>
      <c r="B815" s="12"/>
      <c r="C815" s="17" t="str">
        <f aca="false">IF(B815="","",IFERROR(INDEX(Produits!$F$2:$F$1001,MATCH(B815,Produits!$A$2:$A$1001,0)),"⚠ code article inconnu"))</f>
        <v/>
      </c>
      <c r="D815" s="12"/>
      <c r="E815" s="23"/>
      <c r="F815" s="24"/>
      <c r="G815" s="23"/>
      <c r="H815" s="21" t="str">
        <f aca="true">IF(E815="","",ROUND((E815-TODAY())/30.4,1))</f>
        <v/>
      </c>
      <c r="I815" s="17" t="str">
        <f aca="false">IF(E815="","",IF(H815&lt;0,IF(LEFT(A815,1)="Q","Périmé (en quarantaine)","PÉRIMÉ → déplacer en zone Q"),IF(H815&lt;3,"Péremption &lt; 3 mois",IF(H815&lt;6,"Péremption &lt; 6 mois",""))))</f>
        <v/>
      </c>
      <c r="J815" s="17" t="str">
        <f aca="false">IF(A815="","",IF(COUNTIF(Emplacements!$A$2:$A$1001,A815)=0,"⚠ emplacement inconnu","OK"))</f>
        <v/>
      </c>
      <c r="K815" s="22" t="str">
        <f aca="false">IF(AND(B815&lt;&gt;"",ISNUMBER(SEARCH(Recherche!$C$3,C815&amp;" "&amp;B815&amp;" "&amp;A815&amp;" "&amp;D815))),MAX($K$1:K814)+1,"")</f>
        <v/>
      </c>
    </row>
    <row r="816" customFormat="false" ht="15" hidden="false" customHeight="false" outlineLevel="0" collapsed="false">
      <c r="A816" s="12"/>
      <c r="B816" s="12"/>
      <c r="C816" s="17" t="str">
        <f aca="false">IF(B816="","",IFERROR(INDEX(Produits!$F$2:$F$1001,MATCH(B816,Produits!$A$2:$A$1001,0)),"⚠ code article inconnu"))</f>
        <v/>
      </c>
      <c r="D816" s="12"/>
      <c r="E816" s="23"/>
      <c r="F816" s="24"/>
      <c r="G816" s="23"/>
      <c r="H816" s="21" t="str">
        <f aca="true">IF(E816="","",ROUND((E816-TODAY())/30.4,1))</f>
        <v/>
      </c>
      <c r="I816" s="17" t="str">
        <f aca="false">IF(E816="","",IF(H816&lt;0,IF(LEFT(A816,1)="Q","Périmé (en quarantaine)","PÉRIMÉ → déplacer en zone Q"),IF(H816&lt;3,"Péremption &lt; 3 mois",IF(H816&lt;6,"Péremption &lt; 6 mois",""))))</f>
        <v/>
      </c>
      <c r="J816" s="17" t="str">
        <f aca="false">IF(A816="","",IF(COUNTIF(Emplacements!$A$2:$A$1001,A816)=0,"⚠ emplacement inconnu","OK"))</f>
        <v/>
      </c>
      <c r="K816" s="22" t="str">
        <f aca="false">IF(AND(B816&lt;&gt;"",ISNUMBER(SEARCH(Recherche!$C$3,C816&amp;" "&amp;B816&amp;" "&amp;A816&amp;" "&amp;D816))),MAX($K$1:K815)+1,"")</f>
        <v/>
      </c>
    </row>
    <row r="817" customFormat="false" ht="15" hidden="false" customHeight="false" outlineLevel="0" collapsed="false">
      <c r="A817" s="12"/>
      <c r="B817" s="12"/>
      <c r="C817" s="17" t="str">
        <f aca="false">IF(B817="","",IFERROR(INDEX(Produits!$F$2:$F$1001,MATCH(B817,Produits!$A$2:$A$1001,0)),"⚠ code article inconnu"))</f>
        <v/>
      </c>
      <c r="D817" s="12"/>
      <c r="E817" s="23"/>
      <c r="F817" s="24"/>
      <c r="G817" s="23"/>
      <c r="H817" s="21" t="str">
        <f aca="true">IF(E817="","",ROUND((E817-TODAY())/30.4,1))</f>
        <v/>
      </c>
      <c r="I817" s="17" t="str">
        <f aca="false">IF(E817="","",IF(H817&lt;0,IF(LEFT(A817,1)="Q","Périmé (en quarantaine)","PÉRIMÉ → déplacer en zone Q"),IF(H817&lt;3,"Péremption &lt; 3 mois",IF(H817&lt;6,"Péremption &lt; 6 mois",""))))</f>
        <v/>
      </c>
      <c r="J817" s="17" t="str">
        <f aca="false">IF(A817="","",IF(COUNTIF(Emplacements!$A$2:$A$1001,A817)=0,"⚠ emplacement inconnu","OK"))</f>
        <v/>
      </c>
      <c r="K817" s="22" t="str">
        <f aca="false">IF(AND(B817&lt;&gt;"",ISNUMBER(SEARCH(Recherche!$C$3,C817&amp;" "&amp;B817&amp;" "&amp;A817&amp;" "&amp;D817))),MAX($K$1:K816)+1,"")</f>
        <v/>
      </c>
    </row>
    <row r="818" customFormat="false" ht="15" hidden="false" customHeight="false" outlineLevel="0" collapsed="false">
      <c r="A818" s="12"/>
      <c r="B818" s="12"/>
      <c r="C818" s="17" t="str">
        <f aca="false">IF(B818="","",IFERROR(INDEX(Produits!$F$2:$F$1001,MATCH(B818,Produits!$A$2:$A$1001,0)),"⚠ code article inconnu"))</f>
        <v/>
      </c>
      <c r="D818" s="12"/>
      <c r="E818" s="23"/>
      <c r="F818" s="24"/>
      <c r="G818" s="23"/>
      <c r="H818" s="21" t="str">
        <f aca="true">IF(E818="","",ROUND((E818-TODAY())/30.4,1))</f>
        <v/>
      </c>
      <c r="I818" s="17" t="str">
        <f aca="false">IF(E818="","",IF(H818&lt;0,IF(LEFT(A818,1)="Q","Périmé (en quarantaine)","PÉRIMÉ → déplacer en zone Q"),IF(H818&lt;3,"Péremption &lt; 3 mois",IF(H818&lt;6,"Péremption &lt; 6 mois",""))))</f>
        <v/>
      </c>
      <c r="J818" s="17" t="str">
        <f aca="false">IF(A818="","",IF(COUNTIF(Emplacements!$A$2:$A$1001,A818)=0,"⚠ emplacement inconnu","OK"))</f>
        <v/>
      </c>
      <c r="K818" s="22" t="str">
        <f aca="false">IF(AND(B818&lt;&gt;"",ISNUMBER(SEARCH(Recherche!$C$3,C818&amp;" "&amp;B818&amp;" "&amp;A818&amp;" "&amp;D818))),MAX($K$1:K817)+1,"")</f>
        <v/>
      </c>
    </row>
    <row r="819" customFormat="false" ht="15" hidden="false" customHeight="false" outlineLevel="0" collapsed="false">
      <c r="A819" s="12"/>
      <c r="B819" s="12"/>
      <c r="C819" s="17" t="str">
        <f aca="false">IF(B819="","",IFERROR(INDEX(Produits!$F$2:$F$1001,MATCH(B819,Produits!$A$2:$A$1001,0)),"⚠ code article inconnu"))</f>
        <v/>
      </c>
      <c r="D819" s="12"/>
      <c r="E819" s="23"/>
      <c r="F819" s="24"/>
      <c r="G819" s="23"/>
      <c r="H819" s="21" t="str">
        <f aca="true">IF(E819="","",ROUND((E819-TODAY())/30.4,1))</f>
        <v/>
      </c>
      <c r="I819" s="17" t="str">
        <f aca="false">IF(E819="","",IF(H819&lt;0,IF(LEFT(A819,1)="Q","Périmé (en quarantaine)","PÉRIMÉ → déplacer en zone Q"),IF(H819&lt;3,"Péremption &lt; 3 mois",IF(H819&lt;6,"Péremption &lt; 6 mois",""))))</f>
        <v/>
      </c>
      <c r="J819" s="17" t="str">
        <f aca="false">IF(A819="","",IF(COUNTIF(Emplacements!$A$2:$A$1001,A819)=0,"⚠ emplacement inconnu","OK"))</f>
        <v/>
      </c>
      <c r="K819" s="22" t="str">
        <f aca="false">IF(AND(B819&lt;&gt;"",ISNUMBER(SEARCH(Recherche!$C$3,C819&amp;" "&amp;B819&amp;" "&amp;A819&amp;" "&amp;D819))),MAX($K$1:K818)+1,"")</f>
        <v/>
      </c>
    </row>
    <row r="820" customFormat="false" ht="15" hidden="false" customHeight="false" outlineLevel="0" collapsed="false">
      <c r="A820" s="12"/>
      <c r="B820" s="12"/>
      <c r="C820" s="17" t="str">
        <f aca="false">IF(B820="","",IFERROR(INDEX(Produits!$F$2:$F$1001,MATCH(B820,Produits!$A$2:$A$1001,0)),"⚠ code article inconnu"))</f>
        <v/>
      </c>
      <c r="D820" s="12"/>
      <c r="E820" s="23"/>
      <c r="F820" s="24"/>
      <c r="G820" s="23"/>
      <c r="H820" s="21" t="str">
        <f aca="true">IF(E820="","",ROUND((E820-TODAY())/30.4,1))</f>
        <v/>
      </c>
      <c r="I820" s="17" t="str">
        <f aca="false">IF(E820="","",IF(H820&lt;0,IF(LEFT(A820,1)="Q","Périmé (en quarantaine)","PÉRIMÉ → déplacer en zone Q"),IF(H820&lt;3,"Péremption &lt; 3 mois",IF(H820&lt;6,"Péremption &lt; 6 mois",""))))</f>
        <v/>
      </c>
      <c r="J820" s="17" t="str">
        <f aca="false">IF(A820="","",IF(COUNTIF(Emplacements!$A$2:$A$1001,A820)=0,"⚠ emplacement inconnu","OK"))</f>
        <v/>
      </c>
      <c r="K820" s="22" t="str">
        <f aca="false">IF(AND(B820&lt;&gt;"",ISNUMBER(SEARCH(Recherche!$C$3,C820&amp;" "&amp;B820&amp;" "&amp;A820&amp;" "&amp;D820))),MAX($K$1:K819)+1,"")</f>
        <v/>
      </c>
    </row>
    <row r="821" customFormat="false" ht="15" hidden="false" customHeight="false" outlineLevel="0" collapsed="false">
      <c r="A821" s="12"/>
      <c r="B821" s="12"/>
      <c r="C821" s="17" t="str">
        <f aca="false">IF(B821="","",IFERROR(INDEX(Produits!$F$2:$F$1001,MATCH(B821,Produits!$A$2:$A$1001,0)),"⚠ code article inconnu"))</f>
        <v/>
      </c>
      <c r="D821" s="12"/>
      <c r="E821" s="23"/>
      <c r="F821" s="24"/>
      <c r="G821" s="23"/>
      <c r="H821" s="21" t="str">
        <f aca="true">IF(E821="","",ROUND((E821-TODAY())/30.4,1))</f>
        <v/>
      </c>
      <c r="I821" s="17" t="str">
        <f aca="false">IF(E821="","",IF(H821&lt;0,IF(LEFT(A821,1)="Q","Périmé (en quarantaine)","PÉRIMÉ → déplacer en zone Q"),IF(H821&lt;3,"Péremption &lt; 3 mois",IF(H821&lt;6,"Péremption &lt; 6 mois",""))))</f>
        <v/>
      </c>
      <c r="J821" s="17" t="str">
        <f aca="false">IF(A821="","",IF(COUNTIF(Emplacements!$A$2:$A$1001,A821)=0,"⚠ emplacement inconnu","OK"))</f>
        <v/>
      </c>
      <c r="K821" s="22" t="str">
        <f aca="false">IF(AND(B821&lt;&gt;"",ISNUMBER(SEARCH(Recherche!$C$3,C821&amp;" "&amp;B821&amp;" "&amp;A821&amp;" "&amp;D821))),MAX($K$1:K820)+1,"")</f>
        <v/>
      </c>
    </row>
    <row r="822" customFormat="false" ht="15" hidden="false" customHeight="false" outlineLevel="0" collapsed="false">
      <c r="A822" s="12"/>
      <c r="B822" s="12"/>
      <c r="C822" s="17" t="str">
        <f aca="false">IF(B822="","",IFERROR(INDEX(Produits!$F$2:$F$1001,MATCH(B822,Produits!$A$2:$A$1001,0)),"⚠ code article inconnu"))</f>
        <v/>
      </c>
      <c r="D822" s="12"/>
      <c r="E822" s="23"/>
      <c r="F822" s="24"/>
      <c r="G822" s="23"/>
      <c r="H822" s="21" t="str">
        <f aca="true">IF(E822="","",ROUND((E822-TODAY())/30.4,1))</f>
        <v/>
      </c>
      <c r="I822" s="17" t="str">
        <f aca="false">IF(E822="","",IF(H822&lt;0,IF(LEFT(A822,1)="Q","Périmé (en quarantaine)","PÉRIMÉ → déplacer en zone Q"),IF(H822&lt;3,"Péremption &lt; 3 mois",IF(H822&lt;6,"Péremption &lt; 6 mois",""))))</f>
        <v/>
      </c>
      <c r="J822" s="17" t="str">
        <f aca="false">IF(A822="","",IF(COUNTIF(Emplacements!$A$2:$A$1001,A822)=0,"⚠ emplacement inconnu","OK"))</f>
        <v/>
      </c>
      <c r="K822" s="22" t="str">
        <f aca="false">IF(AND(B822&lt;&gt;"",ISNUMBER(SEARCH(Recherche!$C$3,C822&amp;" "&amp;B822&amp;" "&amp;A822&amp;" "&amp;D822))),MAX($K$1:K821)+1,"")</f>
        <v/>
      </c>
    </row>
    <row r="823" customFormat="false" ht="15" hidden="false" customHeight="false" outlineLevel="0" collapsed="false">
      <c r="A823" s="12"/>
      <c r="B823" s="12"/>
      <c r="C823" s="17" t="str">
        <f aca="false">IF(B823="","",IFERROR(INDEX(Produits!$F$2:$F$1001,MATCH(B823,Produits!$A$2:$A$1001,0)),"⚠ code article inconnu"))</f>
        <v/>
      </c>
      <c r="D823" s="12"/>
      <c r="E823" s="23"/>
      <c r="F823" s="24"/>
      <c r="G823" s="23"/>
      <c r="H823" s="21" t="str">
        <f aca="true">IF(E823="","",ROUND((E823-TODAY())/30.4,1))</f>
        <v/>
      </c>
      <c r="I823" s="17" t="str">
        <f aca="false">IF(E823="","",IF(H823&lt;0,IF(LEFT(A823,1)="Q","Périmé (en quarantaine)","PÉRIMÉ → déplacer en zone Q"),IF(H823&lt;3,"Péremption &lt; 3 mois",IF(H823&lt;6,"Péremption &lt; 6 mois",""))))</f>
        <v/>
      </c>
      <c r="J823" s="17" t="str">
        <f aca="false">IF(A823="","",IF(COUNTIF(Emplacements!$A$2:$A$1001,A823)=0,"⚠ emplacement inconnu","OK"))</f>
        <v/>
      </c>
      <c r="K823" s="22" t="str">
        <f aca="false">IF(AND(B823&lt;&gt;"",ISNUMBER(SEARCH(Recherche!$C$3,C823&amp;" "&amp;B823&amp;" "&amp;A823&amp;" "&amp;D823))),MAX($K$1:K822)+1,"")</f>
        <v/>
      </c>
    </row>
    <row r="824" customFormat="false" ht="15" hidden="false" customHeight="false" outlineLevel="0" collapsed="false">
      <c r="A824" s="12"/>
      <c r="B824" s="12"/>
      <c r="C824" s="17" t="str">
        <f aca="false">IF(B824="","",IFERROR(INDEX(Produits!$F$2:$F$1001,MATCH(B824,Produits!$A$2:$A$1001,0)),"⚠ code article inconnu"))</f>
        <v/>
      </c>
      <c r="D824" s="12"/>
      <c r="E824" s="23"/>
      <c r="F824" s="24"/>
      <c r="G824" s="23"/>
      <c r="H824" s="21" t="str">
        <f aca="true">IF(E824="","",ROUND((E824-TODAY())/30.4,1))</f>
        <v/>
      </c>
      <c r="I824" s="17" t="str">
        <f aca="false">IF(E824="","",IF(H824&lt;0,IF(LEFT(A824,1)="Q","Périmé (en quarantaine)","PÉRIMÉ → déplacer en zone Q"),IF(H824&lt;3,"Péremption &lt; 3 mois",IF(H824&lt;6,"Péremption &lt; 6 mois",""))))</f>
        <v/>
      </c>
      <c r="J824" s="17" t="str">
        <f aca="false">IF(A824="","",IF(COUNTIF(Emplacements!$A$2:$A$1001,A824)=0,"⚠ emplacement inconnu","OK"))</f>
        <v/>
      </c>
      <c r="K824" s="22" t="str">
        <f aca="false">IF(AND(B824&lt;&gt;"",ISNUMBER(SEARCH(Recherche!$C$3,C824&amp;" "&amp;B824&amp;" "&amp;A824&amp;" "&amp;D824))),MAX($K$1:K823)+1,"")</f>
        <v/>
      </c>
    </row>
    <row r="825" customFormat="false" ht="15" hidden="false" customHeight="false" outlineLevel="0" collapsed="false">
      <c r="A825" s="12"/>
      <c r="B825" s="12"/>
      <c r="C825" s="17" t="str">
        <f aca="false">IF(B825="","",IFERROR(INDEX(Produits!$F$2:$F$1001,MATCH(B825,Produits!$A$2:$A$1001,0)),"⚠ code article inconnu"))</f>
        <v/>
      </c>
      <c r="D825" s="12"/>
      <c r="E825" s="23"/>
      <c r="F825" s="24"/>
      <c r="G825" s="23"/>
      <c r="H825" s="21" t="str">
        <f aca="true">IF(E825="","",ROUND((E825-TODAY())/30.4,1))</f>
        <v/>
      </c>
      <c r="I825" s="17" t="str">
        <f aca="false">IF(E825="","",IF(H825&lt;0,IF(LEFT(A825,1)="Q","Périmé (en quarantaine)","PÉRIMÉ → déplacer en zone Q"),IF(H825&lt;3,"Péremption &lt; 3 mois",IF(H825&lt;6,"Péremption &lt; 6 mois",""))))</f>
        <v/>
      </c>
      <c r="J825" s="17" t="str">
        <f aca="false">IF(A825="","",IF(COUNTIF(Emplacements!$A$2:$A$1001,A825)=0,"⚠ emplacement inconnu","OK"))</f>
        <v/>
      </c>
      <c r="K825" s="22" t="str">
        <f aca="false">IF(AND(B825&lt;&gt;"",ISNUMBER(SEARCH(Recherche!$C$3,C825&amp;" "&amp;B825&amp;" "&amp;A825&amp;" "&amp;D825))),MAX($K$1:K824)+1,"")</f>
        <v/>
      </c>
    </row>
    <row r="826" customFormat="false" ht="15" hidden="false" customHeight="false" outlineLevel="0" collapsed="false">
      <c r="A826" s="12"/>
      <c r="B826" s="12"/>
      <c r="C826" s="17" t="str">
        <f aca="false">IF(B826="","",IFERROR(INDEX(Produits!$F$2:$F$1001,MATCH(B826,Produits!$A$2:$A$1001,0)),"⚠ code article inconnu"))</f>
        <v/>
      </c>
      <c r="D826" s="12"/>
      <c r="E826" s="23"/>
      <c r="F826" s="24"/>
      <c r="G826" s="23"/>
      <c r="H826" s="21" t="str">
        <f aca="true">IF(E826="","",ROUND((E826-TODAY())/30.4,1))</f>
        <v/>
      </c>
      <c r="I826" s="17" t="str">
        <f aca="false">IF(E826="","",IF(H826&lt;0,IF(LEFT(A826,1)="Q","Périmé (en quarantaine)","PÉRIMÉ → déplacer en zone Q"),IF(H826&lt;3,"Péremption &lt; 3 mois",IF(H826&lt;6,"Péremption &lt; 6 mois",""))))</f>
        <v/>
      </c>
      <c r="J826" s="17" t="str">
        <f aca="false">IF(A826="","",IF(COUNTIF(Emplacements!$A$2:$A$1001,A826)=0,"⚠ emplacement inconnu","OK"))</f>
        <v/>
      </c>
      <c r="K826" s="22" t="str">
        <f aca="false">IF(AND(B826&lt;&gt;"",ISNUMBER(SEARCH(Recherche!$C$3,C826&amp;" "&amp;B826&amp;" "&amp;A826&amp;" "&amp;D826))),MAX($K$1:K825)+1,"")</f>
        <v/>
      </c>
    </row>
    <row r="827" customFormat="false" ht="15" hidden="false" customHeight="false" outlineLevel="0" collapsed="false">
      <c r="A827" s="12"/>
      <c r="B827" s="12"/>
      <c r="C827" s="17" t="str">
        <f aca="false">IF(B827="","",IFERROR(INDEX(Produits!$F$2:$F$1001,MATCH(B827,Produits!$A$2:$A$1001,0)),"⚠ code article inconnu"))</f>
        <v/>
      </c>
      <c r="D827" s="12"/>
      <c r="E827" s="23"/>
      <c r="F827" s="24"/>
      <c r="G827" s="23"/>
      <c r="H827" s="21" t="str">
        <f aca="true">IF(E827="","",ROUND((E827-TODAY())/30.4,1))</f>
        <v/>
      </c>
      <c r="I827" s="17" t="str">
        <f aca="false">IF(E827="","",IF(H827&lt;0,IF(LEFT(A827,1)="Q","Périmé (en quarantaine)","PÉRIMÉ → déplacer en zone Q"),IF(H827&lt;3,"Péremption &lt; 3 mois",IF(H827&lt;6,"Péremption &lt; 6 mois",""))))</f>
        <v/>
      </c>
      <c r="J827" s="17" t="str">
        <f aca="false">IF(A827="","",IF(COUNTIF(Emplacements!$A$2:$A$1001,A827)=0,"⚠ emplacement inconnu","OK"))</f>
        <v/>
      </c>
      <c r="K827" s="22" t="str">
        <f aca="false">IF(AND(B827&lt;&gt;"",ISNUMBER(SEARCH(Recherche!$C$3,C827&amp;" "&amp;B827&amp;" "&amp;A827&amp;" "&amp;D827))),MAX($K$1:K826)+1,"")</f>
        <v/>
      </c>
    </row>
    <row r="828" customFormat="false" ht="15" hidden="false" customHeight="false" outlineLevel="0" collapsed="false">
      <c r="A828" s="12"/>
      <c r="B828" s="12"/>
      <c r="C828" s="17" t="str">
        <f aca="false">IF(B828="","",IFERROR(INDEX(Produits!$F$2:$F$1001,MATCH(B828,Produits!$A$2:$A$1001,0)),"⚠ code article inconnu"))</f>
        <v/>
      </c>
      <c r="D828" s="12"/>
      <c r="E828" s="23"/>
      <c r="F828" s="24"/>
      <c r="G828" s="23"/>
      <c r="H828" s="21" t="str">
        <f aca="true">IF(E828="","",ROUND((E828-TODAY())/30.4,1))</f>
        <v/>
      </c>
      <c r="I828" s="17" t="str">
        <f aca="false">IF(E828="","",IF(H828&lt;0,IF(LEFT(A828,1)="Q","Périmé (en quarantaine)","PÉRIMÉ → déplacer en zone Q"),IF(H828&lt;3,"Péremption &lt; 3 mois",IF(H828&lt;6,"Péremption &lt; 6 mois",""))))</f>
        <v/>
      </c>
      <c r="J828" s="17" t="str">
        <f aca="false">IF(A828="","",IF(COUNTIF(Emplacements!$A$2:$A$1001,A828)=0,"⚠ emplacement inconnu","OK"))</f>
        <v/>
      </c>
      <c r="K828" s="22" t="str">
        <f aca="false">IF(AND(B828&lt;&gt;"",ISNUMBER(SEARCH(Recherche!$C$3,C828&amp;" "&amp;B828&amp;" "&amp;A828&amp;" "&amp;D828))),MAX($K$1:K827)+1,"")</f>
        <v/>
      </c>
    </row>
    <row r="829" customFormat="false" ht="15" hidden="false" customHeight="false" outlineLevel="0" collapsed="false">
      <c r="A829" s="12"/>
      <c r="B829" s="12"/>
      <c r="C829" s="17" t="str">
        <f aca="false">IF(B829="","",IFERROR(INDEX(Produits!$F$2:$F$1001,MATCH(B829,Produits!$A$2:$A$1001,0)),"⚠ code article inconnu"))</f>
        <v/>
      </c>
      <c r="D829" s="12"/>
      <c r="E829" s="23"/>
      <c r="F829" s="24"/>
      <c r="G829" s="23"/>
      <c r="H829" s="21" t="str">
        <f aca="true">IF(E829="","",ROUND((E829-TODAY())/30.4,1))</f>
        <v/>
      </c>
      <c r="I829" s="17" t="str">
        <f aca="false">IF(E829="","",IF(H829&lt;0,IF(LEFT(A829,1)="Q","Périmé (en quarantaine)","PÉRIMÉ → déplacer en zone Q"),IF(H829&lt;3,"Péremption &lt; 3 mois",IF(H829&lt;6,"Péremption &lt; 6 mois",""))))</f>
        <v/>
      </c>
      <c r="J829" s="17" t="str">
        <f aca="false">IF(A829="","",IF(COUNTIF(Emplacements!$A$2:$A$1001,A829)=0,"⚠ emplacement inconnu","OK"))</f>
        <v/>
      </c>
      <c r="K829" s="22" t="str">
        <f aca="false">IF(AND(B829&lt;&gt;"",ISNUMBER(SEARCH(Recherche!$C$3,C829&amp;" "&amp;B829&amp;" "&amp;A829&amp;" "&amp;D829))),MAX($K$1:K828)+1,"")</f>
        <v/>
      </c>
    </row>
    <row r="830" customFormat="false" ht="15" hidden="false" customHeight="false" outlineLevel="0" collapsed="false">
      <c r="A830" s="12"/>
      <c r="B830" s="12"/>
      <c r="C830" s="17" t="str">
        <f aca="false">IF(B830="","",IFERROR(INDEX(Produits!$F$2:$F$1001,MATCH(B830,Produits!$A$2:$A$1001,0)),"⚠ code article inconnu"))</f>
        <v/>
      </c>
      <c r="D830" s="12"/>
      <c r="E830" s="23"/>
      <c r="F830" s="24"/>
      <c r="G830" s="23"/>
      <c r="H830" s="21" t="str">
        <f aca="true">IF(E830="","",ROUND((E830-TODAY())/30.4,1))</f>
        <v/>
      </c>
      <c r="I830" s="17" t="str">
        <f aca="false">IF(E830="","",IF(H830&lt;0,IF(LEFT(A830,1)="Q","Périmé (en quarantaine)","PÉRIMÉ → déplacer en zone Q"),IF(H830&lt;3,"Péremption &lt; 3 mois",IF(H830&lt;6,"Péremption &lt; 6 mois",""))))</f>
        <v/>
      </c>
      <c r="J830" s="17" t="str">
        <f aca="false">IF(A830="","",IF(COUNTIF(Emplacements!$A$2:$A$1001,A830)=0,"⚠ emplacement inconnu","OK"))</f>
        <v/>
      </c>
      <c r="K830" s="22" t="str">
        <f aca="false">IF(AND(B830&lt;&gt;"",ISNUMBER(SEARCH(Recherche!$C$3,C830&amp;" "&amp;B830&amp;" "&amp;A830&amp;" "&amp;D830))),MAX($K$1:K829)+1,"")</f>
        <v/>
      </c>
    </row>
    <row r="831" customFormat="false" ht="15" hidden="false" customHeight="false" outlineLevel="0" collapsed="false">
      <c r="A831" s="12"/>
      <c r="B831" s="12"/>
      <c r="C831" s="17" t="str">
        <f aca="false">IF(B831="","",IFERROR(INDEX(Produits!$F$2:$F$1001,MATCH(B831,Produits!$A$2:$A$1001,0)),"⚠ code article inconnu"))</f>
        <v/>
      </c>
      <c r="D831" s="12"/>
      <c r="E831" s="23"/>
      <c r="F831" s="24"/>
      <c r="G831" s="23"/>
      <c r="H831" s="21" t="str">
        <f aca="true">IF(E831="","",ROUND((E831-TODAY())/30.4,1))</f>
        <v/>
      </c>
      <c r="I831" s="17" t="str">
        <f aca="false">IF(E831="","",IF(H831&lt;0,IF(LEFT(A831,1)="Q","Périmé (en quarantaine)","PÉRIMÉ → déplacer en zone Q"),IF(H831&lt;3,"Péremption &lt; 3 mois",IF(H831&lt;6,"Péremption &lt; 6 mois",""))))</f>
        <v/>
      </c>
      <c r="J831" s="17" t="str">
        <f aca="false">IF(A831="","",IF(COUNTIF(Emplacements!$A$2:$A$1001,A831)=0,"⚠ emplacement inconnu","OK"))</f>
        <v/>
      </c>
      <c r="K831" s="22" t="str">
        <f aca="false">IF(AND(B831&lt;&gt;"",ISNUMBER(SEARCH(Recherche!$C$3,C831&amp;" "&amp;B831&amp;" "&amp;A831&amp;" "&amp;D831))),MAX($K$1:K830)+1,"")</f>
        <v/>
      </c>
    </row>
    <row r="832" customFormat="false" ht="15" hidden="false" customHeight="false" outlineLevel="0" collapsed="false">
      <c r="A832" s="12"/>
      <c r="B832" s="12"/>
      <c r="C832" s="17" t="str">
        <f aca="false">IF(B832="","",IFERROR(INDEX(Produits!$F$2:$F$1001,MATCH(B832,Produits!$A$2:$A$1001,0)),"⚠ code article inconnu"))</f>
        <v/>
      </c>
      <c r="D832" s="12"/>
      <c r="E832" s="23"/>
      <c r="F832" s="24"/>
      <c r="G832" s="23"/>
      <c r="H832" s="21" t="str">
        <f aca="true">IF(E832="","",ROUND((E832-TODAY())/30.4,1))</f>
        <v/>
      </c>
      <c r="I832" s="17" t="str">
        <f aca="false">IF(E832="","",IF(H832&lt;0,IF(LEFT(A832,1)="Q","Périmé (en quarantaine)","PÉRIMÉ → déplacer en zone Q"),IF(H832&lt;3,"Péremption &lt; 3 mois",IF(H832&lt;6,"Péremption &lt; 6 mois",""))))</f>
        <v/>
      </c>
      <c r="J832" s="17" t="str">
        <f aca="false">IF(A832="","",IF(COUNTIF(Emplacements!$A$2:$A$1001,A832)=0,"⚠ emplacement inconnu","OK"))</f>
        <v/>
      </c>
      <c r="K832" s="22" t="str">
        <f aca="false">IF(AND(B832&lt;&gt;"",ISNUMBER(SEARCH(Recherche!$C$3,C832&amp;" "&amp;B832&amp;" "&amp;A832&amp;" "&amp;D832))),MAX($K$1:K831)+1,"")</f>
        <v/>
      </c>
    </row>
    <row r="833" customFormat="false" ht="15" hidden="false" customHeight="false" outlineLevel="0" collapsed="false">
      <c r="A833" s="12"/>
      <c r="B833" s="12"/>
      <c r="C833" s="17" t="str">
        <f aca="false">IF(B833="","",IFERROR(INDEX(Produits!$F$2:$F$1001,MATCH(B833,Produits!$A$2:$A$1001,0)),"⚠ code article inconnu"))</f>
        <v/>
      </c>
      <c r="D833" s="12"/>
      <c r="E833" s="23"/>
      <c r="F833" s="24"/>
      <c r="G833" s="23"/>
      <c r="H833" s="21" t="str">
        <f aca="true">IF(E833="","",ROUND((E833-TODAY())/30.4,1))</f>
        <v/>
      </c>
      <c r="I833" s="17" t="str">
        <f aca="false">IF(E833="","",IF(H833&lt;0,IF(LEFT(A833,1)="Q","Périmé (en quarantaine)","PÉRIMÉ → déplacer en zone Q"),IF(H833&lt;3,"Péremption &lt; 3 mois",IF(H833&lt;6,"Péremption &lt; 6 mois",""))))</f>
        <v/>
      </c>
      <c r="J833" s="17" t="str">
        <f aca="false">IF(A833="","",IF(COUNTIF(Emplacements!$A$2:$A$1001,A833)=0,"⚠ emplacement inconnu","OK"))</f>
        <v/>
      </c>
      <c r="K833" s="22" t="str">
        <f aca="false">IF(AND(B833&lt;&gt;"",ISNUMBER(SEARCH(Recherche!$C$3,C833&amp;" "&amp;B833&amp;" "&amp;A833&amp;" "&amp;D833))),MAX($K$1:K832)+1,"")</f>
        <v/>
      </c>
    </row>
    <row r="834" customFormat="false" ht="15" hidden="false" customHeight="false" outlineLevel="0" collapsed="false">
      <c r="A834" s="12"/>
      <c r="B834" s="12"/>
      <c r="C834" s="17" t="str">
        <f aca="false">IF(B834="","",IFERROR(INDEX(Produits!$F$2:$F$1001,MATCH(B834,Produits!$A$2:$A$1001,0)),"⚠ code article inconnu"))</f>
        <v/>
      </c>
      <c r="D834" s="12"/>
      <c r="E834" s="23"/>
      <c r="F834" s="24"/>
      <c r="G834" s="23"/>
      <c r="H834" s="21" t="str">
        <f aca="true">IF(E834="","",ROUND((E834-TODAY())/30.4,1))</f>
        <v/>
      </c>
      <c r="I834" s="17" t="str">
        <f aca="false">IF(E834="","",IF(H834&lt;0,IF(LEFT(A834,1)="Q","Périmé (en quarantaine)","PÉRIMÉ → déplacer en zone Q"),IF(H834&lt;3,"Péremption &lt; 3 mois",IF(H834&lt;6,"Péremption &lt; 6 mois",""))))</f>
        <v/>
      </c>
      <c r="J834" s="17" t="str">
        <f aca="false">IF(A834="","",IF(COUNTIF(Emplacements!$A$2:$A$1001,A834)=0,"⚠ emplacement inconnu","OK"))</f>
        <v/>
      </c>
      <c r="K834" s="22" t="str">
        <f aca="false">IF(AND(B834&lt;&gt;"",ISNUMBER(SEARCH(Recherche!$C$3,C834&amp;" "&amp;B834&amp;" "&amp;A834&amp;" "&amp;D834))),MAX($K$1:K833)+1,"")</f>
        <v/>
      </c>
    </row>
    <row r="835" customFormat="false" ht="15" hidden="false" customHeight="false" outlineLevel="0" collapsed="false">
      <c r="A835" s="12"/>
      <c r="B835" s="12"/>
      <c r="C835" s="17" t="str">
        <f aca="false">IF(B835="","",IFERROR(INDEX(Produits!$F$2:$F$1001,MATCH(B835,Produits!$A$2:$A$1001,0)),"⚠ code article inconnu"))</f>
        <v/>
      </c>
      <c r="D835" s="12"/>
      <c r="E835" s="23"/>
      <c r="F835" s="24"/>
      <c r="G835" s="23"/>
      <c r="H835" s="21" t="str">
        <f aca="true">IF(E835="","",ROUND((E835-TODAY())/30.4,1))</f>
        <v/>
      </c>
      <c r="I835" s="17" t="str">
        <f aca="false">IF(E835="","",IF(H835&lt;0,IF(LEFT(A835,1)="Q","Périmé (en quarantaine)","PÉRIMÉ → déplacer en zone Q"),IF(H835&lt;3,"Péremption &lt; 3 mois",IF(H835&lt;6,"Péremption &lt; 6 mois",""))))</f>
        <v/>
      </c>
      <c r="J835" s="17" t="str">
        <f aca="false">IF(A835="","",IF(COUNTIF(Emplacements!$A$2:$A$1001,A835)=0,"⚠ emplacement inconnu","OK"))</f>
        <v/>
      </c>
      <c r="K835" s="22" t="str">
        <f aca="false">IF(AND(B835&lt;&gt;"",ISNUMBER(SEARCH(Recherche!$C$3,C835&amp;" "&amp;B835&amp;" "&amp;A835&amp;" "&amp;D835))),MAX($K$1:K834)+1,"")</f>
        <v/>
      </c>
    </row>
    <row r="836" customFormat="false" ht="15" hidden="false" customHeight="false" outlineLevel="0" collapsed="false">
      <c r="A836" s="12"/>
      <c r="B836" s="12"/>
      <c r="C836" s="17" t="str">
        <f aca="false">IF(B836="","",IFERROR(INDEX(Produits!$F$2:$F$1001,MATCH(B836,Produits!$A$2:$A$1001,0)),"⚠ code article inconnu"))</f>
        <v/>
      </c>
      <c r="D836" s="12"/>
      <c r="E836" s="23"/>
      <c r="F836" s="24"/>
      <c r="G836" s="23"/>
      <c r="H836" s="21" t="str">
        <f aca="true">IF(E836="","",ROUND((E836-TODAY())/30.4,1))</f>
        <v/>
      </c>
      <c r="I836" s="17" t="str">
        <f aca="false">IF(E836="","",IF(H836&lt;0,IF(LEFT(A836,1)="Q","Périmé (en quarantaine)","PÉRIMÉ → déplacer en zone Q"),IF(H836&lt;3,"Péremption &lt; 3 mois",IF(H836&lt;6,"Péremption &lt; 6 mois",""))))</f>
        <v/>
      </c>
      <c r="J836" s="17" t="str">
        <f aca="false">IF(A836="","",IF(COUNTIF(Emplacements!$A$2:$A$1001,A836)=0,"⚠ emplacement inconnu","OK"))</f>
        <v/>
      </c>
      <c r="K836" s="22" t="str">
        <f aca="false">IF(AND(B836&lt;&gt;"",ISNUMBER(SEARCH(Recherche!$C$3,C836&amp;" "&amp;B836&amp;" "&amp;A836&amp;" "&amp;D836))),MAX($K$1:K835)+1,"")</f>
        <v/>
      </c>
    </row>
    <row r="837" customFormat="false" ht="15" hidden="false" customHeight="false" outlineLevel="0" collapsed="false">
      <c r="A837" s="12"/>
      <c r="B837" s="12"/>
      <c r="C837" s="17" t="str">
        <f aca="false">IF(B837="","",IFERROR(INDEX(Produits!$F$2:$F$1001,MATCH(B837,Produits!$A$2:$A$1001,0)),"⚠ code article inconnu"))</f>
        <v/>
      </c>
      <c r="D837" s="12"/>
      <c r="E837" s="23"/>
      <c r="F837" s="24"/>
      <c r="G837" s="23"/>
      <c r="H837" s="21" t="str">
        <f aca="true">IF(E837="","",ROUND((E837-TODAY())/30.4,1))</f>
        <v/>
      </c>
      <c r="I837" s="17" t="str">
        <f aca="false">IF(E837="","",IF(H837&lt;0,IF(LEFT(A837,1)="Q","Périmé (en quarantaine)","PÉRIMÉ → déplacer en zone Q"),IF(H837&lt;3,"Péremption &lt; 3 mois",IF(H837&lt;6,"Péremption &lt; 6 mois",""))))</f>
        <v/>
      </c>
      <c r="J837" s="17" t="str">
        <f aca="false">IF(A837="","",IF(COUNTIF(Emplacements!$A$2:$A$1001,A837)=0,"⚠ emplacement inconnu","OK"))</f>
        <v/>
      </c>
      <c r="K837" s="22" t="str">
        <f aca="false">IF(AND(B837&lt;&gt;"",ISNUMBER(SEARCH(Recherche!$C$3,C837&amp;" "&amp;B837&amp;" "&amp;A837&amp;" "&amp;D837))),MAX($K$1:K836)+1,"")</f>
        <v/>
      </c>
    </row>
    <row r="838" customFormat="false" ht="15" hidden="false" customHeight="false" outlineLevel="0" collapsed="false">
      <c r="A838" s="12"/>
      <c r="B838" s="12"/>
      <c r="C838" s="17" t="str">
        <f aca="false">IF(B838="","",IFERROR(INDEX(Produits!$F$2:$F$1001,MATCH(B838,Produits!$A$2:$A$1001,0)),"⚠ code article inconnu"))</f>
        <v/>
      </c>
      <c r="D838" s="12"/>
      <c r="E838" s="23"/>
      <c r="F838" s="24"/>
      <c r="G838" s="23"/>
      <c r="H838" s="21" t="str">
        <f aca="true">IF(E838="","",ROUND((E838-TODAY())/30.4,1))</f>
        <v/>
      </c>
      <c r="I838" s="17" t="str">
        <f aca="false">IF(E838="","",IF(H838&lt;0,IF(LEFT(A838,1)="Q","Périmé (en quarantaine)","PÉRIMÉ → déplacer en zone Q"),IF(H838&lt;3,"Péremption &lt; 3 mois",IF(H838&lt;6,"Péremption &lt; 6 mois",""))))</f>
        <v/>
      </c>
      <c r="J838" s="17" t="str">
        <f aca="false">IF(A838="","",IF(COUNTIF(Emplacements!$A$2:$A$1001,A838)=0,"⚠ emplacement inconnu","OK"))</f>
        <v/>
      </c>
      <c r="K838" s="22" t="str">
        <f aca="false">IF(AND(B838&lt;&gt;"",ISNUMBER(SEARCH(Recherche!$C$3,C838&amp;" "&amp;B838&amp;" "&amp;A838&amp;" "&amp;D838))),MAX($K$1:K837)+1,"")</f>
        <v/>
      </c>
    </row>
    <row r="839" customFormat="false" ht="15" hidden="false" customHeight="false" outlineLevel="0" collapsed="false">
      <c r="A839" s="12"/>
      <c r="B839" s="12"/>
      <c r="C839" s="17" t="str">
        <f aca="false">IF(B839="","",IFERROR(INDEX(Produits!$F$2:$F$1001,MATCH(B839,Produits!$A$2:$A$1001,0)),"⚠ code article inconnu"))</f>
        <v/>
      </c>
      <c r="D839" s="12"/>
      <c r="E839" s="23"/>
      <c r="F839" s="24"/>
      <c r="G839" s="23"/>
      <c r="H839" s="21" t="str">
        <f aca="true">IF(E839="","",ROUND((E839-TODAY())/30.4,1))</f>
        <v/>
      </c>
      <c r="I839" s="17" t="str">
        <f aca="false">IF(E839="","",IF(H839&lt;0,IF(LEFT(A839,1)="Q","Périmé (en quarantaine)","PÉRIMÉ → déplacer en zone Q"),IF(H839&lt;3,"Péremption &lt; 3 mois",IF(H839&lt;6,"Péremption &lt; 6 mois",""))))</f>
        <v/>
      </c>
      <c r="J839" s="17" t="str">
        <f aca="false">IF(A839="","",IF(COUNTIF(Emplacements!$A$2:$A$1001,A839)=0,"⚠ emplacement inconnu","OK"))</f>
        <v/>
      </c>
      <c r="K839" s="22" t="str">
        <f aca="false">IF(AND(B839&lt;&gt;"",ISNUMBER(SEARCH(Recherche!$C$3,C839&amp;" "&amp;B839&amp;" "&amp;A839&amp;" "&amp;D839))),MAX($K$1:K838)+1,"")</f>
        <v/>
      </c>
    </row>
    <row r="840" customFormat="false" ht="15" hidden="false" customHeight="false" outlineLevel="0" collapsed="false">
      <c r="A840" s="12"/>
      <c r="B840" s="12"/>
      <c r="C840" s="17" t="str">
        <f aca="false">IF(B840="","",IFERROR(INDEX(Produits!$F$2:$F$1001,MATCH(B840,Produits!$A$2:$A$1001,0)),"⚠ code article inconnu"))</f>
        <v/>
      </c>
      <c r="D840" s="12"/>
      <c r="E840" s="23"/>
      <c r="F840" s="24"/>
      <c r="G840" s="23"/>
      <c r="H840" s="21" t="str">
        <f aca="true">IF(E840="","",ROUND((E840-TODAY())/30.4,1))</f>
        <v/>
      </c>
      <c r="I840" s="17" t="str">
        <f aca="false">IF(E840="","",IF(H840&lt;0,IF(LEFT(A840,1)="Q","Périmé (en quarantaine)","PÉRIMÉ → déplacer en zone Q"),IF(H840&lt;3,"Péremption &lt; 3 mois",IF(H840&lt;6,"Péremption &lt; 6 mois",""))))</f>
        <v/>
      </c>
      <c r="J840" s="17" t="str">
        <f aca="false">IF(A840="","",IF(COUNTIF(Emplacements!$A$2:$A$1001,A840)=0,"⚠ emplacement inconnu","OK"))</f>
        <v/>
      </c>
      <c r="K840" s="22" t="str">
        <f aca="false">IF(AND(B840&lt;&gt;"",ISNUMBER(SEARCH(Recherche!$C$3,C840&amp;" "&amp;B840&amp;" "&amp;A840&amp;" "&amp;D840))),MAX($K$1:K839)+1,"")</f>
        <v/>
      </c>
    </row>
    <row r="841" customFormat="false" ht="15" hidden="false" customHeight="false" outlineLevel="0" collapsed="false">
      <c r="A841" s="12"/>
      <c r="B841" s="12"/>
      <c r="C841" s="17" t="str">
        <f aca="false">IF(B841="","",IFERROR(INDEX(Produits!$F$2:$F$1001,MATCH(B841,Produits!$A$2:$A$1001,0)),"⚠ code article inconnu"))</f>
        <v/>
      </c>
      <c r="D841" s="12"/>
      <c r="E841" s="23"/>
      <c r="F841" s="24"/>
      <c r="G841" s="23"/>
      <c r="H841" s="21" t="str">
        <f aca="true">IF(E841="","",ROUND((E841-TODAY())/30.4,1))</f>
        <v/>
      </c>
      <c r="I841" s="17" t="str">
        <f aca="false">IF(E841="","",IF(H841&lt;0,IF(LEFT(A841,1)="Q","Périmé (en quarantaine)","PÉRIMÉ → déplacer en zone Q"),IF(H841&lt;3,"Péremption &lt; 3 mois",IF(H841&lt;6,"Péremption &lt; 6 mois",""))))</f>
        <v/>
      </c>
      <c r="J841" s="17" t="str">
        <f aca="false">IF(A841="","",IF(COUNTIF(Emplacements!$A$2:$A$1001,A841)=0,"⚠ emplacement inconnu","OK"))</f>
        <v/>
      </c>
      <c r="K841" s="22" t="str">
        <f aca="false">IF(AND(B841&lt;&gt;"",ISNUMBER(SEARCH(Recherche!$C$3,C841&amp;" "&amp;B841&amp;" "&amp;A841&amp;" "&amp;D841))),MAX($K$1:K840)+1,"")</f>
        <v/>
      </c>
    </row>
    <row r="842" customFormat="false" ht="15" hidden="false" customHeight="false" outlineLevel="0" collapsed="false">
      <c r="A842" s="12"/>
      <c r="B842" s="12"/>
      <c r="C842" s="17" t="str">
        <f aca="false">IF(B842="","",IFERROR(INDEX(Produits!$F$2:$F$1001,MATCH(B842,Produits!$A$2:$A$1001,0)),"⚠ code article inconnu"))</f>
        <v/>
      </c>
      <c r="D842" s="12"/>
      <c r="E842" s="23"/>
      <c r="F842" s="24"/>
      <c r="G842" s="23"/>
      <c r="H842" s="21" t="str">
        <f aca="true">IF(E842="","",ROUND((E842-TODAY())/30.4,1))</f>
        <v/>
      </c>
      <c r="I842" s="17" t="str">
        <f aca="false">IF(E842="","",IF(H842&lt;0,IF(LEFT(A842,1)="Q","Périmé (en quarantaine)","PÉRIMÉ → déplacer en zone Q"),IF(H842&lt;3,"Péremption &lt; 3 mois",IF(H842&lt;6,"Péremption &lt; 6 mois",""))))</f>
        <v/>
      </c>
      <c r="J842" s="17" t="str">
        <f aca="false">IF(A842="","",IF(COUNTIF(Emplacements!$A$2:$A$1001,A842)=0,"⚠ emplacement inconnu","OK"))</f>
        <v/>
      </c>
      <c r="K842" s="22" t="str">
        <f aca="false">IF(AND(B842&lt;&gt;"",ISNUMBER(SEARCH(Recherche!$C$3,C842&amp;" "&amp;B842&amp;" "&amp;A842&amp;" "&amp;D842))),MAX($K$1:K841)+1,"")</f>
        <v/>
      </c>
    </row>
    <row r="843" customFormat="false" ht="15" hidden="false" customHeight="false" outlineLevel="0" collapsed="false">
      <c r="A843" s="12"/>
      <c r="B843" s="12"/>
      <c r="C843" s="17" t="str">
        <f aca="false">IF(B843="","",IFERROR(INDEX(Produits!$F$2:$F$1001,MATCH(B843,Produits!$A$2:$A$1001,0)),"⚠ code article inconnu"))</f>
        <v/>
      </c>
      <c r="D843" s="12"/>
      <c r="E843" s="23"/>
      <c r="F843" s="24"/>
      <c r="G843" s="23"/>
      <c r="H843" s="21" t="str">
        <f aca="true">IF(E843="","",ROUND((E843-TODAY())/30.4,1))</f>
        <v/>
      </c>
      <c r="I843" s="17" t="str">
        <f aca="false">IF(E843="","",IF(H843&lt;0,IF(LEFT(A843,1)="Q","Périmé (en quarantaine)","PÉRIMÉ → déplacer en zone Q"),IF(H843&lt;3,"Péremption &lt; 3 mois",IF(H843&lt;6,"Péremption &lt; 6 mois",""))))</f>
        <v/>
      </c>
      <c r="J843" s="17" t="str">
        <f aca="false">IF(A843="","",IF(COUNTIF(Emplacements!$A$2:$A$1001,A843)=0,"⚠ emplacement inconnu","OK"))</f>
        <v/>
      </c>
      <c r="K843" s="22" t="str">
        <f aca="false">IF(AND(B843&lt;&gt;"",ISNUMBER(SEARCH(Recherche!$C$3,C843&amp;" "&amp;B843&amp;" "&amp;A843&amp;" "&amp;D843))),MAX($K$1:K842)+1,"")</f>
        <v/>
      </c>
    </row>
    <row r="844" customFormat="false" ht="15" hidden="false" customHeight="false" outlineLevel="0" collapsed="false">
      <c r="A844" s="12"/>
      <c r="B844" s="12"/>
      <c r="C844" s="17" t="str">
        <f aca="false">IF(B844="","",IFERROR(INDEX(Produits!$F$2:$F$1001,MATCH(B844,Produits!$A$2:$A$1001,0)),"⚠ code article inconnu"))</f>
        <v/>
      </c>
      <c r="D844" s="12"/>
      <c r="E844" s="23"/>
      <c r="F844" s="24"/>
      <c r="G844" s="23"/>
      <c r="H844" s="21" t="str">
        <f aca="true">IF(E844="","",ROUND((E844-TODAY())/30.4,1))</f>
        <v/>
      </c>
      <c r="I844" s="17" t="str">
        <f aca="false">IF(E844="","",IF(H844&lt;0,IF(LEFT(A844,1)="Q","Périmé (en quarantaine)","PÉRIMÉ → déplacer en zone Q"),IF(H844&lt;3,"Péremption &lt; 3 mois",IF(H844&lt;6,"Péremption &lt; 6 mois",""))))</f>
        <v/>
      </c>
      <c r="J844" s="17" t="str">
        <f aca="false">IF(A844="","",IF(COUNTIF(Emplacements!$A$2:$A$1001,A844)=0,"⚠ emplacement inconnu","OK"))</f>
        <v/>
      </c>
      <c r="K844" s="22" t="str">
        <f aca="false">IF(AND(B844&lt;&gt;"",ISNUMBER(SEARCH(Recherche!$C$3,C844&amp;" "&amp;B844&amp;" "&amp;A844&amp;" "&amp;D844))),MAX($K$1:K843)+1,"")</f>
        <v/>
      </c>
    </row>
    <row r="845" customFormat="false" ht="15" hidden="false" customHeight="false" outlineLevel="0" collapsed="false">
      <c r="A845" s="12"/>
      <c r="B845" s="12"/>
      <c r="C845" s="17" t="str">
        <f aca="false">IF(B845="","",IFERROR(INDEX(Produits!$F$2:$F$1001,MATCH(B845,Produits!$A$2:$A$1001,0)),"⚠ code article inconnu"))</f>
        <v/>
      </c>
      <c r="D845" s="12"/>
      <c r="E845" s="23"/>
      <c r="F845" s="24"/>
      <c r="G845" s="23"/>
      <c r="H845" s="21" t="str">
        <f aca="true">IF(E845="","",ROUND((E845-TODAY())/30.4,1))</f>
        <v/>
      </c>
      <c r="I845" s="17" t="str">
        <f aca="false">IF(E845="","",IF(H845&lt;0,IF(LEFT(A845,1)="Q","Périmé (en quarantaine)","PÉRIMÉ → déplacer en zone Q"),IF(H845&lt;3,"Péremption &lt; 3 mois",IF(H845&lt;6,"Péremption &lt; 6 mois",""))))</f>
        <v/>
      </c>
      <c r="J845" s="17" t="str">
        <f aca="false">IF(A845="","",IF(COUNTIF(Emplacements!$A$2:$A$1001,A845)=0,"⚠ emplacement inconnu","OK"))</f>
        <v/>
      </c>
      <c r="K845" s="22" t="str">
        <f aca="false">IF(AND(B845&lt;&gt;"",ISNUMBER(SEARCH(Recherche!$C$3,C845&amp;" "&amp;B845&amp;" "&amp;A845&amp;" "&amp;D845))),MAX($K$1:K844)+1,"")</f>
        <v/>
      </c>
    </row>
    <row r="846" customFormat="false" ht="15" hidden="false" customHeight="false" outlineLevel="0" collapsed="false">
      <c r="A846" s="12"/>
      <c r="B846" s="12"/>
      <c r="C846" s="17" t="str">
        <f aca="false">IF(B846="","",IFERROR(INDEX(Produits!$F$2:$F$1001,MATCH(B846,Produits!$A$2:$A$1001,0)),"⚠ code article inconnu"))</f>
        <v/>
      </c>
      <c r="D846" s="12"/>
      <c r="E846" s="23"/>
      <c r="F846" s="24"/>
      <c r="G846" s="23"/>
      <c r="H846" s="21" t="str">
        <f aca="true">IF(E846="","",ROUND((E846-TODAY())/30.4,1))</f>
        <v/>
      </c>
      <c r="I846" s="17" t="str">
        <f aca="false">IF(E846="","",IF(H846&lt;0,IF(LEFT(A846,1)="Q","Périmé (en quarantaine)","PÉRIMÉ → déplacer en zone Q"),IF(H846&lt;3,"Péremption &lt; 3 mois",IF(H846&lt;6,"Péremption &lt; 6 mois",""))))</f>
        <v/>
      </c>
      <c r="J846" s="17" t="str">
        <f aca="false">IF(A846="","",IF(COUNTIF(Emplacements!$A$2:$A$1001,A846)=0,"⚠ emplacement inconnu","OK"))</f>
        <v/>
      </c>
      <c r="K846" s="22" t="str">
        <f aca="false">IF(AND(B846&lt;&gt;"",ISNUMBER(SEARCH(Recherche!$C$3,C846&amp;" "&amp;B846&amp;" "&amp;A846&amp;" "&amp;D846))),MAX($K$1:K845)+1,"")</f>
        <v/>
      </c>
    </row>
    <row r="847" customFormat="false" ht="15" hidden="false" customHeight="false" outlineLevel="0" collapsed="false">
      <c r="A847" s="12"/>
      <c r="B847" s="12"/>
      <c r="C847" s="17" t="str">
        <f aca="false">IF(B847="","",IFERROR(INDEX(Produits!$F$2:$F$1001,MATCH(B847,Produits!$A$2:$A$1001,0)),"⚠ code article inconnu"))</f>
        <v/>
      </c>
      <c r="D847" s="12"/>
      <c r="E847" s="23"/>
      <c r="F847" s="24"/>
      <c r="G847" s="23"/>
      <c r="H847" s="21" t="str">
        <f aca="true">IF(E847="","",ROUND((E847-TODAY())/30.4,1))</f>
        <v/>
      </c>
      <c r="I847" s="17" t="str">
        <f aca="false">IF(E847="","",IF(H847&lt;0,IF(LEFT(A847,1)="Q","Périmé (en quarantaine)","PÉRIMÉ → déplacer en zone Q"),IF(H847&lt;3,"Péremption &lt; 3 mois",IF(H847&lt;6,"Péremption &lt; 6 mois",""))))</f>
        <v/>
      </c>
      <c r="J847" s="17" t="str">
        <f aca="false">IF(A847="","",IF(COUNTIF(Emplacements!$A$2:$A$1001,A847)=0,"⚠ emplacement inconnu","OK"))</f>
        <v/>
      </c>
      <c r="K847" s="22" t="str">
        <f aca="false">IF(AND(B847&lt;&gt;"",ISNUMBER(SEARCH(Recherche!$C$3,C847&amp;" "&amp;B847&amp;" "&amp;A847&amp;" "&amp;D847))),MAX($K$1:K846)+1,"")</f>
        <v/>
      </c>
    </row>
    <row r="848" customFormat="false" ht="15" hidden="false" customHeight="false" outlineLevel="0" collapsed="false">
      <c r="A848" s="12"/>
      <c r="B848" s="12"/>
      <c r="C848" s="17" t="str">
        <f aca="false">IF(B848="","",IFERROR(INDEX(Produits!$F$2:$F$1001,MATCH(B848,Produits!$A$2:$A$1001,0)),"⚠ code article inconnu"))</f>
        <v/>
      </c>
      <c r="D848" s="12"/>
      <c r="E848" s="23"/>
      <c r="F848" s="24"/>
      <c r="G848" s="23"/>
      <c r="H848" s="21" t="str">
        <f aca="true">IF(E848="","",ROUND((E848-TODAY())/30.4,1))</f>
        <v/>
      </c>
      <c r="I848" s="17" t="str">
        <f aca="false">IF(E848="","",IF(H848&lt;0,IF(LEFT(A848,1)="Q","Périmé (en quarantaine)","PÉRIMÉ → déplacer en zone Q"),IF(H848&lt;3,"Péremption &lt; 3 mois",IF(H848&lt;6,"Péremption &lt; 6 mois",""))))</f>
        <v/>
      </c>
      <c r="J848" s="17" t="str">
        <f aca="false">IF(A848="","",IF(COUNTIF(Emplacements!$A$2:$A$1001,A848)=0,"⚠ emplacement inconnu","OK"))</f>
        <v/>
      </c>
      <c r="K848" s="22" t="str">
        <f aca="false">IF(AND(B848&lt;&gt;"",ISNUMBER(SEARCH(Recherche!$C$3,C848&amp;" "&amp;B848&amp;" "&amp;A848&amp;" "&amp;D848))),MAX($K$1:K847)+1,"")</f>
        <v/>
      </c>
    </row>
    <row r="849" customFormat="false" ht="15" hidden="false" customHeight="false" outlineLevel="0" collapsed="false">
      <c r="A849" s="12"/>
      <c r="B849" s="12"/>
      <c r="C849" s="17" t="str">
        <f aca="false">IF(B849="","",IFERROR(INDEX(Produits!$F$2:$F$1001,MATCH(B849,Produits!$A$2:$A$1001,0)),"⚠ code article inconnu"))</f>
        <v/>
      </c>
      <c r="D849" s="12"/>
      <c r="E849" s="23"/>
      <c r="F849" s="24"/>
      <c r="G849" s="23"/>
      <c r="H849" s="21" t="str">
        <f aca="true">IF(E849="","",ROUND((E849-TODAY())/30.4,1))</f>
        <v/>
      </c>
      <c r="I849" s="17" t="str">
        <f aca="false">IF(E849="","",IF(H849&lt;0,IF(LEFT(A849,1)="Q","Périmé (en quarantaine)","PÉRIMÉ → déplacer en zone Q"),IF(H849&lt;3,"Péremption &lt; 3 mois",IF(H849&lt;6,"Péremption &lt; 6 mois",""))))</f>
        <v/>
      </c>
      <c r="J849" s="17" t="str">
        <f aca="false">IF(A849="","",IF(COUNTIF(Emplacements!$A$2:$A$1001,A849)=0,"⚠ emplacement inconnu","OK"))</f>
        <v/>
      </c>
      <c r="K849" s="22" t="str">
        <f aca="false">IF(AND(B849&lt;&gt;"",ISNUMBER(SEARCH(Recherche!$C$3,C849&amp;" "&amp;B849&amp;" "&amp;A849&amp;" "&amp;D849))),MAX($K$1:K848)+1,"")</f>
        <v/>
      </c>
    </row>
    <row r="850" customFormat="false" ht="15" hidden="false" customHeight="false" outlineLevel="0" collapsed="false">
      <c r="A850" s="12"/>
      <c r="B850" s="12"/>
      <c r="C850" s="17" t="str">
        <f aca="false">IF(B850="","",IFERROR(INDEX(Produits!$F$2:$F$1001,MATCH(B850,Produits!$A$2:$A$1001,0)),"⚠ code article inconnu"))</f>
        <v/>
      </c>
      <c r="D850" s="12"/>
      <c r="E850" s="23"/>
      <c r="F850" s="24"/>
      <c r="G850" s="23"/>
      <c r="H850" s="21" t="str">
        <f aca="true">IF(E850="","",ROUND((E850-TODAY())/30.4,1))</f>
        <v/>
      </c>
      <c r="I850" s="17" t="str">
        <f aca="false">IF(E850="","",IF(H850&lt;0,IF(LEFT(A850,1)="Q","Périmé (en quarantaine)","PÉRIMÉ → déplacer en zone Q"),IF(H850&lt;3,"Péremption &lt; 3 mois",IF(H850&lt;6,"Péremption &lt; 6 mois",""))))</f>
        <v/>
      </c>
      <c r="J850" s="17" t="str">
        <f aca="false">IF(A850="","",IF(COUNTIF(Emplacements!$A$2:$A$1001,A850)=0,"⚠ emplacement inconnu","OK"))</f>
        <v/>
      </c>
      <c r="K850" s="22" t="str">
        <f aca="false">IF(AND(B850&lt;&gt;"",ISNUMBER(SEARCH(Recherche!$C$3,C850&amp;" "&amp;B850&amp;" "&amp;A850&amp;" "&amp;D850))),MAX($K$1:K849)+1,"")</f>
        <v/>
      </c>
    </row>
    <row r="851" customFormat="false" ht="15" hidden="false" customHeight="false" outlineLevel="0" collapsed="false">
      <c r="A851" s="12"/>
      <c r="B851" s="12"/>
      <c r="C851" s="17" t="str">
        <f aca="false">IF(B851="","",IFERROR(INDEX(Produits!$F$2:$F$1001,MATCH(B851,Produits!$A$2:$A$1001,0)),"⚠ code article inconnu"))</f>
        <v/>
      </c>
      <c r="D851" s="12"/>
      <c r="E851" s="23"/>
      <c r="F851" s="24"/>
      <c r="G851" s="23"/>
      <c r="H851" s="21" t="str">
        <f aca="true">IF(E851="","",ROUND((E851-TODAY())/30.4,1))</f>
        <v/>
      </c>
      <c r="I851" s="17" t="str">
        <f aca="false">IF(E851="","",IF(H851&lt;0,IF(LEFT(A851,1)="Q","Périmé (en quarantaine)","PÉRIMÉ → déplacer en zone Q"),IF(H851&lt;3,"Péremption &lt; 3 mois",IF(H851&lt;6,"Péremption &lt; 6 mois",""))))</f>
        <v/>
      </c>
      <c r="J851" s="17" t="str">
        <f aca="false">IF(A851="","",IF(COUNTIF(Emplacements!$A$2:$A$1001,A851)=0,"⚠ emplacement inconnu","OK"))</f>
        <v/>
      </c>
      <c r="K851" s="22" t="str">
        <f aca="false">IF(AND(B851&lt;&gt;"",ISNUMBER(SEARCH(Recherche!$C$3,C851&amp;" "&amp;B851&amp;" "&amp;A851&amp;" "&amp;D851))),MAX($K$1:K850)+1,"")</f>
        <v/>
      </c>
    </row>
    <row r="852" customFormat="false" ht="15" hidden="false" customHeight="false" outlineLevel="0" collapsed="false">
      <c r="A852" s="12"/>
      <c r="B852" s="12"/>
      <c r="C852" s="17" t="str">
        <f aca="false">IF(B852="","",IFERROR(INDEX(Produits!$F$2:$F$1001,MATCH(B852,Produits!$A$2:$A$1001,0)),"⚠ code article inconnu"))</f>
        <v/>
      </c>
      <c r="D852" s="12"/>
      <c r="E852" s="23"/>
      <c r="F852" s="24"/>
      <c r="G852" s="23"/>
      <c r="H852" s="21" t="str">
        <f aca="true">IF(E852="","",ROUND((E852-TODAY())/30.4,1))</f>
        <v/>
      </c>
      <c r="I852" s="17" t="str">
        <f aca="false">IF(E852="","",IF(H852&lt;0,IF(LEFT(A852,1)="Q","Périmé (en quarantaine)","PÉRIMÉ → déplacer en zone Q"),IF(H852&lt;3,"Péremption &lt; 3 mois",IF(H852&lt;6,"Péremption &lt; 6 mois",""))))</f>
        <v/>
      </c>
      <c r="J852" s="17" t="str">
        <f aca="false">IF(A852="","",IF(COUNTIF(Emplacements!$A$2:$A$1001,A852)=0,"⚠ emplacement inconnu","OK"))</f>
        <v/>
      </c>
      <c r="K852" s="22" t="str">
        <f aca="false">IF(AND(B852&lt;&gt;"",ISNUMBER(SEARCH(Recherche!$C$3,C852&amp;" "&amp;B852&amp;" "&amp;A852&amp;" "&amp;D852))),MAX($K$1:K851)+1,"")</f>
        <v/>
      </c>
    </row>
    <row r="853" customFormat="false" ht="15" hidden="false" customHeight="false" outlineLevel="0" collapsed="false">
      <c r="A853" s="12"/>
      <c r="B853" s="12"/>
      <c r="C853" s="17" t="str">
        <f aca="false">IF(B853="","",IFERROR(INDEX(Produits!$F$2:$F$1001,MATCH(B853,Produits!$A$2:$A$1001,0)),"⚠ code article inconnu"))</f>
        <v/>
      </c>
      <c r="D853" s="12"/>
      <c r="E853" s="23"/>
      <c r="F853" s="24"/>
      <c r="G853" s="23"/>
      <c r="H853" s="21" t="str">
        <f aca="true">IF(E853="","",ROUND((E853-TODAY())/30.4,1))</f>
        <v/>
      </c>
      <c r="I853" s="17" t="str">
        <f aca="false">IF(E853="","",IF(H853&lt;0,IF(LEFT(A853,1)="Q","Périmé (en quarantaine)","PÉRIMÉ → déplacer en zone Q"),IF(H853&lt;3,"Péremption &lt; 3 mois",IF(H853&lt;6,"Péremption &lt; 6 mois",""))))</f>
        <v/>
      </c>
      <c r="J853" s="17" t="str">
        <f aca="false">IF(A853="","",IF(COUNTIF(Emplacements!$A$2:$A$1001,A853)=0,"⚠ emplacement inconnu","OK"))</f>
        <v/>
      </c>
      <c r="K853" s="22" t="str">
        <f aca="false">IF(AND(B853&lt;&gt;"",ISNUMBER(SEARCH(Recherche!$C$3,C853&amp;" "&amp;B853&amp;" "&amp;A853&amp;" "&amp;D853))),MAX($K$1:K852)+1,"")</f>
        <v/>
      </c>
    </row>
    <row r="854" customFormat="false" ht="15" hidden="false" customHeight="false" outlineLevel="0" collapsed="false">
      <c r="A854" s="12"/>
      <c r="B854" s="12"/>
      <c r="C854" s="17" t="str">
        <f aca="false">IF(B854="","",IFERROR(INDEX(Produits!$F$2:$F$1001,MATCH(B854,Produits!$A$2:$A$1001,0)),"⚠ code article inconnu"))</f>
        <v/>
      </c>
      <c r="D854" s="12"/>
      <c r="E854" s="23"/>
      <c r="F854" s="24"/>
      <c r="G854" s="23"/>
      <c r="H854" s="21" t="str">
        <f aca="true">IF(E854="","",ROUND((E854-TODAY())/30.4,1))</f>
        <v/>
      </c>
      <c r="I854" s="17" t="str">
        <f aca="false">IF(E854="","",IF(H854&lt;0,IF(LEFT(A854,1)="Q","Périmé (en quarantaine)","PÉRIMÉ → déplacer en zone Q"),IF(H854&lt;3,"Péremption &lt; 3 mois",IF(H854&lt;6,"Péremption &lt; 6 mois",""))))</f>
        <v/>
      </c>
      <c r="J854" s="17" t="str">
        <f aca="false">IF(A854="","",IF(COUNTIF(Emplacements!$A$2:$A$1001,A854)=0,"⚠ emplacement inconnu","OK"))</f>
        <v/>
      </c>
      <c r="K854" s="22" t="str">
        <f aca="false">IF(AND(B854&lt;&gt;"",ISNUMBER(SEARCH(Recherche!$C$3,C854&amp;" "&amp;B854&amp;" "&amp;A854&amp;" "&amp;D854))),MAX($K$1:K853)+1,"")</f>
        <v/>
      </c>
    </row>
    <row r="855" customFormat="false" ht="15" hidden="false" customHeight="false" outlineLevel="0" collapsed="false">
      <c r="A855" s="12"/>
      <c r="B855" s="12"/>
      <c r="C855" s="17" t="str">
        <f aca="false">IF(B855="","",IFERROR(INDEX(Produits!$F$2:$F$1001,MATCH(B855,Produits!$A$2:$A$1001,0)),"⚠ code article inconnu"))</f>
        <v/>
      </c>
      <c r="D855" s="12"/>
      <c r="E855" s="23"/>
      <c r="F855" s="24"/>
      <c r="G855" s="23"/>
      <c r="H855" s="21" t="str">
        <f aca="true">IF(E855="","",ROUND((E855-TODAY())/30.4,1))</f>
        <v/>
      </c>
      <c r="I855" s="17" t="str">
        <f aca="false">IF(E855="","",IF(H855&lt;0,IF(LEFT(A855,1)="Q","Périmé (en quarantaine)","PÉRIMÉ → déplacer en zone Q"),IF(H855&lt;3,"Péremption &lt; 3 mois",IF(H855&lt;6,"Péremption &lt; 6 mois",""))))</f>
        <v/>
      </c>
      <c r="J855" s="17" t="str">
        <f aca="false">IF(A855="","",IF(COUNTIF(Emplacements!$A$2:$A$1001,A855)=0,"⚠ emplacement inconnu","OK"))</f>
        <v/>
      </c>
      <c r="K855" s="22" t="str">
        <f aca="false">IF(AND(B855&lt;&gt;"",ISNUMBER(SEARCH(Recherche!$C$3,C855&amp;" "&amp;B855&amp;" "&amp;A855&amp;" "&amp;D855))),MAX($K$1:K854)+1,"")</f>
        <v/>
      </c>
    </row>
    <row r="856" customFormat="false" ht="15" hidden="false" customHeight="false" outlineLevel="0" collapsed="false">
      <c r="A856" s="12"/>
      <c r="B856" s="12"/>
      <c r="C856" s="17" t="str">
        <f aca="false">IF(B856="","",IFERROR(INDEX(Produits!$F$2:$F$1001,MATCH(B856,Produits!$A$2:$A$1001,0)),"⚠ code article inconnu"))</f>
        <v/>
      </c>
      <c r="D856" s="12"/>
      <c r="E856" s="23"/>
      <c r="F856" s="24"/>
      <c r="G856" s="23"/>
      <c r="H856" s="21" t="str">
        <f aca="true">IF(E856="","",ROUND((E856-TODAY())/30.4,1))</f>
        <v/>
      </c>
      <c r="I856" s="17" t="str">
        <f aca="false">IF(E856="","",IF(H856&lt;0,IF(LEFT(A856,1)="Q","Périmé (en quarantaine)","PÉRIMÉ → déplacer en zone Q"),IF(H856&lt;3,"Péremption &lt; 3 mois",IF(H856&lt;6,"Péremption &lt; 6 mois",""))))</f>
        <v/>
      </c>
      <c r="J856" s="17" t="str">
        <f aca="false">IF(A856="","",IF(COUNTIF(Emplacements!$A$2:$A$1001,A856)=0,"⚠ emplacement inconnu","OK"))</f>
        <v/>
      </c>
      <c r="K856" s="22" t="str">
        <f aca="false">IF(AND(B856&lt;&gt;"",ISNUMBER(SEARCH(Recherche!$C$3,C856&amp;" "&amp;B856&amp;" "&amp;A856&amp;" "&amp;D856))),MAX($K$1:K855)+1,"")</f>
        <v/>
      </c>
    </row>
    <row r="857" customFormat="false" ht="15" hidden="false" customHeight="false" outlineLevel="0" collapsed="false">
      <c r="A857" s="12"/>
      <c r="B857" s="12"/>
      <c r="C857" s="17" t="str">
        <f aca="false">IF(B857="","",IFERROR(INDEX(Produits!$F$2:$F$1001,MATCH(B857,Produits!$A$2:$A$1001,0)),"⚠ code article inconnu"))</f>
        <v/>
      </c>
      <c r="D857" s="12"/>
      <c r="E857" s="23"/>
      <c r="F857" s="24"/>
      <c r="G857" s="23"/>
      <c r="H857" s="21" t="str">
        <f aca="true">IF(E857="","",ROUND((E857-TODAY())/30.4,1))</f>
        <v/>
      </c>
      <c r="I857" s="17" t="str">
        <f aca="false">IF(E857="","",IF(H857&lt;0,IF(LEFT(A857,1)="Q","Périmé (en quarantaine)","PÉRIMÉ → déplacer en zone Q"),IF(H857&lt;3,"Péremption &lt; 3 mois",IF(H857&lt;6,"Péremption &lt; 6 mois",""))))</f>
        <v/>
      </c>
      <c r="J857" s="17" t="str">
        <f aca="false">IF(A857="","",IF(COUNTIF(Emplacements!$A$2:$A$1001,A857)=0,"⚠ emplacement inconnu","OK"))</f>
        <v/>
      </c>
      <c r="K857" s="22" t="str">
        <f aca="false">IF(AND(B857&lt;&gt;"",ISNUMBER(SEARCH(Recherche!$C$3,C857&amp;" "&amp;B857&amp;" "&amp;A857&amp;" "&amp;D857))),MAX($K$1:K856)+1,"")</f>
        <v/>
      </c>
    </row>
    <row r="858" customFormat="false" ht="15" hidden="false" customHeight="false" outlineLevel="0" collapsed="false">
      <c r="A858" s="12"/>
      <c r="B858" s="12"/>
      <c r="C858" s="17" t="str">
        <f aca="false">IF(B858="","",IFERROR(INDEX(Produits!$F$2:$F$1001,MATCH(B858,Produits!$A$2:$A$1001,0)),"⚠ code article inconnu"))</f>
        <v/>
      </c>
      <c r="D858" s="12"/>
      <c r="E858" s="23"/>
      <c r="F858" s="24"/>
      <c r="G858" s="23"/>
      <c r="H858" s="21" t="str">
        <f aca="true">IF(E858="","",ROUND((E858-TODAY())/30.4,1))</f>
        <v/>
      </c>
      <c r="I858" s="17" t="str">
        <f aca="false">IF(E858="","",IF(H858&lt;0,IF(LEFT(A858,1)="Q","Périmé (en quarantaine)","PÉRIMÉ → déplacer en zone Q"),IF(H858&lt;3,"Péremption &lt; 3 mois",IF(H858&lt;6,"Péremption &lt; 6 mois",""))))</f>
        <v/>
      </c>
      <c r="J858" s="17" t="str">
        <f aca="false">IF(A858="","",IF(COUNTIF(Emplacements!$A$2:$A$1001,A858)=0,"⚠ emplacement inconnu","OK"))</f>
        <v/>
      </c>
      <c r="K858" s="22" t="str">
        <f aca="false">IF(AND(B858&lt;&gt;"",ISNUMBER(SEARCH(Recherche!$C$3,C858&amp;" "&amp;B858&amp;" "&amp;A858&amp;" "&amp;D858))),MAX($K$1:K857)+1,"")</f>
        <v/>
      </c>
    </row>
    <row r="859" customFormat="false" ht="15" hidden="false" customHeight="false" outlineLevel="0" collapsed="false">
      <c r="A859" s="12"/>
      <c r="B859" s="12"/>
      <c r="C859" s="17" t="str">
        <f aca="false">IF(B859="","",IFERROR(INDEX(Produits!$F$2:$F$1001,MATCH(B859,Produits!$A$2:$A$1001,0)),"⚠ code article inconnu"))</f>
        <v/>
      </c>
      <c r="D859" s="12"/>
      <c r="E859" s="23"/>
      <c r="F859" s="24"/>
      <c r="G859" s="23"/>
      <c r="H859" s="21" t="str">
        <f aca="true">IF(E859="","",ROUND((E859-TODAY())/30.4,1))</f>
        <v/>
      </c>
      <c r="I859" s="17" t="str">
        <f aca="false">IF(E859="","",IF(H859&lt;0,IF(LEFT(A859,1)="Q","Périmé (en quarantaine)","PÉRIMÉ → déplacer en zone Q"),IF(H859&lt;3,"Péremption &lt; 3 mois",IF(H859&lt;6,"Péremption &lt; 6 mois",""))))</f>
        <v/>
      </c>
      <c r="J859" s="17" t="str">
        <f aca="false">IF(A859="","",IF(COUNTIF(Emplacements!$A$2:$A$1001,A859)=0,"⚠ emplacement inconnu","OK"))</f>
        <v/>
      </c>
      <c r="K859" s="22" t="str">
        <f aca="false">IF(AND(B859&lt;&gt;"",ISNUMBER(SEARCH(Recherche!$C$3,C859&amp;" "&amp;B859&amp;" "&amp;A859&amp;" "&amp;D859))),MAX($K$1:K858)+1,"")</f>
        <v/>
      </c>
    </row>
    <row r="860" customFormat="false" ht="15" hidden="false" customHeight="false" outlineLevel="0" collapsed="false">
      <c r="A860" s="12"/>
      <c r="B860" s="12"/>
      <c r="C860" s="17" t="str">
        <f aca="false">IF(B860="","",IFERROR(INDEX(Produits!$F$2:$F$1001,MATCH(B860,Produits!$A$2:$A$1001,0)),"⚠ code article inconnu"))</f>
        <v/>
      </c>
      <c r="D860" s="12"/>
      <c r="E860" s="23"/>
      <c r="F860" s="24"/>
      <c r="G860" s="23"/>
      <c r="H860" s="21" t="str">
        <f aca="true">IF(E860="","",ROUND((E860-TODAY())/30.4,1))</f>
        <v/>
      </c>
      <c r="I860" s="17" t="str">
        <f aca="false">IF(E860="","",IF(H860&lt;0,IF(LEFT(A860,1)="Q","Périmé (en quarantaine)","PÉRIMÉ → déplacer en zone Q"),IF(H860&lt;3,"Péremption &lt; 3 mois",IF(H860&lt;6,"Péremption &lt; 6 mois",""))))</f>
        <v/>
      </c>
      <c r="J860" s="17" t="str">
        <f aca="false">IF(A860="","",IF(COUNTIF(Emplacements!$A$2:$A$1001,A860)=0,"⚠ emplacement inconnu","OK"))</f>
        <v/>
      </c>
      <c r="K860" s="22" t="str">
        <f aca="false">IF(AND(B860&lt;&gt;"",ISNUMBER(SEARCH(Recherche!$C$3,C860&amp;" "&amp;B860&amp;" "&amp;A860&amp;" "&amp;D860))),MAX($K$1:K859)+1,"")</f>
        <v/>
      </c>
    </row>
    <row r="861" customFormat="false" ht="15" hidden="false" customHeight="false" outlineLevel="0" collapsed="false">
      <c r="A861" s="12"/>
      <c r="B861" s="12"/>
      <c r="C861" s="17" t="str">
        <f aca="false">IF(B861="","",IFERROR(INDEX(Produits!$F$2:$F$1001,MATCH(B861,Produits!$A$2:$A$1001,0)),"⚠ code article inconnu"))</f>
        <v/>
      </c>
      <c r="D861" s="12"/>
      <c r="E861" s="23"/>
      <c r="F861" s="24"/>
      <c r="G861" s="23"/>
      <c r="H861" s="21" t="str">
        <f aca="true">IF(E861="","",ROUND((E861-TODAY())/30.4,1))</f>
        <v/>
      </c>
      <c r="I861" s="17" t="str">
        <f aca="false">IF(E861="","",IF(H861&lt;0,IF(LEFT(A861,1)="Q","Périmé (en quarantaine)","PÉRIMÉ → déplacer en zone Q"),IF(H861&lt;3,"Péremption &lt; 3 mois",IF(H861&lt;6,"Péremption &lt; 6 mois",""))))</f>
        <v/>
      </c>
      <c r="J861" s="17" t="str">
        <f aca="false">IF(A861="","",IF(COUNTIF(Emplacements!$A$2:$A$1001,A861)=0,"⚠ emplacement inconnu","OK"))</f>
        <v/>
      </c>
      <c r="K861" s="22" t="str">
        <f aca="false">IF(AND(B861&lt;&gt;"",ISNUMBER(SEARCH(Recherche!$C$3,C861&amp;" "&amp;B861&amp;" "&amp;A861&amp;" "&amp;D861))),MAX($K$1:K860)+1,"")</f>
        <v/>
      </c>
    </row>
    <row r="862" customFormat="false" ht="15" hidden="false" customHeight="false" outlineLevel="0" collapsed="false">
      <c r="A862" s="12"/>
      <c r="B862" s="12"/>
      <c r="C862" s="17" t="str">
        <f aca="false">IF(B862="","",IFERROR(INDEX(Produits!$F$2:$F$1001,MATCH(B862,Produits!$A$2:$A$1001,0)),"⚠ code article inconnu"))</f>
        <v/>
      </c>
      <c r="D862" s="12"/>
      <c r="E862" s="23"/>
      <c r="F862" s="24"/>
      <c r="G862" s="23"/>
      <c r="H862" s="21" t="str">
        <f aca="true">IF(E862="","",ROUND((E862-TODAY())/30.4,1))</f>
        <v/>
      </c>
      <c r="I862" s="17" t="str">
        <f aca="false">IF(E862="","",IF(H862&lt;0,IF(LEFT(A862,1)="Q","Périmé (en quarantaine)","PÉRIMÉ → déplacer en zone Q"),IF(H862&lt;3,"Péremption &lt; 3 mois",IF(H862&lt;6,"Péremption &lt; 6 mois",""))))</f>
        <v/>
      </c>
      <c r="J862" s="17" t="str">
        <f aca="false">IF(A862="","",IF(COUNTIF(Emplacements!$A$2:$A$1001,A862)=0,"⚠ emplacement inconnu","OK"))</f>
        <v/>
      </c>
      <c r="K862" s="22" t="str">
        <f aca="false">IF(AND(B862&lt;&gt;"",ISNUMBER(SEARCH(Recherche!$C$3,C862&amp;" "&amp;B862&amp;" "&amp;A862&amp;" "&amp;D862))),MAX($K$1:K861)+1,"")</f>
        <v/>
      </c>
    </row>
    <row r="863" customFormat="false" ht="15" hidden="false" customHeight="false" outlineLevel="0" collapsed="false">
      <c r="A863" s="12"/>
      <c r="B863" s="12"/>
      <c r="C863" s="17" t="str">
        <f aca="false">IF(B863="","",IFERROR(INDEX(Produits!$F$2:$F$1001,MATCH(B863,Produits!$A$2:$A$1001,0)),"⚠ code article inconnu"))</f>
        <v/>
      </c>
      <c r="D863" s="12"/>
      <c r="E863" s="23"/>
      <c r="F863" s="24"/>
      <c r="G863" s="23"/>
      <c r="H863" s="21" t="str">
        <f aca="true">IF(E863="","",ROUND((E863-TODAY())/30.4,1))</f>
        <v/>
      </c>
      <c r="I863" s="17" t="str">
        <f aca="false">IF(E863="","",IF(H863&lt;0,IF(LEFT(A863,1)="Q","Périmé (en quarantaine)","PÉRIMÉ → déplacer en zone Q"),IF(H863&lt;3,"Péremption &lt; 3 mois",IF(H863&lt;6,"Péremption &lt; 6 mois",""))))</f>
        <v/>
      </c>
      <c r="J863" s="17" t="str">
        <f aca="false">IF(A863="","",IF(COUNTIF(Emplacements!$A$2:$A$1001,A863)=0,"⚠ emplacement inconnu","OK"))</f>
        <v/>
      </c>
      <c r="K863" s="22" t="str">
        <f aca="false">IF(AND(B863&lt;&gt;"",ISNUMBER(SEARCH(Recherche!$C$3,C863&amp;" "&amp;B863&amp;" "&amp;A863&amp;" "&amp;D863))),MAX($K$1:K862)+1,"")</f>
        <v/>
      </c>
    </row>
    <row r="864" customFormat="false" ht="15" hidden="false" customHeight="false" outlineLevel="0" collapsed="false">
      <c r="A864" s="12"/>
      <c r="B864" s="12"/>
      <c r="C864" s="17" t="str">
        <f aca="false">IF(B864="","",IFERROR(INDEX(Produits!$F$2:$F$1001,MATCH(B864,Produits!$A$2:$A$1001,0)),"⚠ code article inconnu"))</f>
        <v/>
      </c>
      <c r="D864" s="12"/>
      <c r="E864" s="23"/>
      <c r="F864" s="24"/>
      <c r="G864" s="23"/>
      <c r="H864" s="21" t="str">
        <f aca="true">IF(E864="","",ROUND((E864-TODAY())/30.4,1))</f>
        <v/>
      </c>
      <c r="I864" s="17" t="str">
        <f aca="false">IF(E864="","",IF(H864&lt;0,IF(LEFT(A864,1)="Q","Périmé (en quarantaine)","PÉRIMÉ → déplacer en zone Q"),IF(H864&lt;3,"Péremption &lt; 3 mois",IF(H864&lt;6,"Péremption &lt; 6 mois",""))))</f>
        <v/>
      </c>
      <c r="J864" s="17" t="str">
        <f aca="false">IF(A864="","",IF(COUNTIF(Emplacements!$A$2:$A$1001,A864)=0,"⚠ emplacement inconnu","OK"))</f>
        <v/>
      </c>
      <c r="K864" s="22" t="str">
        <f aca="false">IF(AND(B864&lt;&gt;"",ISNUMBER(SEARCH(Recherche!$C$3,C864&amp;" "&amp;B864&amp;" "&amp;A864&amp;" "&amp;D864))),MAX($K$1:K863)+1,"")</f>
        <v/>
      </c>
    </row>
    <row r="865" customFormat="false" ht="15" hidden="false" customHeight="false" outlineLevel="0" collapsed="false">
      <c r="A865" s="12"/>
      <c r="B865" s="12"/>
      <c r="C865" s="17" t="str">
        <f aca="false">IF(B865="","",IFERROR(INDEX(Produits!$F$2:$F$1001,MATCH(B865,Produits!$A$2:$A$1001,0)),"⚠ code article inconnu"))</f>
        <v/>
      </c>
      <c r="D865" s="12"/>
      <c r="E865" s="23"/>
      <c r="F865" s="24"/>
      <c r="G865" s="23"/>
      <c r="H865" s="21" t="str">
        <f aca="true">IF(E865="","",ROUND((E865-TODAY())/30.4,1))</f>
        <v/>
      </c>
      <c r="I865" s="17" t="str">
        <f aca="false">IF(E865="","",IF(H865&lt;0,IF(LEFT(A865,1)="Q","Périmé (en quarantaine)","PÉRIMÉ → déplacer en zone Q"),IF(H865&lt;3,"Péremption &lt; 3 mois",IF(H865&lt;6,"Péremption &lt; 6 mois",""))))</f>
        <v/>
      </c>
      <c r="J865" s="17" t="str">
        <f aca="false">IF(A865="","",IF(COUNTIF(Emplacements!$A$2:$A$1001,A865)=0,"⚠ emplacement inconnu","OK"))</f>
        <v/>
      </c>
      <c r="K865" s="22" t="str">
        <f aca="false">IF(AND(B865&lt;&gt;"",ISNUMBER(SEARCH(Recherche!$C$3,C865&amp;" "&amp;B865&amp;" "&amp;A865&amp;" "&amp;D865))),MAX($K$1:K864)+1,"")</f>
        <v/>
      </c>
    </row>
    <row r="866" customFormat="false" ht="15" hidden="false" customHeight="false" outlineLevel="0" collapsed="false">
      <c r="A866" s="12"/>
      <c r="B866" s="12"/>
      <c r="C866" s="17" t="str">
        <f aca="false">IF(B866="","",IFERROR(INDEX(Produits!$F$2:$F$1001,MATCH(B866,Produits!$A$2:$A$1001,0)),"⚠ code article inconnu"))</f>
        <v/>
      </c>
      <c r="D866" s="12"/>
      <c r="E866" s="23"/>
      <c r="F866" s="24"/>
      <c r="G866" s="23"/>
      <c r="H866" s="21" t="str">
        <f aca="true">IF(E866="","",ROUND((E866-TODAY())/30.4,1))</f>
        <v/>
      </c>
      <c r="I866" s="17" t="str">
        <f aca="false">IF(E866="","",IF(H866&lt;0,IF(LEFT(A866,1)="Q","Périmé (en quarantaine)","PÉRIMÉ → déplacer en zone Q"),IF(H866&lt;3,"Péremption &lt; 3 mois",IF(H866&lt;6,"Péremption &lt; 6 mois",""))))</f>
        <v/>
      </c>
      <c r="J866" s="17" t="str">
        <f aca="false">IF(A866="","",IF(COUNTIF(Emplacements!$A$2:$A$1001,A866)=0,"⚠ emplacement inconnu","OK"))</f>
        <v/>
      </c>
      <c r="K866" s="22" t="str">
        <f aca="false">IF(AND(B866&lt;&gt;"",ISNUMBER(SEARCH(Recherche!$C$3,C866&amp;" "&amp;B866&amp;" "&amp;A866&amp;" "&amp;D866))),MAX($K$1:K865)+1,"")</f>
        <v/>
      </c>
    </row>
    <row r="867" customFormat="false" ht="15" hidden="false" customHeight="false" outlineLevel="0" collapsed="false">
      <c r="A867" s="12"/>
      <c r="B867" s="12"/>
      <c r="C867" s="17" t="str">
        <f aca="false">IF(B867="","",IFERROR(INDEX(Produits!$F$2:$F$1001,MATCH(B867,Produits!$A$2:$A$1001,0)),"⚠ code article inconnu"))</f>
        <v/>
      </c>
      <c r="D867" s="12"/>
      <c r="E867" s="23"/>
      <c r="F867" s="24"/>
      <c r="G867" s="23"/>
      <c r="H867" s="21" t="str">
        <f aca="true">IF(E867="","",ROUND((E867-TODAY())/30.4,1))</f>
        <v/>
      </c>
      <c r="I867" s="17" t="str">
        <f aca="false">IF(E867="","",IF(H867&lt;0,IF(LEFT(A867,1)="Q","Périmé (en quarantaine)","PÉRIMÉ → déplacer en zone Q"),IF(H867&lt;3,"Péremption &lt; 3 mois",IF(H867&lt;6,"Péremption &lt; 6 mois",""))))</f>
        <v/>
      </c>
      <c r="J867" s="17" t="str">
        <f aca="false">IF(A867="","",IF(COUNTIF(Emplacements!$A$2:$A$1001,A867)=0,"⚠ emplacement inconnu","OK"))</f>
        <v/>
      </c>
      <c r="K867" s="22" t="str">
        <f aca="false">IF(AND(B867&lt;&gt;"",ISNUMBER(SEARCH(Recherche!$C$3,C867&amp;" "&amp;B867&amp;" "&amp;A867&amp;" "&amp;D867))),MAX($K$1:K866)+1,"")</f>
        <v/>
      </c>
    </row>
    <row r="868" customFormat="false" ht="15" hidden="false" customHeight="false" outlineLevel="0" collapsed="false">
      <c r="A868" s="12"/>
      <c r="B868" s="12"/>
      <c r="C868" s="17" t="str">
        <f aca="false">IF(B868="","",IFERROR(INDEX(Produits!$F$2:$F$1001,MATCH(B868,Produits!$A$2:$A$1001,0)),"⚠ code article inconnu"))</f>
        <v/>
      </c>
      <c r="D868" s="12"/>
      <c r="E868" s="23"/>
      <c r="F868" s="24"/>
      <c r="G868" s="23"/>
      <c r="H868" s="21" t="str">
        <f aca="true">IF(E868="","",ROUND((E868-TODAY())/30.4,1))</f>
        <v/>
      </c>
      <c r="I868" s="17" t="str">
        <f aca="false">IF(E868="","",IF(H868&lt;0,IF(LEFT(A868,1)="Q","Périmé (en quarantaine)","PÉRIMÉ → déplacer en zone Q"),IF(H868&lt;3,"Péremption &lt; 3 mois",IF(H868&lt;6,"Péremption &lt; 6 mois",""))))</f>
        <v/>
      </c>
      <c r="J868" s="17" t="str">
        <f aca="false">IF(A868="","",IF(COUNTIF(Emplacements!$A$2:$A$1001,A868)=0,"⚠ emplacement inconnu","OK"))</f>
        <v/>
      </c>
      <c r="K868" s="22" t="str">
        <f aca="false">IF(AND(B868&lt;&gt;"",ISNUMBER(SEARCH(Recherche!$C$3,C868&amp;" "&amp;B868&amp;" "&amp;A868&amp;" "&amp;D868))),MAX($K$1:K867)+1,"")</f>
        <v/>
      </c>
    </row>
    <row r="869" customFormat="false" ht="15" hidden="false" customHeight="false" outlineLevel="0" collapsed="false">
      <c r="A869" s="12"/>
      <c r="B869" s="12"/>
      <c r="C869" s="17" t="str">
        <f aca="false">IF(B869="","",IFERROR(INDEX(Produits!$F$2:$F$1001,MATCH(B869,Produits!$A$2:$A$1001,0)),"⚠ code article inconnu"))</f>
        <v/>
      </c>
      <c r="D869" s="12"/>
      <c r="E869" s="23"/>
      <c r="F869" s="24"/>
      <c r="G869" s="23"/>
      <c r="H869" s="21" t="str">
        <f aca="true">IF(E869="","",ROUND((E869-TODAY())/30.4,1))</f>
        <v/>
      </c>
      <c r="I869" s="17" t="str">
        <f aca="false">IF(E869="","",IF(H869&lt;0,IF(LEFT(A869,1)="Q","Périmé (en quarantaine)","PÉRIMÉ → déplacer en zone Q"),IF(H869&lt;3,"Péremption &lt; 3 mois",IF(H869&lt;6,"Péremption &lt; 6 mois",""))))</f>
        <v/>
      </c>
      <c r="J869" s="17" t="str">
        <f aca="false">IF(A869="","",IF(COUNTIF(Emplacements!$A$2:$A$1001,A869)=0,"⚠ emplacement inconnu","OK"))</f>
        <v/>
      </c>
      <c r="K869" s="22" t="str">
        <f aca="false">IF(AND(B869&lt;&gt;"",ISNUMBER(SEARCH(Recherche!$C$3,C869&amp;" "&amp;B869&amp;" "&amp;A869&amp;" "&amp;D869))),MAX($K$1:K868)+1,"")</f>
        <v/>
      </c>
    </row>
    <row r="870" customFormat="false" ht="15" hidden="false" customHeight="false" outlineLevel="0" collapsed="false">
      <c r="A870" s="12"/>
      <c r="B870" s="12"/>
      <c r="C870" s="17" t="str">
        <f aca="false">IF(B870="","",IFERROR(INDEX(Produits!$F$2:$F$1001,MATCH(B870,Produits!$A$2:$A$1001,0)),"⚠ code article inconnu"))</f>
        <v/>
      </c>
      <c r="D870" s="12"/>
      <c r="E870" s="23"/>
      <c r="F870" s="24"/>
      <c r="G870" s="23"/>
      <c r="H870" s="21" t="str">
        <f aca="true">IF(E870="","",ROUND((E870-TODAY())/30.4,1))</f>
        <v/>
      </c>
      <c r="I870" s="17" t="str">
        <f aca="false">IF(E870="","",IF(H870&lt;0,IF(LEFT(A870,1)="Q","Périmé (en quarantaine)","PÉRIMÉ → déplacer en zone Q"),IF(H870&lt;3,"Péremption &lt; 3 mois",IF(H870&lt;6,"Péremption &lt; 6 mois",""))))</f>
        <v/>
      </c>
      <c r="J870" s="17" t="str">
        <f aca="false">IF(A870="","",IF(COUNTIF(Emplacements!$A$2:$A$1001,A870)=0,"⚠ emplacement inconnu","OK"))</f>
        <v/>
      </c>
      <c r="K870" s="22" t="str">
        <f aca="false">IF(AND(B870&lt;&gt;"",ISNUMBER(SEARCH(Recherche!$C$3,C870&amp;" "&amp;B870&amp;" "&amp;A870&amp;" "&amp;D870))),MAX($K$1:K869)+1,"")</f>
        <v/>
      </c>
    </row>
    <row r="871" customFormat="false" ht="15" hidden="false" customHeight="false" outlineLevel="0" collapsed="false">
      <c r="A871" s="12"/>
      <c r="B871" s="12"/>
      <c r="C871" s="17" t="str">
        <f aca="false">IF(B871="","",IFERROR(INDEX(Produits!$F$2:$F$1001,MATCH(B871,Produits!$A$2:$A$1001,0)),"⚠ code article inconnu"))</f>
        <v/>
      </c>
      <c r="D871" s="12"/>
      <c r="E871" s="23"/>
      <c r="F871" s="24"/>
      <c r="G871" s="23"/>
      <c r="H871" s="21" t="str">
        <f aca="true">IF(E871="","",ROUND((E871-TODAY())/30.4,1))</f>
        <v/>
      </c>
      <c r="I871" s="17" t="str">
        <f aca="false">IF(E871="","",IF(H871&lt;0,IF(LEFT(A871,1)="Q","Périmé (en quarantaine)","PÉRIMÉ → déplacer en zone Q"),IF(H871&lt;3,"Péremption &lt; 3 mois",IF(H871&lt;6,"Péremption &lt; 6 mois",""))))</f>
        <v/>
      </c>
      <c r="J871" s="17" t="str">
        <f aca="false">IF(A871="","",IF(COUNTIF(Emplacements!$A$2:$A$1001,A871)=0,"⚠ emplacement inconnu","OK"))</f>
        <v/>
      </c>
      <c r="K871" s="22" t="str">
        <f aca="false">IF(AND(B871&lt;&gt;"",ISNUMBER(SEARCH(Recherche!$C$3,C871&amp;" "&amp;B871&amp;" "&amp;A871&amp;" "&amp;D871))),MAX($K$1:K870)+1,"")</f>
        <v/>
      </c>
    </row>
    <row r="872" customFormat="false" ht="15" hidden="false" customHeight="false" outlineLevel="0" collapsed="false">
      <c r="A872" s="12"/>
      <c r="B872" s="12"/>
      <c r="C872" s="17" t="str">
        <f aca="false">IF(B872="","",IFERROR(INDEX(Produits!$F$2:$F$1001,MATCH(B872,Produits!$A$2:$A$1001,0)),"⚠ code article inconnu"))</f>
        <v/>
      </c>
      <c r="D872" s="12"/>
      <c r="E872" s="23"/>
      <c r="F872" s="24"/>
      <c r="G872" s="23"/>
      <c r="H872" s="21" t="str">
        <f aca="true">IF(E872="","",ROUND((E872-TODAY())/30.4,1))</f>
        <v/>
      </c>
      <c r="I872" s="17" t="str">
        <f aca="false">IF(E872="","",IF(H872&lt;0,IF(LEFT(A872,1)="Q","Périmé (en quarantaine)","PÉRIMÉ → déplacer en zone Q"),IF(H872&lt;3,"Péremption &lt; 3 mois",IF(H872&lt;6,"Péremption &lt; 6 mois",""))))</f>
        <v/>
      </c>
      <c r="J872" s="17" t="str">
        <f aca="false">IF(A872="","",IF(COUNTIF(Emplacements!$A$2:$A$1001,A872)=0,"⚠ emplacement inconnu","OK"))</f>
        <v/>
      </c>
      <c r="K872" s="22" t="str">
        <f aca="false">IF(AND(B872&lt;&gt;"",ISNUMBER(SEARCH(Recherche!$C$3,C872&amp;" "&amp;B872&amp;" "&amp;A872&amp;" "&amp;D872))),MAX($K$1:K871)+1,"")</f>
        <v/>
      </c>
    </row>
    <row r="873" customFormat="false" ht="15" hidden="false" customHeight="false" outlineLevel="0" collapsed="false">
      <c r="A873" s="12"/>
      <c r="B873" s="12"/>
      <c r="C873" s="17" t="str">
        <f aca="false">IF(B873="","",IFERROR(INDEX(Produits!$F$2:$F$1001,MATCH(B873,Produits!$A$2:$A$1001,0)),"⚠ code article inconnu"))</f>
        <v/>
      </c>
      <c r="D873" s="12"/>
      <c r="E873" s="23"/>
      <c r="F873" s="24"/>
      <c r="G873" s="23"/>
      <c r="H873" s="21" t="str">
        <f aca="true">IF(E873="","",ROUND((E873-TODAY())/30.4,1))</f>
        <v/>
      </c>
      <c r="I873" s="17" t="str">
        <f aca="false">IF(E873="","",IF(H873&lt;0,IF(LEFT(A873,1)="Q","Périmé (en quarantaine)","PÉRIMÉ → déplacer en zone Q"),IF(H873&lt;3,"Péremption &lt; 3 mois",IF(H873&lt;6,"Péremption &lt; 6 mois",""))))</f>
        <v/>
      </c>
      <c r="J873" s="17" t="str">
        <f aca="false">IF(A873="","",IF(COUNTIF(Emplacements!$A$2:$A$1001,A873)=0,"⚠ emplacement inconnu","OK"))</f>
        <v/>
      </c>
      <c r="K873" s="22" t="str">
        <f aca="false">IF(AND(B873&lt;&gt;"",ISNUMBER(SEARCH(Recherche!$C$3,C873&amp;" "&amp;B873&amp;" "&amp;A873&amp;" "&amp;D873))),MAX($K$1:K872)+1,"")</f>
        <v/>
      </c>
    </row>
    <row r="874" customFormat="false" ht="15" hidden="false" customHeight="false" outlineLevel="0" collapsed="false">
      <c r="A874" s="12"/>
      <c r="B874" s="12"/>
      <c r="C874" s="17" t="str">
        <f aca="false">IF(B874="","",IFERROR(INDEX(Produits!$F$2:$F$1001,MATCH(B874,Produits!$A$2:$A$1001,0)),"⚠ code article inconnu"))</f>
        <v/>
      </c>
      <c r="D874" s="12"/>
      <c r="E874" s="23"/>
      <c r="F874" s="24"/>
      <c r="G874" s="23"/>
      <c r="H874" s="21" t="str">
        <f aca="true">IF(E874="","",ROUND((E874-TODAY())/30.4,1))</f>
        <v/>
      </c>
      <c r="I874" s="17" t="str">
        <f aca="false">IF(E874="","",IF(H874&lt;0,IF(LEFT(A874,1)="Q","Périmé (en quarantaine)","PÉRIMÉ → déplacer en zone Q"),IF(H874&lt;3,"Péremption &lt; 3 mois",IF(H874&lt;6,"Péremption &lt; 6 mois",""))))</f>
        <v/>
      </c>
      <c r="J874" s="17" t="str">
        <f aca="false">IF(A874="","",IF(COUNTIF(Emplacements!$A$2:$A$1001,A874)=0,"⚠ emplacement inconnu","OK"))</f>
        <v/>
      </c>
      <c r="K874" s="22" t="str">
        <f aca="false">IF(AND(B874&lt;&gt;"",ISNUMBER(SEARCH(Recherche!$C$3,C874&amp;" "&amp;B874&amp;" "&amp;A874&amp;" "&amp;D874))),MAX($K$1:K873)+1,"")</f>
        <v/>
      </c>
    </row>
    <row r="875" customFormat="false" ht="15" hidden="false" customHeight="false" outlineLevel="0" collapsed="false">
      <c r="A875" s="12"/>
      <c r="B875" s="12"/>
      <c r="C875" s="17" t="str">
        <f aca="false">IF(B875="","",IFERROR(INDEX(Produits!$F$2:$F$1001,MATCH(B875,Produits!$A$2:$A$1001,0)),"⚠ code article inconnu"))</f>
        <v/>
      </c>
      <c r="D875" s="12"/>
      <c r="E875" s="23"/>
      <c r="F875" s="24"/>
      <c r="G875" s="23"/>
      <c r="H875" s="21" t="str">
        <f aca="true">IF(E875="","",ROUND((E875-TODAY())/30.4,1))</f>
        <v/>
      </c>
      <c r="I875" s="17" t="str">
        <f aca="false">IF(E875="","",IF(H875&lt;0,IF(LEFT(A875,1)="Q","Périmé (en quarantaine)","PÉRIMÉ → déplacer en zone Q"),IF(H875&lt;3,"Péremption &lt; 3 mois",IF(H875&lt;6,"Péremption &lt; 6 mois",""))))</f>
        <v/>
      </c>
      <c r="J875" s="17" t="str">
        <f aca="false">IF(A875="","",IF(COUNTIF(Emplacements!$A$2:$A$1001,A875)=0,"⚠ emplacement inconnu","OK"))</f>
        <v/>
      </c>
      <c r="K875" s="22" t="str">
        <f aca="false">IF(AND(B875&lt;&gt;"",ISNUMBER(SEARCH(Recherche!$C$3,C875&amp;" "&amp;B875&amp;" "&amp;A875&amp;" "&amp;D875))),MAX($K$1:K874)+1,"")</f>
        <v/>
      </c>
    </row>
    <row r="876" customFormat="false" ht="15" hidden="false" customHeight="false" outlineLevel="0" collapsed="false">
      <c r="A876" s="12"/>
      <c r="B876" s="12"/>
      <c r="C876" s="17" t="str">
        <f aca="false">IF(B876="","",IFERROR(INDEX(Produits!$F$2:$F$1001,MATCH(B876,Produits!$A$2:$A$1001,0)),"⚠ code article inconnu"))</f>
        <v/>
      </c>
      <c r="D876" s="12"/>
      <c r="E876" s="23"/>
      <c r="F876" s="24"/>
      <c r="G876" s="23"/>
      <c r="H876" s="21" t="str">
        <f aca="true">IF(E876="","",ROUND((E876-TODAY())/30.4,1))</f>
        <v/>
      </c>
      <c r="I876" s="17" t="str">
        <f aca="false">IF(E876="","",IF(H876&lt;0,IF(LEFT(A876,1)="Q","Périmé (en quarantaine)","PÉRIMÉ → déplacer en zone Q"),IF(H876&lt;3,"Péremption &lt; 3 mois",IF(H876&lt;6,"Péremption &lt; 6 mois",""))))</f>
        <v/>
      </c>
      <c r="J876" s="17" t="str">
        <f aca="false">IF(A876="","",IF(COUNTIF(Emplacements!$A$2:$A$1001,A876)=0,"⚠ emplacement inconnu","OK"))</f>
        <v/>
      </c>
      <c r="K876" s="22" t="str">
        <f aca="false">IF(AND(B876&lt;&gt;"",ISNUMBER(SEARCH(Recherche!$C$3,C876&amp;" "&amp;B876&amp;" "&amp;A876&amp;" "&amp;D876))),MAX($K$1:K875)+1,"")</f>
        <v/>
      </c>
    </row>
    <row r="877" customFormat="false" ht="15" hidden="false" customHeight="false" outlineLevel="0" collapsed="false">
      <c r="A877" s="12"/>
      <c r="B877" s="12"/>
      <c r="C877" s="17" t="str">
        <f aca="false">IF(B877="","",IFERROR(INDEX(Produits!$F$2:$F$1001,MATCH(B877,Produits!$A$2:$A$1001,0)),"⚠ code article inconnu"))</f>
        <v/>
      </c>
      <c r="D877" s="12"/>
      <c r="E877" s="23"/>
      <c r="F877" s="24"/>
      <c r="G877" s="23"/>
      <c r="H877" s="21" t="str">
        <f aca="true">IF(E877="","",ROUND((E877-TODAY())/30.4,1))</f>
        <v/>
      </c>
      <c r="I877" s="17" t="str">
        <f aca="false">IF(E877="","",IF(H877&lt;0,IF(LEFT(A877,1)="Q","Périmé (en quarantaine)","PÉRIMÉ → déplacer en zone Q"),IF(H877&lt;3,"Péremption &lt; 3 mois",IF(H877&lt;6,"Péremption &lt; 6 mois",""))))</f>
        <v/>
      </c>
      <c r="J877" s="17" t="str">
        <f aca="false">IF(A877="","",IF(COUNTIF(Emplacements!$A$2:$A$1001,A877)=0,"⚠ emplacement inconnu","OK"))</f>
        <v/>
      </c>
      <c r="K877" s="22" t="str">
        <f aca="false">IF(AND(B877&lt;&gt;"",ISNUMBER(SEARCH(Recherche!$C$3,C877&amp;" "&amp;B877&amp;" "&amp;A877&amp;" "&amp;D877))),MAX($K$1:K876)+1,"")</f>
        <v/>
      </c>
    </row>
    <row r="878" customFormat="false" ht="15" hidden="false" customHeight="false" outlineLevel="0" collapsed="false">
      <c r="A878" s="12"/>
      <c r="B878" s="12"/>
      <c r="C878" s="17" t="str">
        <f aca="false">IF(B878="","",IFERROR(INDEX(Produits!$F$2:$F$1001,MATCH(B878,Produits!$A$2:$A$1001,0)),"⚠ code article inconnu"))</f>
        <v/>
      </c>
      <c r="D878" s="12"/>
      <c r="E878" s="23"/>
      <c r="F878" s="24"/>
      <c r="G878" s="23"/>
      <c r="H878" s="21" t="str">
        <f aca="true">IF(E878="","",ROUND((E878-TODAY())/30.4,1))</f>
        <v/>
      </c>
      <c r="I878" s="17" t="str">
        <f aca="false">IF(E878="","",IF(H878&lt;0,IF(LEFT(A878,1)="Q","Périmé (en quarantaine)","PÉRIMÉ → déplacer en zone Q"),IF(H878&lt;3,"Péremption &lt; 3 mois",IF(H878&lt;6,"Péremption &lt; 6 mois",""))))</f>
        <v/>
      </c>
      <c r="J878" s="17" t="str">
        <f aca="false">IF(A878="","",IF(COUNTIF(Emplacements!$A$2:$A$1001,A878)=0,"⚠ emplacement inconnu","OK"))</f>
        <v/>
      </c>
      <c r="K878" s="22" t="str">
        <f aca="false">IF(AND(B878&lt;&gt;"",ISNUMBER(SEARCH(Recherche!$C$3,C878&amp;" "&amp;B878&amp;" "&amp;A878&amp;" "&amp;D878))),MAX($K$1:K877)+1,"")</f>
        <v/>
      </c>
    </row>
    <row r="879" customFormat="false" ht="15" hidden="false" customHeight="false" outlineLevel="0" collapsed="false">
      <c r="A879" s="12"/>
      <c r="B879" s="12"/>
      <c r="C879" s="17" t="str">
        <f aca="false">IF(B879="","",IFERROR(INDEX(Produits!$F$2:$F$1001,MATCH(B879,Produits!$A$2:$A$1001,0)),"⚠ code article inconnu"))</f>
        <v/>
      </c>
      <c r="D879" s="12"/>
      <c r="E879" s="23"/>
      <c r="F879" s="24"/>
      <c r="G879" s="23"/>
      <c r="H879" s="21" t="str">
        <f aca="true">IF(E879="","",ROUND((E879-TODAY())/30.4,1))</f>
        <v/>
      </c>
      <c r="I879" s="17" t="str">
        <f aca="false">IF(E879="","",IF(H879&lt;0,IF(LEFT(A879,1)="Q","Périmé (en quarantaine)","PÉRIMÉ → déplacer en zone Q"),IF(H879&lt;3,"Péremption &lt; 3 mois",IF(H879&lt;6,"Péremption &lt; 6 mois",""))))</f>
        <v/>
      </c>
      <c r="J879" s="17" t="str">
        <f aca="false">IF(A879="","",IF(COUNTIF(Emplacements!$A$2:$A$1001,A879)=0,"⚠ emplacement inconnu","OK"))</f>
        <v/>
      </c>
      <c r="K879" s="22" t="str">
        <f aca="false">IF(AND(B879&lt;&gt;"",ISNUMBER(SEARCH(Recherche!$C$3,C879&amp;" "&amp;B879&amp;" "&amp;A879&amp;" "&amp;D879))),MAX($K$1:K878)+1,"")</f>
        <v/>
      </c>
    </row>
    <row r="880" customFormat="false" ht="15" hidden="false" customHeight="false" outlineLevel="0" collapsed="false">
      <c r="A880" s="12"/>
      <c r="B880" s="12"/>
      <c r="C880" s="17" t="str">
        <f aca="false">IF(B880="","",IFERROR(INDEX(Produits!$F$2:$F$1001,MATCH(B880,Produits!$A$2:$A$1001,0)),"⚠ code article inconnu"))</f>
        <v/>
      </c>
      <c r="D880" s="12"/>
      <c r="E880" s="23"/>
      <c r="F880" s="24"/>
      <c r="G880" s="23"/>
      <c r="H880" s="21" t="str">
        <f aca="true">IF(E880="","",ROUND((E880-TODAY())/30.4,1))</f>
        <v/>
      </c>
      <c r="I880" s="17" t="str">
        <f aca="false">IF(E880="","",IF(H880&lt;0,IF(LEFT(A880,1)="Q","Périmé (en quarantaine)","PÉRIMÉ → déplacer en zone Q"),IF(H880&lt;3,"Péremption &lt; 3 mois",IF(H880&lt;6,"Péremption &lt; 6 mois",""))))</f>
        <v/>
      </c>
      <c r="J880" s="17" t="str">
        <f aca="false">IF(A880="","",IF(COUNTIF(Emplacements!$A$2:$A$1001,A880)=0,"⚠ emplacement inconnu","OK"))</f>
        <v/>
      </c>
      <c r="K880" s="22" t="str">
        <f aca="false">IF(AND(B880&lt;&gt;"",ISNUMBER(SEARCH(Recherche!$C$3,C880&amp;" "&amp;B880&amp;" "&amp;A880&amp;" "&amp;D880))),MAX($K$1:K879)+1,"")</f>
        <v/>
      </c>
    </row>
    <row r="881" customFormat="false" ht="15" hidden="false" customHeight="false" outlineLevel="0" collapsed="false">
      <c r="A881" s="12"/>
      <c r="B881" s="12"/>
      <c r="C881" s="17" t="str">
        <f aca="false">IF(B881="","",IFERROR(INDEX(Produits!$F$2:$F$1001,MATCH(B881,Produits!$A$2:$A$1001,0)),"⚠ code article inconnu"))</f>
        <v/>
      </c>
      <c r="D881" s="12"/>
      <c r="E881" s="23"/>
      <c r="F881" s="24"/>
      <c r="G881" s="23"/>
      <c r="H881" s="21" t="str">
        <f aca="true">IF(E881="","",ROUND((E881-TODAY())/30.4,1))</f>
        <v/>
      </c>
      <c r="I881" s="17" t="str">
        <f aca="false">IF(E881="","",IF(H881&lt;0,IF(LEFT(A881,1)="Q","Périmé (en quarantaine)","PÉRIMÉ → déplacer en zone Q"),IF(H881&lt;3,"Péremption &lt; 3 mois",IF(H881&lt;6,"Péremption &lt; 6 mois",""))))</f>
        <v/>
      </c>
      <c r="J881" s="17" t="str">
        <f aca="false">IF(A881="","",IF(COUNTIF(Emplacements!$A$2:$A$1001,A881)=0,"⚠ emplacement inconnu","OK"))</f>
        <v/>
      </c>
      <c r="K881" s="22" t="str">
        <f aca="false">IF(AND(B881&lt;&gt;"",ISNUMBER(SEARCH(Recherche!$C$3,C881&amp;" "&amp;B881&amp;" "&amp;A881&amp;" "&amp;D881))),MAX($K$1:K880)+1,"")</f>
        <v/>
      </c>
    </row>
    <row r="882" customFormat="false" ht="15" hidden="false" customHeight="false" outlineLevel="0" collapsed="false">
      <c r="A882" s="12"/>
      <c r="B882" s="12"/>
      <c r="C882" s="17" t="str">
        <f aca="false">IF(B882="","",IFERROR(INDEX(Produits!$F$2:$F$1001,MATCH(B882,Produits!$A$2:$A$1001,0)),"⚠ code article inconnu"))</f>
        <v/>
      </c>
      <c r="D882" s="12"/>
      <c r="E882" s="23"/>
      <c r="F882" s="24"/>
      <c r="G882" s="23"/>
      <c r="H882" s="21" t="str">
        <f aca="true">IF(E882="","",ROUND((E882-TODAY())/30.4,1))</f>
        <v/>
      </c>
      <c r="I882" s="17" t="str">
        <f aca="false">IF(E882="","",IF(H882&lt;0,IF(LEFT(A882,1)="Q","Périmé (en quarantaine)","PÉRIMÉ → déplacer en zone Q"),IF(H882&lt;3,"Péremption &lt; 3 mois",IF(H882&lt;6,"Péremption &lt; 6 mois",""))))</f>
        <v/>
      </c>
      <c r="J882" s="17" t="str">
        <f aca="false">IF(A882="","",IF(COUNTIF(Emplacements!$A$2:$A$1001,A882)=0,"⚠ emplacement inconnu","OK"))</f>
        <v/>
      </c>
      <c r="K882" s="22" t="str">
        <f aca="false">IF(AND(B882&lt;&gt;"",ISNUMBER(SEARCH(Recherche!$C$3,C882&amp;" "&amp;B882&amp;" "&amp;A882&amp;" "&amp;D882))),MAX($K$1:K881)+1,"")</f>
        <v/>
      </c>
    </row>
    <row r="883" customFormat="false" ht="15" hidden="false" customHeight="false" outlineLevel="0" collapsed="false">
      <c r="A883" s="12"/>
      <c r="B883" s="12"/>
      <c r="C883" s="17" t="str">
        <f aca="false">IF(B883="","",IFERROR(INDEX(Produits!$F$2:$F$1001,MATCH(B883,Produits!$A$2:$A$1001,0)),"⚠ code article inconnu"))</f>
        <v/>
      </c>
      <c r="D883" s="12"/>
      <c r="E883" s="23"/>
      <c r="F883" s="24"/>
      <c r="G883" s="23"/>
      <c r="H883" s="21" t="str">
        <f aca="true">IF(E883="","",ROUND((E883-TODAY())/30.4,1))</f>
        <v/>
      </c>
      <c r="I883" s="17" t="str">
        <f aca="false">IF(E883="","",IF(H883&lt;0,IF(LEFT(A883,1)="Q","Périmé (en quarantaine)","PÉRIMÉ → déplacer en zone Q"),IF(H883&lt;3,"Péremption &lt; 3 mois",IF(H883&lt;6,"Péremption &lt; 6 mois",""))))</f>
        <v/>
      </c>
      <c r="J883" s="17" t="str">
        <f aca="false">IF(A883="","",IF(COUNTIF(Emplacements!$A$2:$A$1001,A883)=0,"⚠ emplacement inconnu","OK"))</f>
        <v/>
      </c>
      <c r="K883" s="22" t="str">
        <f aca="false">IF(AND(B883&lt;&gt;"",ISNUMBER(SEARCH(Recherche!$C$3,C883&amp;" "&amp;B883&amp;" "&amp;A883&amp;" "&amp;D883))),MAX($K$1:K882)+1,"")</f>
        <v/>
      </c>
    </row>
    <row r="884" customFormat="false" ht="15" hidden="false" customHeight="false" outlineLevel="0" collapsed="false">
      <c r="A884" s="12"/>
      <c r="B884" s="12"/>
      <c r="C884" s="17" t="str">
        <f aca="false">IF(B884="","",IFERROR(INDEX(Produits!$F$2:$F$1001,MATCH(B884,Produits!$A$2:$A$1001,0)),"⚠ code article inconnu"))</f>
        <v/>
      </c>
      <c r="D884" s="12"/>
      <c r="E884" s="23"/>
      <c r="F884" s="24"/>
      <c r="G884" s="23"/>
      <c r="H884" s="21" t="str">
        <f aca="true">IF(E884="","",ROUND((E884-TODAY())/30.4,1))</f>
        <v/>
      </c>
      <c r="I884" s="17" t="str">
        <f aca="false">IF(E884="","",IF(H884&lt;0,IF(LEFT(A884,1)="Q","Périmé (en quarantaine)","PÉRIMÉ → déplacer en zone Q"),IF(H884&lt;3,"Péremption &lt; 3 mois",IF(H884&lt;6,"Péremption &lt; 6 mois",""))))</f>
        <v/>
      </c>
      <c r="J884" s="17" t="str">
        <f aca="false">IF(A884="","",IF(COUNTIF(Emplacements!$A$2:$A$1001,A884)=0,"⚠ emplacement inconnu","OK"))</f>
        <v/>
      </c>
      <c r="K884" s="22" t="str">
        <f aca="false">IF(AND(B884&lt;&gt;"",ISNUMBER(SEARCH(Recherche!$C$3,C884&amp;" "&amp;B884&amp;" "&amp;A884&amp;" "&amp;D884))),MAX($K$1:K883)+1,"")</f>
        <v/>
      </c>
    </row>
    <row r="885" customFormat="false" ht="15" hidden="false" customHeight="false" outlineLevel="0" collapsed="false">
      <c r="A885" s="12"/>
      <c r="B885" s="12"/>
      <c r="C885" s="17" t="str">
        <f aca="false">IF(B885="","",IFERROR(INDEX(Produits!$F$2:$F$1001,MATCH(B885,Produits!$A$2:$A$1001,0)),"⚠ code article inconnu"))</f>
        <v/>
      </c>
      <c r="D885" s="12"/>
      <c r="E885" s="23"/>
      <c r="F885" s="24"/>
      <c r="G885" s="23"/>
      <c r="H885" s="21" t="str">
        <f aca="true">IF(E885="","",ROUND((E885-TODAY())/30.4,1))</f>
        <v/>
      </c>
      <c r="I885" s="17" t="str">
        <f aca="false">IF(E885="","",IF(H885&lt;0,IF(LEFT(A885,1)="Q","Périmé (en quarantaine)","PÉRIMÉ → déplacer en zone Q"),IF(H885&lt;3,"Péremption &lt; 3 mois",IF(H885&lt;6,"Péremption &lt; 6 mois",""))))</f>
        <v/>
      </c>
      <c r="J885" s="17" t="str">
        <f aca="false">IF(A885="","",IF(COUNTIF(Emplacements!$A$2:$A$1001,A885)=0,"⚠ emplacement inconnu","OK"))</f>
        <v/>
      </c>
      <c r="K885" s="22" t="str">
        <f aca="false">IF(AND(B885&lt;&gt;"",ISNUMBER(SEARCH(Recherche!$C$3,C885&amp;" "&amp;B885&amp;" "&amp;A885&amp;" "&amp;D885))),MAX($K$1:K884)+1,"")</f>
        <v/>
      </c>
    </row>
    <row r="886" customFormat="false" ht="15" hidden="false" customHeight="false" outlineLevel="0" collapsed="false">
      <c r="A886" s="12"/>
      <c r="B886" s="12"/>
      <c r="C886" s="17" t="str">
        <f aca="false">IF(B886="","",IFERROR(INDEX(Produits!$F$2:$F$1001,MATCH(B886,Produits!$A$2:$A$1001,0)),"⚠ code article inconnu"))</f>
        <v/>
      </c>
      <c r="D886" s="12"/>
      <c r="E886" s="23"/>
      <c r="F886" s="24"/>
      <c r="G886" s="23"/>
      <c r="H886" s="21" t="str">
        <f aca="true">IF(E886="","",ROUND((E886-TODAY())/30.4,1))</f>
        <v/>
      </c>
      <c r="I886" s="17" t="str">
        <f aca="false">IF(E886="","",IF(H886&lt;0,IF(LEFT(A886,1)="Q","Périmé (en quarantaine)","PÉRIMÉ → déplacer en zone Q"),IF(H886&lt;3,"Péremption &lt; 3 mois",IF(H886&lt;6,"Péremption &lt; 6 mois",""))))</f>
        <v/>
      </c>
      <c r="J886" s="17" t="str">
        <f aca="false">IF(A886="","",IF(COUNTIF(Emplacements!$A$2:$A$1001,A886)=0,"⚠ emplacement inconnu","OK"))</f>
        <v/>
      </c>
      <c r="K886" s="22" t="str">
        <f aca="false">IF(AND(B886&lt;&gt;"",ISNUMBER(SEARCH(Recherche!$C$3,C886&amp;" "&amp;B886&amp;" "&amp;A886&amp;" "&amp;D886))),MAX($K$1:K885)+1,"")</f>
        <v/>
      </c>
    </row>
    <row r="887" customFormat="false" ht="15" hidden="false" customHeight="false" outlineLevel="0" collapsed="false">
      <c r="A887" s="12"/>
      <c r="B887" s="12"/>
      <c r="C887" s="17" t="str">
        <f aca="false">IF(B887="","",IFERROR(INDEX(Produits!$F$2:$F$1001,MATCH(B887,Produits!$A$2:$A$1001,0)),"⚠ code article inconnu"))</f>
        <v/>
      </c>
      <c r="D887" s="12"/>
      <c r="E887" s="23"/>
      <c r="F887" s="24"/>
      <c r="G887" s="23"/>
      <c r="H887" s="21" t="str">
        <f aca="true">IF(E887="","",ROUND((E887-TODAY())/30.4,1))</f>
        <v/>
      </c>
      <c r="I887" s="17" t="str">
        <f aca="false">IF(E887="","",IF(H887&lt;0,IF(LEFT(A887,1)="Q","Périmé (en quarantaine)","PÉRIMÉ → déplacer en zone Q"),IF(H887&lt;3,"Péremption &lt; 3 mois",IF(H887&lt;6,"Péremption &lt; 6 mois",""))))</f>
        <v/>
      </c>
      <c r="J887" s="17" t="str">
        <f aca="false">IF(A887="","",IF(COUNTIF(Emplacements!$A$2:$A$1001,A887)=0,"⚠ emplacement inconnu","OK"))</f>
        <v/>
      </c>
      <c r="K887" s="22" t="str">
        <f aca="false">IF(AND(B887&lt;&gt;"",ISNUMBER(SEARCH(Recherche!$C$3,C887&amp;" "&amp;B887&amp;" "&amp;A887&amp;" "&amp;D887))),MAX($K$1:K886)+1,"")</f>
        <v/>
      </c>
    </row>
    <row r="888" customFormat="false" ht="15" hidden="false" customHeight="false" outlineLevel="0" collapsed="false">
      <c r="A888" s="12"/>
      <c r="B888" s="12"/>
      <c r="C888" s="17" t="str">
        <f aca="false">IF(B888="","",IFERROR(INDEX(Produits!$F$2:$F$1001,MATCH(B888,Produits!$A$2:$A$1001,0)),"⚠ code article inconnu"))</f>
        <v/>
      </c>
      <c r="D888" s="12"/>
      <c r="E888" s="23"/>
      <c r="F888" s="24"/>
      <c r="G888" s="23"/>
      <c r="H888" s="21" t="str">
        <f aca="true">IF(E888="","",ROUND((E888-TODAY())/30.4,1))</f>
        <v/>
      </c>
      <c r="I888" s="17" t="str">
        <f aca="false">IF(E888="","",IF(H888&lt;0,IF(LEFT(A888,1)="Q","Périmé (en quarantaine)","PÉRIMÉ → déplacer en zone Q"),IF(H888&lt;3,"Péremption &lt; 3 mois",IF(H888&lt;6,"Péremption &lt; 6 mois",""))))</f>
        <v/>
      </c>
      <c r="J888" s="17" t="str">
        <f aca="false">IF(A888="","",IF(COUNTIF(Emplacements!$A$2:$A$1001,A888)=0,"⚠ emplacement inconnu","OK"))</f>
        <v/>
      </c>
      <c r="K888" s="22" t="str">
        <f aca="false">IF(AND(B888&lt;&gt;"",ISNUMBER(SEARCH(Recherche!$C$3,C888&amp;" "&amp;B888&amp;" "&amp;A888&amp;" "&amp;D888))),MAX($K$1:K887)+1,"")</f>
        <v/>
      </c>
    </row>
    <row r="889" customFormat="false" ht="15" hidden="false" customHeight="false" outlineLevel="0" collapsed="false">
      <c r="A889" s="12"/>
      <c r="B889" s="12"/>
      <c r="C889" s="17" t="str">
        <f aca="false">IF(B889="","",IFERROR(INDEX(Produits!$F$2:$F$1001,MATCH(B889,Produits!$A$2:$A$1001,0)),"⚠ code article inconnu"))</f>
        <v/>
      </c>
      <c r="D889" s="12"/>
      <c r="E889" s="23"/>
      <c r="F889" s="24"/>
      <c r="G889" s="23"/>
      <c r="H889" s="21" t="str">
        <f aca="true">IF(E889="","",ROUND((E889-TODAY())/30.4,1))</f>
        <v/>
      </c>
      <c r="I889" s="17" t="str">
        <f aca="false">IF(E889="","",IF(H889&lt;0,IF(LEFT(A889,1)="Q","Périmé (en quarantaine)","PÉRIMÉ → déplacer en zone Q"),IF(H889&lt;3,"Péremption &lt; 3 mois",IF(H889&lt;6,"Péremption &lt; 6 mois",""))))</f>
        <v/>
      </c>
      <c r="J889" s="17" t="str">
        <f aca="false">IF(A889="","",IF(COUNTIF(Emplacements!$A$2:$A$1001,A889)=0,"⚠ emplacement inconnu","OK"))</f>
        <v/>
      </c>
      <c r="K889" s="22" t="str">
        <f aca="false">IF(AND(B889&lt;&gt;"",ISNUMBER(SEARCH(Recherche!$C$3,C889&amp;" "&amp;B889&amp;" "&amp;A889&amp;" "&amp;D889))),MAX($K$1:K888)+1,"")</f>
        <v/>
      </c>
    </row>
    <row r="890" customFormat="false" ht="15" hidden="false" customHeight="false" outlineLevel="0" collapsed="false">
      <c r="A890" s="12"/>
      <c r="B890" s="12"/>
      <c r="C890" s="17" t="str">
        <f aca="false">IF(B890="","",IFERROR(INDEX(Produits!$F$2:$F$1001,MATCH(B890,Produits!$A$2:$A$1001,0)),"⚠ code article inconnu"))</f>
        <v/>
      </c>
      <c r="D890" s="12"/>
      <c r="E890" s="23"/>
      <c r="F890" s="24"/>
      <c r="G890" s="23"/>
      <c r="H890" s="21" t="str">
        <f aca="true">IF(E890="","",ROUND((E890-TODAY())/30.4,1))</f>
        <v/>
      </c>
      <c r="I890" s="17" t="str">
        <f aca="false">IF(E890="","",IF(H890&lt;0,IF(LEFT(A890,1)="Q","Périmé (en quarantaine)","PÉRIMÉ → déplacer en zone Q"),IF(H890&lt;3,"Péremption &lt; 3 mois",IF(H890&lt;6,"Péremption &lt; 6 mois",""))))</f>
        <v/>
      </c>
      <c r="J890" s="17" t="str">
        <f aca="false">IF(A890="","",IF(COUNTIF(Emplacements!$A$2:$A$1001,A890)=0,"⚠ emplacement inconnu","OK"))</f>
        <v/>
      </c>
      <c r="K890" s="22" t="str">
        <f aca="false">IF(AND(B890&lt;&gt;"",ISNUMBER(SEARCH(Recherche!$C$3,C890&amp;" "&amp;B890&amp;" "&amp;A890&amp;" "&amp;D890))),MAX($K$1:K889)+1,"")</f>
        <v/>
      </c>
    </row>
    <row r="891" customFormat="false" ht="15" hidden="false" customHeight="false" outlineLevel="0" collapsed="false">
      <c r="A891" s="12"/>
      <c r="B891" s="12"/>
      <c r="C891" s="17" t="str">
        <f aca="false">IF(B891="","",IFERROR(INDEX(Produits!$F$2:$F$1001,MATCH(B891,Produits!$A$2:$A$1001,0)),"⚠ code article inconnu"))</f>
        <v/>
      </c>
      <c r="D891" s="12"/>
      <c r="E891" s="23"/>
      <c r="F891" s="24"/>
      <c r="G891" s="23"/>
      <c r="H891" s="21" t="str">
        <f aca="true">IF(E891="","",ROUND((E891-TODAY())/30.4,1))</f>
        <v/>
      </c>
      <c r="I891" s="17" t="str">
        <f aca="false">IF(E891="","",IF(H891&lt;0,IF(LEFT(A891,1)="Q","Périmé (en quarantaine)","PÉRIMÉ → déplacer en zone Q"),IF(H891&lt;3,"Péremption &lt; 3 mois",IF(H891&lt;6,"Péremption &lt; 6 mois",""))))</f>
        <v/>
      </c>
      <c r="J891" s="17" t="str">
        <f aca="false">IF(A891="","",IF(COUNTIF(Emplacements!$A$2:$A$1001,A891)=0,"⚠ emplacement inconnu","OK"))</f>
        <v/>
      </c>
      <c r="K891" s="22" t="str">
        <f aca="false">IF(AND(B891&lt;&gt;"",ISNUMBER(SEARCH(Recherche!$C$3,C891&amp;" "&amp;B891&amp;" "&amp;A891&amp;" "&amp;D891))),MAX($K$1:K890)+1,"")</f>
        <v/>
      </c>
    </row>
    <row r="892" customFormat="false" ht="15" hidden="false" customHeight="false" outlineLevel="0" collapsed="false">
      <c r="A892" s="12"/>
      <c r="B892" s="12"/>
      <c r="C892" s="17" t="str">
        <f aca="false">IF(B892="","",IFERROR(INDEX(Produits!$F$2:$F$1001,MATCH(B892,Produits!$A$2:$A$1001,0)),"⚠ code article inconnu"))</f>
        <v/>
      </c>
      <c r="D892" s="12"/>
      <c r="E892" s="23"/>
      <c r="F892" s="24"/>
      <c r="G892" s="23"/>
      <c r="H892" s="21" t="str">
        <f aca="true">IF(E892="","",ROUND((E892-TODAY())/30.4,1))</f>
        <v/>
      </c>
      <c r="I892" s="17" t="str">
        <f aca="false">IF(E892="","",IF(H892&lt;0,IF(LEFT(A892,1)="Q","Périmé (en quarantaine)","PÉRIMÉ → déplacer en zone Q"),IF(H892&lt;3,"Péremption &lt; 3 mois",IF(H892&lt;6,"Péremption &lt; 6 mois",""))))</f>
        <v/>
      </c>
      <c r="J892" s="17" t="str">
        <f aca="false">IF(A892="","",IF(COUNTIF(Emplacements!$A$2:$A$1001,A892)=0,"⚠ emplacement inconnu","OK"))</f>
        <v/>
      </c>
      <c r="K892" s="22" t="str">
        <f aca="false">IF(AND(B892&lt;&gt;"",ISNUMBER(SEARCH(Recherche!$C$3,C892&amp;" "&amp;B892&amp;" "&amp;A892&amp;" "&amp;D892))),MAX($K$1:K891)+1,"")</f>
        <v/>
      </c>
    </row>
    <row r="893" customFormat="false" ht="15" hidden="false" customHeight="false" outlineLevel="0" collapsed="false">
      <c r="A893" s="12"/>
      <c r="B893" s="12"/>
      <c r="C893" s="17" t="str">
        <f aca="false">IF(B893="","",IFERROR(INDEX(Produits!$F$2:$F$1001,MATCH(B893,Produits!$A$2:$A$1001,0)),"⚠ code article inconnu"))</f>
        <v/>
      </c>
      <c r="D893" s="12"/>
      <c r="E893" s="23"/>
      <c r="F893" s="24"/>
      <c r="G893" s="23"/>
      <c r="H893" s="21" t="str">
        <f aca="true">IF(E893="","",ROUND((E893-TODAY())/30.4,1))</f>
        <v/>
      </c>
      <c r="I893" s="17" t="str">
        <f aca="false">IF(E893="","",IF(H893&lt;0,IF(LEFT(A893,1)="Q","Périmé (en quarantaine)","PÉRIMÉ → déplacer en zone Q"),IF(H893&lt;3,"Péremption &lt; 3 mois",IF(H893&lt;6,"Péremption &lt; 6 mois",""))))</f>
        <v/>
      </c>
      <c r="J893" s="17" t="str">
        <f aca="false">IF(A893="","",IF(COUNTIF(Emplacements!$A$2:$A$1001,A893)=0,"⚠ emplacement inconnu","OK"))</f>
        <v/>
      </c>
      <c r="K893" s="22" t="str">
        <f aca="false">IF(AND(B893&lt;&gt;"",ISNUMBER(SEARCH(Recherche!$C$3,C893&amp;" "&amp;B893&amp;" "&amp;A893&amp;" "&amp;D893))),MAX($K$1:K892)+1,"")</f>
        <v/>
      </c>
    </row>
    <row r="894" customFormat="false" ht="15" hidden="false" customHeight="false" outlineLevel="0" collapsed="false">
      <c r="A894" s="12"/>
      <c r="B894" s="12"/>
      <c r="C894" s="17" t="str">
        <f aca="false">IF(B894="","",IFERROR(INDEX(Produits!$F$2:$F$1001,MATCH(B894,Produits!$A$2:$A$1001,0)),"⚠ code article inconnu"))</f>
        <v/>
      </c>
      <c r="D894" s="12"/>
      <c r="E894" s="23"/>
      <c r="F894" s="24"/>
      <c r="G894" s="23"/>
      <c r="H894" s="21" t="str">
        <f aca="true">IF(E894="","",ROUND((E894-TODAY())/30.4,1))</f>
        <v/>
      </c>
      <c r="I894" s="17" t="str">
        <f aca="false">IF(E894="","",IF(H894&lt;0,IF(LEFT(A894,1)="Q","Périmé (en quarantaine)","PÉRIMÉ → déplacer en zone Q"),IF(H894&lt;3,"Péremption &lt; 3 mois",IF(H894&lt;6,"Péremption &lt; 6 mois",""))))</f>
        <v/>
      </c>
      <c r="J894" s="17" t="str">
        <f aca="false">IF(A894="","",IF(COUNTIF(Emplacements!$A$2:$A$1001,A894)=0,"⚠ emplacement inconnu","OK"))</f>
        <v/>
      </c>
      <c r="K894" s="22" t="str">
        <f aca="false">IF(AND(B894&lt;&gt;"",ISNUMBER(SEARCH(Recherche!$C$3,C894&amp;" "&amp;B894&amp;" "&amp;A894&amp;" "&amp;D894))),MAX($K$1:K893)+1,"")</f>
        <v/>
      </c>
    </row>
    <row r="895" customFormat="false" ht="15" hidden="false" customHeight="false" outlineLevel="0" collapsed="false">
      <c r="A895" s="12"/>
      <c r="B895" s="12"/>
      <c r="C895" s="17" t="str">
        <f aca="false">IF(B895="","",IFERROR(INDEX(Produits!$F$2:$F$1001,MATCH(B895,Produits!$A$2:$A$1001,0)),"⚠ code article inconnu"))</f>
        <v/>
      </c>
      <c r="D895" s="12"/>
      <c r="E895" s="23"/>
      <c r="F895" s="24"/>
      <c r="G895" s="23"/>
      <c r="H895" s="21" t="str">
        <f aca="true">IF(E895="","",ROUND((E895-TODAY())/30.4,1))</f>
        <v/>
      </c>
      <c r="I895" s="17" t="str">
        <f aca="false">IF(E895="","",IF(H895&lt;0,IF(LEFT(A895,1)="Q","Périmé (en quarantaine)","PÉRIMÉ → déplacer en zone Q"),IF(H895&lt;3,"Péremption &lt; 3 mois",IF(H895&lt;6,"Péremption &lt; 6 mois",""))))</f>
        <v/>
      </c>
      <c r="J895" s="17" t="str">
        <f aca="false">IF(A895="","",IF(COUNTIF(Emplacements!$A$2:$A$1001,A895)=0,"⚠ emplacement inconnu","OK"))</f>
        <v/>
      </c>
      <c r="K895" s="22" t="str">
        <f aca="false">IF(AND(B895&lt;&gt;"",ISNUMBER(SEARCH(Recherche!$C$3,C895&amp;" "&amp;B895&amp;" "&amp;A895&amp;" "&amp;D895))),MAX($K$1:K894)+1,"")</f>
        <v/>
      </c>
    </row>
    <row r="896" customFormat="false" ht="15" hidden="false" customHeight="false" outlineLevel="0" collapsed="false">
      <c r="A896" s="12"/>
      <c r="B896" s="12"/>
      <c r="C896" s="17" t="str">
        <f aca="false">IF(B896="","",IFERROR(INDEX(Produits!$F$2:$F$1001,MATCH(B896,Produits!$A$2:$A$1001,0)),"⚠ code article inconnu"))</f>
        <v/>
      </c>
      <c r="D896" s="12"/>
      <c r="E896" s="23"/>
      <c r="F896" s="24"/>
      <c r="G896" s="23"/>
      <c r="H896" s="21" t="str">
        <f aca="true">IF(E896="","",ROUND((E896-TODAY())/30.4,1))</f>
        <v/>
      </c>
      <c r="I896" s="17" t="str">
        <f aca="false">IF(E896="","",IF(H896&lt;0,IF(LEFT(A896,1)="Q","Périmé (en quarantaine)","PÉRIMÉ → déplacer en zone Q"),IF(H896&lt;3,"Péremption &lt; 3 mois",IF(H896&lt;6,"Péremption &lt; 6 mois",""))))</f>
        <v/>
      </c>
      <c r="J896" s="17" t="str">
        <f aca="false">IF(A896="","",IF(COUNTIF(Emplacements!$A$2:$A$1001,A896)=0,"⚠ emplacement inconnu","OK"))</f>
        <v/>
      </c>
      <c r="K896" s="22" t="str">
        <f aca="false">IF(AND(B896&lt;&gt;"",ISNUMBER(SEARCH(Recherche!$C$3,C896&amp;" "&amp;B896&amp;" "&amp;A896&amp;" "&amp;D896))),MAX($K$1:K895)+1,"")</f>
        <v/>
      </c>
    </row>
    <row r="897" customFormat="false" ht="15" hidden="false" customHeight="false" outlineLevel="0" collapsed="false">
      <c r="A897" s="12"/>
      <c r="B897" s="12"/>
      <c r="C897" s="17" t="str">
        <f aca="false">IF(B897="","",IFERROR(INDEX(Produits!$F$2:$F$1001,MATCH(B897,Produits!$A$2:$A$1001,0)),"⚠ code article inconnu"))</f>
        <v/>
      </c>
      <c r="D897" s="12"/>
      <c r="E897" s="23"/>
      <c r="F897" s="24"/>
      <c r="G897" s="23"/>
      <c r="H897" s="21" t="str">
        <f aca="true">IF(E897="","",ROUND((E897-TODAY())/30.4,1))</f>
        <v/>
      </c>
      <c r="I897" s="17" t="str">
        <f aca="false">IF(E897="","",IF(H897&lt;0,IF(LEFT(A897,1)="Q","Périmé (en quarantaine)","PÉRIMÉ → déplacer en zone Q"),IF(H897&lt;3,"Péremption &lt; 3 mois",IF(H897&lt;6,"Péremption &lt; 6 mois",""))))</f>
        <v/>
      </c>
      <c r="J897" s="17" t="str">
        <f aca="false">IF(A897="","",IF(COUNTIF(Emplacements!$A$2:$A$1001,A897)=0,"⚠ emplacement inconnu","OK"))</f>
        <v/>
      </c>
      <c r="K897" s="22" t="str">
        <f aca="false">IF(AND(B897&lt;&gt;"",ISNUMBER(SEARCH(Recherche!$C$3,C897&amp;" "&amp;B897&amp;" "&amp;A897&amp;" "&amp;D897))),MAX($K$1:K896)+1,"")</f>
        <v/>
      </c>
    </row>
    <row r="898" customFormat="false" ht="15" hidden="false" customHeight="false" outlineLevel="0" collapsed="false">
      <c r="A898" s="12"/>
      <c r="B898" s="12"/>
      <c r="C898" s="17" t="str">
        <f aca="false">IF(B898="","",IFERROR(INDEX(Produits!$F$2:$F$1001,MATCH(B898,Produits!$A$2:$A$1001,0)),"⚠ code article inconnu"))</f>
        <v/>
      </c>
      <c r="D898" s="12"/>
      <c r="E898" s="23"/>
      <c r="F898" s="24"/>
      <c r="G898" s="23"/>
      <c r="H898" s="21" t="str">
        <f aca="true">IF(E898="","",ROUND((E898-TODAY())/30.4,1))</f>
        <v/>
      </c>
      <c r="I898" s="17" t="str">
        <f aca="false">IF(E898="","",IF(H898&lt;0,IF(LEFT(A898,1)="Q","Périmé (en quarantaine)","PÉRIMÉ → déplacer en zone Q"),IF(H898&lt;3,"Péremption &lt; 3 mois",IF(H898&lt;6,"Péremption &lt; 6 mois",""))))</f>
        <v/>
      </c>
      <c r="J898" s="17" t="str">
        <f aca="false">IF(A898="","",IF(COUNTIF(Emplacements!$A$2:$A$1001,A898)=0,"⚠ emplacement inconnu","OK"))</f>
        <v/>
      </c>
      <c r="K898" s="22" t="str">
        <f aca="false">IF(AND(B898&lt;&gt;"",ISNUMBER(SEARCH(Recherche!$C$3,C898&amp;" "&amp;B898&amp;" "&amp;A898&amp;" "&amp;D898))),MAX($K$1:K897)+1,"")</f>
        <v/>
      </c>
    </row>
    <row r="899" customFormat="false" ht="15" hidden="false" customHeight="false" outlineLevel="0" collapsed="false">
      <c r="A899" s="12"/>
      <c r="B899" s="12"/>
      <c r="C899" s="17" t="str">
        <f aca="false">IF(B899="","",IFERROR(INDEX(Produits!$F$2:$F$1001,MATCH(B899,Produits!$A$2:$A$1001,0)),"⚠ code article inconnu"))</f>
        <v/>
      </c>
      <c r="D899" s="12"/>
      <c r="E899" s="23"/>
      <c r="F899" s="24"/>
      <c r="G899" s="23"/>
      <c r="H899" s="21" t="str">
        <f aca="true">IF(E899="","",ROUND((E899-TODAY())/30.4,1))</f>
        <v/>
      </c>
      <c r="I899" s="17" t="str">
        <f aca="false">IF(E899="","",IF(H899&lt;0,IF(LEFT(A899,1)="Q","Périmé (en quarantaine)","PÉRIMÉ → déplacer en zone Q"),IF(H899&lt;3,"Péremption &lt; 3 mois",IF(H899&lt;6,"Péremption &lt; 6 mois",""))))</f>
        <v/>
      </c>
      <c r="J899" s="17" t="str">
        <f aca="false">IF(A899="","",IF(COUNTIF(Emplacements!$A$2:$A$1001,A899)=0,"⚠ emplacement inconnu","OK"))</f>
        <v/>
      </c>
      <c r="K899" s="22" t="str">
        <f aca="false">IF(AND(B899&lt;&gt;"",ISNUMBER(SEARCH(Recherche!$C$3,C899&amp;" "&amp;B899&amp;" "&amp;A899&amp;" "&amp;D899))),MAX($K$1:K898)+1,"")</f>
        <v/>
      </c>
    </row>
    <row r="900" customFormat="false" ht="15" hidden="false" customHeight="false" outlineLevel="0" collapsed="false">
      <c r="A900" s="12"/>
      <c r="B900" s="12"/>
      <c r="C900" s="17" t="str">
        <f aca="false">IF(B900="","",IFERROR(INDEX(Produits!$F$2:$F$1001,MATCH(B900,Produits!$A$2:$A$1001,0)),"⚠ code article inconnu"))</f>
        <v/>
      </c>
      <c r="D900" s="12"/>
      <c r="E900" s="23"/>
      <c r="F900" s="24"/>
      <c r="G900" s="23"/>
      <c r="H900" s="21" t="str">
        <f aca="true">IF(E900="","",ROUND((E900-TODAY())/30.4,1))</f>
        <v/>
      </c>
      <c r="I900" s="17" t="str">
        <f aca="false">IF(E900="","",IF(H900&lt;0,IF(LEFT(A900,1)="Q","Périmé (en quarantaine)","PÉRIMÉ → déplacer en zone Q"),IF(H900&lt;3,"Péremption &lt; 3 mois",IF(H900&lt;6,"Péremption &lt; 6 mois",""))))</f>
        <v/>
      </c>
      <c r="J900" s="17" t="str">
        <f aca="false">IF(A900="","",IF(COUNTIF(Emplacements!$A$2:$A$1001,A900)=0,"⚠ emplacement inconnu","OK"))</f>
        <v/>
      </c>
      <c r="K900" s="22" t="str">
        <f aca="false">IF(AND(B900&lt;&gt;"",ISNUMBER(SEARCH(Recherche!$C$3,C900&amp;" "&amp;B900&amp;" "&amp;A900&amp;" "&amp;D900))),MAX($K$1:K899)+1,"")</f>
        <v/>
      </c>
    </row>
    <row r="901" customFormat="false" ht="15" hidden="false" customHeight="false" outlineLevel="0" collapsed="false">
      <c r="A901" s="12"/>
      <c r="B901" s="12"/>
      <c r="C901" s="17" t="str">
        <f aca="false">IF(B901="","",IFERROR(INDEX(Produits!$F$2:$F$1001,MATCH(B901,Produits!$A$2:$A$1001,0)),"⚠ code article inconnu"))</f>
        <v/>
      </c>
      <c r="D901" s="12"/>
      <c r="E901" s="23"/>
      <c r="F901" s="24"/>
      <c r="G901" s="23"/>
      <c r="H901" s="21" t="str">
        <f aca="true">IF(E901="","",ROUND((E901-TODAY())/30.4,1))</f>
        <v/>
      </c>
      <c r="I901" s="17" t="str">
        <f aca="false">IF(E901="","",IF(H901&lt;0,IF(LEFT(A901,1)="Q","Périmé (en quarantaine)","PÉRIMÉ → déplacer en zone Q"),IF(H901&lt;3,"Péremption &lt; 3 mois",IF(H901&lt;6,"Péremption &lt; 6 mois",""))))</f>
        <v/>
      </c>
      <c r="J901" s="17" t="str">
        <f aca="false">IF(A901="","",IF(COUNTIF(Emplacements!$A$2:$A$1001,A901)=0,"⚠ emplacement inconnu","OK"))</f>
        <v/>
      </c>
      <c r="K901" s="22" t="str">
        <f aca="false">IF(AND(B901&lt;&gt;"",ISNUMBER(SEARCH(Recherche!$C$3,C901&amp;" "&amp;B901&amp;" "&amp;A901&amp;" "&amp;D901))),MAX($K$1:K900)+1,"")</f>
        <v/>
      </c>
    </row>
    <row r="902" customFormat="false" ht="15" hidden="false" customHeight="false" outlineLevel="0" collapsed="false">
      <c r="A902" s="12"/>
      <c r="B902" s="12"/>
      <c r="C902" s="17" t="str">
        <f aca="false">IF(B902="","",IFERROR(INDEX(Produits!$F$2:$F$1001,MATCH(B902,Produits!$A$2:$A$1001,0)),"⚠ code article inconnu"))</f>
        <v/>
      </c>
      <c r="D902" s="12"/>
      <c r="E902" s="23"/>
      <c r="F902" s="24"/>
      <c r="G902" s="23"/>
      <c r="H902" s="21" t="str">
        <f aca="true">IF(E902="","",ROUND((E902-TODAY())/30.4,1))</f>
        <v/>
      </c>
      <c r="I902" s="17" t="str">
        <f aca="false">IF(E902="","",IF(H902&lt;0,IF(LEFT(A902,1)="Q","Périmé (en quarantaine)","PÉRIMÉ → déplacer en zone Q"),IF(H902&lt;3,"Péremption &lt; 3 mois",IF(H902&lt;6,"Péremption &lt; 6 mois",""))))</f>
        <v/>
      </c>
      <c r="J902" s="17" t="str">
        <f aca="false">IF(A902="","",IF(COUNTIF(Emplacements!$A$2:$A$1001,A902)=0,"⚠ emplacement inconnu","OK"))</f>
        <v/>
      </c>
      <c r="K902" s="22" t="str">
        <f aca="false">IF(AND(B902&lt;&gt;"",ISNUMBER(SEARCH(Recherche!$C$3,C902&amp;" "&amp;B902&amp;" "&amp;A902&amp;" "&amp;D902))),MAX($K$1:K901)+1,"")</f>
        <v/>
      </c>
    </row>
    <row r="903" customFormat="false" ht="15" hidden="false" customHeight="false" outlineLevel="0" collapsed="false">
      <c r="A903" s="12"/>
      <c r="B903" s="12"/>
      <c r="C903" s="17" t="str">
        <f aca="false">IF(B903="","",IFERROR(INDEX(Produits!$F$2:$F$1001,MATCH(B903,Produits!$A$2:$A$1001,0)),"⚠ code article inconnu"))</f>
        <v/>
      </c>
      <c r="D903" s="12"/>
      <c r="E903" s="23"/>
      <c r="F903" s="24"/>
      <c r="G903" s="23"/>
      <c r="H903" s="21" t="str">
        <f aca="true">IF(E903="","",ROUND((E903-TODAY())/30.4,1))</f>
        <v/>
      </c>
      <c r="I903" s="17" t="str">
        <f aca="false">IF(E903="","",IF(H903&lt;0,IF(LEFT(A903,1)="Q","Périmé (en quarantaine)","PÉRIMÉ → déplacer en zone Q"),IF(H903&lt;3,"Péremption &lt; 3 mois",IF(H903&lt;6,"Péremption &lt; 6 mois",""))))</f>
        <v/>
      </c>
      <c r="J903" s="17" t="str">
        <f aca="false">IF(A903="","",IF(COUNTIF(Emplacements!$A$2:$A$1001,A903)=0,"⚠ emplacement inconnu","OK"))</f>
        <v/>
      </c>
      <c r="K903" s="22" t="str">
        <f aca="false">IF(AND(B903&lt;&gt;"",ISNUMBER(SEARCH(Recherche!$C$3,C903&amp;" "&amp;B903&amp;" "&amp;A903&amp;" "&amp;D903))),MAX($K$1:K902)+1,"")</f>
        <v/>
      </c>
    </row>
    <row r="904" customFormat="false" ht="15" hidden="false" customHeight="false" outlineLevel="0" collapsed="false">
      <c r="A904" s="12"/>
      <c r="B904" s="12"/>
      <c r="C904" s="17" t="str">
        <f aca="false">IF(B904="","",IFERROR(INDEX(Produits!$F$2:$F$1001,MATCH(B904,Produits!$A$2:$A$1001,0)),"⚠ code article inconnu"))</f>
        <v/>
      </c>
      <c r="D904" s="12"/>
      <c r="E904" s="23"/>
      <c r="F904" s="24"/>
      <c r="G904" s="23"/>
      <c r="H904" s="21" t="str">
        <f aca="true">IF(E904="","",ROUND((E904-TODAY())/30.4,1))</f>
        <v/>
      </c>
      <c r="I904" s="17" t="str">
        <f aca="false">IF(E904="","",IF(H904&lt;0,IF(LEFT(A904,1)="Q","Périmé (en quarantaine)","PÉRIMÉ → déplacer en zone Q"),IF(H904&lt;3,"Péremption &lt; 3 mois",IF(H904&lt;6,"Péremption &lt; 6 mois",""))))</f>
        <v/>
      </c>
      <c r="J904" s="17" t="str">
        <f aca="false">IF(A904="","",IF(COUNTIF(Emplacements!$A$2:$A$1001,A904)=0,"⚠ emplacement inconnu","OK"))</f>
        <v/>
      </c>
      <c r="K904" s="22" t="str">
        <f aca="false">IF(AND(B904&lt;&gt;"",ISNUMBER(SEARCH(Recherche!$C$3,C904&amp;" "&amp;B904&amp;" "&amp;A904&amp;" "&amp;D904))),MAX($K$1:K903)+1,"")</f>
        <v/>
      </c>
    </row>
    <row r="905" customFormat="false" ht="15" hidden="false" customHeight="false" outlineLevel="0" collapsed="false">
      <c r="A905" s="12"/>
      <c r="B905" s="12"/>
      <c r="C905" s="17" t="str">
        <f aca="false">IF(B905="","",IFERROR(INDEX(Produits!$F$2:$F$1001,MATCH(B905,Produits!$A$2:$A$1001,0)),"⚠ code article inconnu"))</f>
        <v/>
      </c>
      <c r="D905" s="12"/>
      <c r="E905" s="23"/>
      <c r="F905" s="24"/>
      <c r="G905" s="23"/>
      <c r="H905" s="21" t="str">
        <f aca="true">IF(E905="","",ROUND((E905-TODAY())/30.4,1))</f>
        <v/>
      </c>
      <c r="I905" s="17" t="str">
        <f aca="false">IF(E905="","",IF(H905&lt;0,IF(LEFT(A905,1)="Q","Périmé (en quarantaine)","PÉRIMÉ → déplacer en zone Q"),IF(H905&lt;3,"Péremption &lt; 3 mois",IF(H905&lt;6,"Péremption &lt; 6 mois",""))))</f>
        <v/>
      </c>
      <c r="J905" s="17" t="str">
        <f aca="false">IF(A905="","",IF(COUNTIF(Emplacements!$A$2:$A$1001,A905)=0,"⚠ emplacement inconnu","OK"))</f>
        <v/>
      </c>
      <c r="K905" s="22" t="str">
        <f aca="false">IF(AND(B905&lt;&gt;"",ISNUMBER(SEARCH(Recherche!$C$3,C905&amp;" "&amp;B905&amp;" "&amp;A905&amp;" "&amp;D905))),MAX($K$1:K904)+1,"")</f>
        <v/>
      </c>
    </row>
    <row r="906" customFormat="false" ht="15" hidden="false" customHeight="false" outlineLevel="0" collapsed="false">
      <c r="A906" s="12"/>
      <c r="B906" s="12"/>
      <c r="C906" s="17" t="str">
        <f aca="false">IF(B906="","",IFERROR(INDEX(Produits!$F$2:$F$1001,MATCH(B906,Produits!$A$2:$A$1001,0)),"⚠ code article inconnu"))</f>
        <v/>
      </c>
      <c r="D906" s="12"/>
      <c r="E906" s="23"/>
      <c r="F906" s="24"/>
      <c r="G906" s="23"/>
      <c r="H906" s="21" t="str">
        <f aca="true">IF(E906="","",ROUND((E906-TODAY())/30.4,1))</f>
        <v/>
      </c>
      <c r="I906" s="17" t="str">
        <f aca="false">IF(E906="","",IF(H906&lt;0,IF(LEFT(A906,1)="Q","Périmé (en quarantaine)","PÉRIMÉ → déplacer en zone Q"),IF(H906&lt;3,"Péremption &lt; 3 mois",IF(H906&lt;6,"Péremption &lt; 6 mois",""))))</f>
        <v/>
      </c>
      <c r="J906" s="17" t="str">
        <f aca="false">IF(A906="","",IF(COUNTIF(Emplacements!$A$2:$A$1001,A906)=0,"⚠ emplacement inconnu","OK"))</f>
        <v/>
      </c>
      <c r="K906" s="22" t="str">
        <f aca="false">IF(AND(B906&lt;&gt;"",ISNUMBER(SEARCH(Recherche!$C$3,C906&amp;" "&amp;B906&amp;" "&amp;A906&amp;" "&amp;D906))),MAX($K$1:K905)+1,"")</f>
        <v/>
      </c>
    </row>
    <row r="907" customFormat="false" ht="15" hidden="false" customHeight="false" outlineLevel="0" collapsed="false">
      <c r="A907" s="12"/>
      <c r="B907" s="12"/>
      <c r="C907" s="17" t="str">
        <f aca="false">IF(B907="","",IFERROR(INDEX(Produits!$F$2:$F$1001,MATCH(B907,Produits!$A$2:$A$1001,0)),"⚠ code article inconnu"))</f>
        <v/>
      </c>
      <c r="D907" s="12"/>
      <c r="E907" s="23"/>
      <c r="F907" s="24"/>
      <c r="G907" s="23"/>
      <c r="H907" s="21" t="str">
        <f aca="true">IF(E907="","",ROUND((E907-TODAY())/30.4,1))</f>
        <v/>
      </c>
      <c r="I907" s="17" t="str">
        <f aca="false">IF(E907="","",IF(H907&lt;0,IF(LEFT(A907,1)="Q","Périmé (en quarantaine)","PÉRIMÉ → déplacer en zone Q"),IF(H907&lt;3,"Péremption &lt; 3 mois",IF(H907&lt;6,"Péremption &lt; 6 mois",""))))</f>
        <v/>
      </c>
      <c r="J907" s="17" t="str">
        <f aca="false">IF(A907="","",IF(COUNTIF(Emplacements!$A$2:$A$1001,A907)=0,"⚠ emplacement inconnu","OK"))</f>
        <v/>
      </c>
      <c r="K907" s="22" t="str">
        <f aca="false">IF(AND(B907&lt;&gt;"",ISNUMBER(SEARCH(Recherche!$C$3,C907&amp;" "&amp;B907&amp;" "&amp;A907&amp;" "&amp;D907))),MAX($K$1:K906)+1,"")</f>
        <v/>
      </c>
    </row>
    <row r="908" customFormat="false" ht="15" hidden="false" customHeight="false" outlineLevel="0" collapsed="false">
      <c r="A908" s="12"/>
      <c r="B908" s="12"/>
      <c r="C908" s="17" t="str">
        <f aca="false">IF(B908="","",IFERROR(INDEX(Produits!$F$2:$F$1001,MATCH(B908,Produits!$A$2:$A$1001,0)),"⚠ code article inconnu"))</f>
        <v/>
      </c>
      <c r="D908" s="12"/>
      <c r="E908" s="23"/>
      <c r="F908" s="24"/>
      <c r="G908" s="23"/>
      <c r="H908" s="21" t="str">
        <f aca="true">IF(E908="","",ROUND((E908-TODAY())/30.4,1))</f>
        <v/>
      </c>
      <c r="I908" s="17" t="str">
        <f aca="false">IF(E908="","",IF(H908&lt;0,IF(LEFT(A908,1)="Q","Périmé (en quarantaine)","PÉRIMÉ → déplacer en zone Q"),IF(H908&lt;3,"Péremption &lt; 3 mois",IF(H908&lt;6,"Péremption &lt; 6 mois",""))))</f>
        <v/>
      </c>
      <c r="J908" s="17" t="str">
        <f aca="false">IF(A908="","",IF(COUNTIF(Emplacements!$A$2:$A$1001,A908)=0,"⚠ emplacement inconnu","OK"))</f>
        <v/>
      </c>
      <c r="K908" s="22" t="str">
        <f aca="false">IF(AND(B908&lt;&gt;"",ISNUMBER(SEARCH(Recherche!$C$3,C908&amp;" "&amp;B908&amp;" "&amp;A908&amp;" "&amp;D908))),MAX($K$1:K907)+1,"")</f>
        <v/>
      </c>
    </row>
    <row r="909" customFormat="false" ht="15" hidden="false" customHeight="false" outlineLevel="0" collapsed="false">
      <c r="A909" s="12"/>
      <c r="B909" s="12"/>
      <c r="C909" s="17" t="str">
        <f aca="false">IF(B909="","",IFERROR(INDEX(Produits!$F$2:$F$1001,MATCH(B909,Produits!$A$2:$A$1001,0)),"⚠ code article inconnu"))</f>
        <v/>
      </c>
      <c r="D909" s="12"/>
      <c r="E909" s="23"/>
      <c r="F909" s="24"/>
      <c r="G909" s="23"/>
      <c r="H909" s="21" t="str">
        <f aca="true">IF(E909="","",ROUND((E909-TODAY())/30.4,1))</f>
        <v/>
      </c>
      <c r="I909" s="17" t="str">
        <f aca="false">IF(E909="","",IF(H909&lt;0,IF(LEFT(A909,1)="Q","Périmé (en quarantaine)","PÉRIMÉ → déplacer en zone Q"),IF(H909&lt;3,"Péremption &lt; 3 mois",IF(H909&lt;6,"Péremption &lt; 6 mois",""))))</f>
        <v/>
      </c>
      <c r="J909" s="17" t="str">
        <f aca="false">IF(A909="","",IF(COUNTIF(Emplacements!$A$2:$A$1001,A909)=0,"⚠ emplacement inconnu","OK"))</f>
        <v/>
      </c>
      <c r="K909" s="22" t="str">
        <f aca="false">IF(AND(B909&lt;&gt;"",ISNUMBER(SEARCH(Recherche!$C$3,C909&amp;" "&amp;B909&amp;" "&amp;A909&amp;" "&amp;D909))),MAX($K$1:K908)+1,"")</f>
        <v/>
      </c>
    </row>
    <row r="910" customFormat="false" ht="15" hidden="false" customHeight="false" outlineLevel="0" collapsed="false">
      <c r="A910" s="12"/>
      <c r="B910" s="12"/>
      <c r="C910" s="17" t="str">
        <f aca="false">IF(B910="","",IFERROR(INDEX(Produits!$F$2:$F$1001,MATCH(B910,Produits!$A$2:$A$1001,0)),"⚠ code article inconnu"))</f>
        <v/>
      </c>
      <c r="D910" s="12"/>
      <c r="E910" s="23"/>
      <c r="F910" s="24"/>
      <c r="G910" s="23"/>
      <c r="H910" s="21" t="str">
        <f aca="true">IF(E910="","",ROUND((E910-TODAY())/30.4,1))</f>
        <v/>
      </c>
      <c r="I910" s="17" t="str">
        <f aca="false">IF(E910="","",IF(H910&lt;0,IF(LEFT(A910,1)="Q","Périmé (en quarantaine)","PÉRIMÉ → déplacer en zone Q"),IF(H910&lt;3,"Péremption &lt; 3 mois",IF(H910&lt;6,"Péremption &lt; 6 mois",""))))</f>
        <v/>
      </c>
      <c r="J910" s="17" t="str">
        <f aca="false">IF(A910="","",IF(COUNTIF(Emplacements!$A$2:$A$1001,A910)=0,"⚠ emplacement inconnu","OK"))</f>
        <v/>
      </c>
      <c r="K910" s="22" t="str">
        <f aca="false">IF(AND(B910&lt;&gt;"",ISNUMBER(SEARCH(Recherche!$C$3,C910&amp;" "&amp;B910&amp;" "&amp;A910&amp;" "&amp;D910))),MAX($K$1:K909)+1,"")</f>
        <v/>
      </c>
    </row>
    <row r="911" customFormat="false" ht="15" hidden="false" customHeight="false" outlineLevel="0" collapsed="false">
      <c r="A911" s="12"/>
      <c r="B911" s="12"/>
      <c r="C911" s="17" t="str">
        <f aca="false">IF(B911="","",IFERROR(INDEX(Produits!$F$2:$F$1001,MATCH(B911,Produits!$A$2:$A$1001,0)),"⚠ code article inconnu"))</f>
        <v/>
      </c>
      <c r="D911" s="12"/>
      <c r="E911" s="23"/>
      <c r="F911" s="24"/>
      <c r="G911" s="23"/>
      <c r="H911" s="21" t="str">
        <f aca="true">IF(E911="","",ROUND((E911-TODAY())/30.4,1))</f>
        <v/>
      </c>
      <c r="I911" s="17" t="str">
        <f aca="false">IF(E911="","",IF(H911&lt;0,IF(LEFT(A911,1)="Q","Périmé (en quarantaine)","PÉRIMÉ → déplacer en zone Q"),IF(H911&lt;3,"Péremption &lt; 3 mois",IF(H911&lt;6,"Péremption &lt; 6 mois",""))))</f>
        <v/>
      </c>
      <c r="J911" s="17" t="str">
        <f aca="false">IF(A911="","",IF(COUNTIF(Emplacements!$A$2:$A$1001,A911)=0,"⚠ emplacement inconnu","OK"))</f>
        <v/>
      </c>
      <c r="K911" s="22" t="str">
        <f aca="false">IF(AND(B911&lt;&gt;"",ISNUMBER(SEARCH(Recherche!$C$3,C911&amp;" "&amp;B911&amp;" "&amp;A911&amp;" "&amp;D911))),MAX($K$1:K910)+1,"")</f>
        <v/>
      </c>
    </row>
    <row r="912" customFormat="false" ht="15" hidden="false" customHeight="false" outlineLevel="0" collapsed="false">
      <c r="A912" s="12"/>
      <c r="B912" s="12"/>
      <c r="C912" s="17" t="str">
        <f aca="false">IF(B912="","",IFERROR(INDEX(Produits!$F$2:$F$1001,MATCH(B912,Produits!$A$2:$A$1001,0)),"⚠ code article inconnu"))</f>
        <v/>
      </c>
      <c r="D912" s="12"/>
      <c r="E912" s="23"/>
      <c r="F912" s="24"/>
      <c r="G912" s="23"/>
      <c r="H912" s="21" t="str">
        <f aca="true">IF(E912="","",ROUND((E912-TODAY())/30.4,1))</f>
        <v/>
      </c>
      <c r="I912" s="17" t="str">
        <f aca="false">IF(E912="","",IF(H912&lt;0,IF(LEFT(A912,1)="Q","Périmé (en quarantaine)","PÉRIMÉ → déplacer en zone Q"),IF(H912&lt;3,"Péremption &lt; 3 mois",IF(H912&lt;6,"Péremption &lt; 6 mois",""))))</f>
        <v/>
      </c>
      <c r="J912" s="17" t="str">
        <f aca="false">IF(A912="","",IF(COUNTIF(Emplacements!$A$2:$A$1001,A912)=0,"⚠ emplacement inconnu","OK"))</f>
        <v/>
      </c>
      <c r="K912" s="22" t="str">
        <f aca="false">IF(AND(B912&lt;&gt;"",ISNUMBER(SEARCH(Recherche!$C$3,C912&amp;" "&amp;B912&amp;" "&amp;A912&amp;" "&amp;D912))),MAX($K$1:K911)+1,"")</f>
        <v/>
      </c>
    </row>
    <row r="913" customFormat="false" ht="15" hidden="false" customHeight="false" outlineLevel="0" collapsed="false">
      <c r="A913" s="12"/>
      <c r="B913" s="12"/>
      <c r="C913" s="17" t="str">
        <f aca="false">IF(B913="","",IFERROR(INDEX(Produits!$F$2:$F$1001,MATCH(B913,Produits!$A$2:$A$1001,0)),"⚠ code article inconnu"))</f>
        <v/>
      </c>
      <c r="D913" s="12"/>
      <c r="E913" s="23"/>
      <c r="F913" s="24"/>
      <c r="G913" s="23"/>
      <c r="H913" s="21" t="str">
        <f aca="true">IF(E913="","",ROUND((E913-TODAY())/30.4,1))</f>
        <v/>
      </c>
      <c r="I913" s="17" t="str">
        <f aca="false">IF(E913="","",IF(H913&lt;0,IF(LEFT(A913,1)="Q","Périmé (en quarantaine)","PÉRIMÉ → déplacer en zone Q"),IF(H913&lt;3,"Péremption &lt; 3 mois",IF(H913&lt;6,"Péremption &lt; 6 mois",""))))</f>
        <v/>
      </c>
      <c r="J913" s="17" t="str">
        <f aca="false">IF(A913="","",IF(COUNTIF(Emplacements!$A$2:$A$1001,A913)=0,"⚠ emplacement inconnu","OK"))</f>
        <v/>
      </c>
      <c r="K913" s="22" t="str">
        <f aca="false">IF(AND(B913&lt;&gt;"",ISNUMBER(SEARCH(Recherche!$C$3,C913&amp;" "&amp;B913&amp;" "&amp;A913&amp;" "&amp;D913))),MAX($K$1:K912)+1,"")</f>
        <v/>
      </c>
    </row>
    <row r="914" customFormat="false" ht="15" hidden="false" customHeight="false" outlineLevel="0" collapsed="false">
      <c r="A914" s="12"/>
      <c r="B914" s="12"/>
      <c r="C914" s="17" t="str">
        <f aca="false">IF(B914="","",IFERROR(INDEX(Produits!$F$2:$F$1001,MATCH(B914,Produits!$A$2:$A$1001,0)),"⚠ code article inconnu"))</f>
        <v/>
      </c>
      <c r="D914" s="12"/>
      <c r="E914" s="23"/>
      <c r="F914" s="24"/>
      <c r="G914" s="23"/>
      <c r="H914" s="21" t="str">
        <f aca="true">IF(E914="","",ROUND((E914-TODAY())/30.4,1))</f>
        <v/>
      </c>
      <c r="I914" s="17" t="str">
        <f aca="false">IF(E914="","",IF(H914&lt;0,IF(LEFT(A914,1)="Q","Périmé (en quarantaine)","PÉRIMÉ → déplacer en zone Q"),IF(H914&lt;3,"Péremption &lt; 3 mois",IF(H914&lt;6,"Péremption &lt; 6 mois",""))))</f>
        <v/>
      </c>
      <c r="J914" s="17" t="str">
        <f aca="false">IF(A914="","",IF(COUNTIF(Emplacements!$A$2:$A$1001,A914)=0,"⚠ emplacement inconnu","OK"))</f>
        <v/>
      </c>
      <c r="K914" s="22" t="str">
        <f aca="false">IF(AND(B914&lt;&gt;"",ISNUMBER(SEARCH(Recherche!$C$3,C914&amp;" "&amp;B914&amp;" "&amp;A914&amp;" "&amp;D914))),MAX($K$1:K913)+1,"")</f>
        <v/>
      </c>
    </row>
    <row r="915" customFormat="false" ht="15" hidden="false" customHeight="false" outlineLevel="0" collapsed="false">
      <c r="A915" s="12"/>
      <c r="B915" s="12"/>
      <c r="C915" s="17" t="str">
        <f aca="false">IF(B915="","",IFERROR(INDEX(Produits!$F$2:$F$1001,MATCH(B915,Produits!$A$2:$A$1001,0)),"⚠ code article inconnu"))</f>
        <v/>
      </c>
      <c r="D915" s="12"/>
      <c r="E915" s="23"/>
      <c r="F915" s="24"/>
      <c r="G915" s="23"/>
      <c r="H915" s="21" t="str">
        <f aca="true">IF(E915="","",ROUND((E915-TODAY())/30.4,1))</f>
        <v/>
      </c>
      <c r="I915" s="17" t="str">
        <f aca="false">IF(E915="","",IF(H915&lt;0,IF(LEFT(A915,1)="Q","Périmé (en quarantaine)","PÉRIMÉ → déplacer en zone Q"),IF(H915&lt;3,"Péremption &lt; 3 mois",IF(H915&lt;6,"Péremption &lt; 6 mois",""))))</f>
        <v/>
      </c>
      <c r="J915" s="17" t="str">
        <f aca="false">IF(A915="","",IF(COUNTIF(Emplacements!$A$2:$A$1001,A915)=0,"⚠ emplacement inconnu","OK"))</f>
        <v/>
      </c>
      <c r="K915" s="22" t="str">
        <f aca="false">IF(AND(B915&lt;&gt;"",ISNUMBER(SEARCH(Recherche!$C$3,C915&amp;" "&amp;B915&amp;" "&amp;A915&amp;" "&amp;D915))),MAX($K$1:K914)+1,"")</f>
        <v/>
      </c>
    </row>
    <row r="916" customFormat="false" ht="15" hidden="false" customHeight="false" outlineLevel="0" collapsed="false">
      <c r="A916" s="12"/>
      <c r="B916" s="12"/>
      <c r="C916" s="17" t="str">
        <f aca="false">IF(B916="","",IFERROR(INDEX(Produits!$F$2:$F$1001,MATCH(B916,Produits!$A$2:$A$1001,0)),"⚠ code article inconnu"))</f>
        <v/>
      </c>
      <c r="D916" s="12"/>
      <c r="E916" s="23"/>
      <c r="F916" s="24"/>
      <c r="G916" s="23"/>
      <c r="H916" s="21" t="str">
        <f aca="true">IF(E916="","",ROUND((E916-TODAY())/30.4,1))</f>
        <v/>
      </c>
      <c r="I916" s="17" t="str">
        <f aca="false">IF(E916="","",IF(H916&lt;0,IF(LEFT(A916,1)="Q","Périmé (en quarantaine)","PÉRIMÉ → déplacer en zone Q"),IF(H916&lt;3,"Péremption &lt; 3 mois",IF(H916&lt;6,"Péremption &lt; 6 mois",""))))</f>
        <v/>
      </c>
      <c r="J916" s="17" t="str">
        <f aca="false">IF(A916="","",IF(COUNTIF(Emplacements!$A$2:$A$1001,A916)=0,"⚠ emplacement inconnu","OK"))</f>
        <v/>
      </c>
      <c r="K916" s="22" t="str">
        <f aca="false">IF(AND(B916&lt;&gt;"",ISNUMBER(SEARCH(Recherche!$C$3,C916&amp;" "&amp;B916&amp;" "&amp;A916&amp;" "&amp;D916))),MAX($K$1:K915)+1,"")</f>
        <v/>
      </c>
    </row>
    <row r="917" customFormat="false" ht="15" hidden="false" customHeight="false" outlineLevel="0" collapsed="false">
      <c r="A917" s="12"/>
      <c r="B917" s="12"/>
      <c r="C917" s="17" t="str">
        <f aca="false">IF(B917="","",IFERROR(INDEX(Produits!$F$2:$F$1001,MATCH(B917,Produits!$A$2:$A$1001,0)),"⚠ code article inconnu"))</f>
        <v/>
      </c>
      <c r="D917" s="12"/>
      <c r="E917" s="23"/>
      <c r="F917" s="24"/>
      <c r="G917" s="23"/>
      <c r="H917" s="21" t="str">
        <f aca="true">IF(E917="","",ROUND((E917-TODAY())/30.4,1))</f>
        <v/>
      </c>
      <c r="I917" s="17" t="str">
        <f aca="false">IF(E917="","",IF(H917&lt;0,IF(LEFT(A917,1)="Q","Périmé (en quarantaine)","PÉRIMÉ → déplacer en zone Q"),IF(H917&lt;3,"Péremption &lt; 3 mois",IF(H917&lt;6,"Péremption &lt; 6 mois",""))))</f>
        <v/>
      </c>
      <c r="J917" s="17" t="str">
        <f aca="false">IF(A917="","",IF(COUNTIF(Emplacements!$A$2:$A$1001,A917)=0,"⚠ emplacement inconnu","OK"))</f>
        <v/>
      </c>
      <c r="K917" s="22" t="str">
        <f aca="false">IF(AND(B917&lt;&gt;"",ISNUMBER(SEARCH(Recherche!$C$3,C917&amp;" "&amp;B917&amp;" "&amp;A917&amp;" "&amp;D917))),MAX($K$1:K916)+1,"")</f>
        <v/>
      </c>
    </row>
    <row r="918" customFormat="false" ht="15" hidden="false" customHeight="false" outlineLevel="0" collapsed="false">
      <c r="A918" s="12"/>
      <c r="B918" s="12"/>
      <c r="C918" s="17" t="str">
        <f aca="false">IF(B918="","",IFERROR(INDEX(Produits!$F$2:$F$1001,MATCH(B918,Produits!$A$2:$A$1001,0)),"⚠ code article inconnu"))</f>
        <v/>
      </c>
      <c r="D918" s="12"/>
      <c r="E918" s="23"/>
      <c r="F918" s="24"/>
      <c r="G918" s="23"/>
      <c r="H918" s="21" t="str">
        <f aca="true">IF(E918="","",ROUND((E918-TODAY())/30.4,1))</f>
        <v/>
      </c>
      <c r="I918" s="17" t="str">
        <f aca="false">IF(E918="","",IF(H918&lt;0,IF(LEFT(A918,1)="Q","Périmé (en quarantaine)","PÉRIMÉ → déplacer en zone Q"),IF(H918&lt;3,"Péremption &lt; 3 mois",IF(H918&lt;6,"Péremption &lt; 6 mois",""))))</f>
        <v/>
      </c>
      <c r="J918" s="17" t="str">
        <f aca="false">IF(A918="","",IF(COUNTIF(Emplacements!$A$2:$A$1001,A918)=0,"⚠ emplacement inconnu","OK"))</f>
        <v/>
      </c>
      <c r="K918" s="22" t="str">
        <f aca="false">IF(AND(B918&lt;&gt;"",ISNUMBER(SEARCH(Recherche!$C$3,C918&amp;" "&amp;B918&amp;" "&amp;A918&amp;" "&amp;D918))),MAX($K$1:K917)+1,"")</f>
        <v/>
      </c>
    </row>
    <row r="919" customFormat="false" ht="15" hidden="false" customHeight="false" outlineLevel="0" collapsed="false">
      <c r="A919" s="12"/>
      <c r="B919" s="12"/>
      <c r="C919" s="17" t="str">
        <f aca="false">IF(B919="","",IFERROR(INDEX(Produits!$F$2:$F$1001,MATCH(B919,Produits!$A$2:$A$1001,0)),"⚠ code article inconnu"))</f>
        <v/>
      </c>
      <c r="D919" s="12"/>
      <c r="E919" s="23"/>
      <c r="F919" s="24"/>
      <c r="G919" s="23"/>
      <c r="H919" s="21" t="str">
        <f aca="true">IF(E919="","",ROUND((E919-TODAY())/30.4,1))</f>
        <v/>
      </c>
      <c r="I919" s="17" t="str">
        <f aca="false">IF(E919="","",IF(H919&lt;0,IF(LEFT(A919,1)="Q","Périmé (en quarantaine)","PÉRIMÉ → déplacer en zone Q"),IF(H919&lt;3,"Péremption &lt; 3 mois",IF(H919&lt;6,"Péremption &lt; 6 mois",""))))</f>
        <v/>
      </c>
      <c r="J919" s="17" t="str">
        <f aca="false">IF(A919="","",IF(COUNTIF(Emplacements!$A$2:$A$1001,A919)=0,"⚠ emplacement inconnu","OK"))</f>
        <v/>
      </c>
      <c r="K919" s="22" t="str">
        <f aca="false">IF(AND(B919&lt;&gt;"",ISNUMBER(SEARCH(Recherche!$C$3,C919&amp;" "&amp;B919&amp;" "&amp;A919&amp;" "&amp;D919))),MAX($K$1:K918)+1,"")</f>
        <v/>
      </c>
    </row>
    <row r="920" customFormat="false" ht="15" hidden="false" customHeight="false" outlineLevel="0" collapsed="false">
      <c r="A920" s="12"/>
      <c r="B920" s="12"/>
      <c r="C920" s="17" t="str">
        <f aca="false">IF(B920="","",IFERROR(INDEX(Produits!$F$2:$F$1001,MATCH(B920,Produits!$A$2:$A$1001,0)),"⚠ code article inconnu"))</f>
        <v/>
      </c>
      <c r="D920" s="12"/>
      <c r="E920" s="23"/>
      <c r="F920" s="24"/>
      <c r="G920" s="23"/>
      <c r="H920" s="21" t="str">
        <f aca="true">IF(E920="","",ROUND((E920-TODAY())/30.4,1))</f>
        <v/>
      </c>
      <c r="I920" s="17" t="str">
        <f aca="false">IF(E920="","",IF(H920&lt;0,IF(LEFT(A920,1)="Q","Périmé (en quarantaine)","PÉRIMÉ → déplacer en zone Q"),IF(H920&lt;3,"Péremption &lt; 3 mois",IF(H920&lt;6,"Péremption &lt; 6 mois",""))))</f>
        <v/>
      </c>
      <c r="J920" s="17" t="str">
        <f aca="false">IF(A920="","",IF(COUNTIF(Emplacements!$A$2:$A$1001,A920)=0,"⚠ emplacement inconnu","OK"))</f>
        <v/>
      </c>
      <c r="K920" s="22" t="str">
        <f aca="false">IF(AND(B920&lt;&gt;"",ISNUMBER(SEARCH(Recherche!$C$3,C920&amp;" "&amp;B920&amp;" "&amp;A920&amp;" "&amp;D920))),MAX($K$1:K919)+1,"")</f>
        <v/>
      </c>
    </row>
    <row r="921" customFormat="false" ht="15" hidden="false" customHeight="false" outlineLevel="0" collapsed="false">
      <c r="A921" s="12"/>
      <c r="B921" s="12"/>
      <c r="C921" s="17" t="str">
        <f aca="false">IF(B921="","",IFERROR(INDEX(Produits!$F$2:$F$1001,MATCH(B921,Produits!$A$2:$A$1001,0)),"⚠ code article inconnu"))</f>
        <v/>
      </c>
      <c r="D921" s="12"/>
      <c r="E921" s="23"/>
      <c r="F921" s="24"/>
      <c r="G921" s="23"/>
      <c r="H921" s="21" t="str">
        <f aca="true">IF(E921="","",ROUND((E921-TODAY())/30.4,1))</f>
        <v/>
      </c>
      <c r="I921" s="17" t="str">
        <f aca="false">IF(E921="","",IF(H921&lt;0,IF(LEFT(A921,1)="Q","Périmé (en quarantaine)","PÉRIMÉ → déplacer en zone Q"),IF(H921&lt;3,"Péremption &lt; 3 mois",IF(H921&lt;6,"Péremption &lt; 6 mois",""))))</f>
        <v/>
      </c>
      <c r="J921" s="17" t="str">
        <f aca="false">IF(A921="","",IF(COUNTIF(Emplacements!$A$2:$A$1001,A921)=0,"⚠ emplacement inconnu","OK"))</f>
        <v/>
      </c>
      <c r="K921" s="22" t="str">
        <f aca="false">IF(AND(B921&lt;&gt;"",ISNUMBER(SEARCH(Recherche!$C$3,C921&amp;" "&amp;B921&amp;" "&amp;A921&amp;" "&amp;D921))),MAX($K$1:K920)+1,"")</f>
        <v/>
      </c>
    </row>
    <row r="922" customFormat="false" ht="15" hidden="false" customHeight="false" outlineLevel="0" collapsed="false">
      <c r="A922" s="12"/>
      <c r="B922" s="12"/>
      <c r="C922" s="17" t="str">
        <f aca="false">IF(B922="","",IFERROR(INDEX(Produits!$F$2:$F$1001,MATCH(B922,Produits!$A$2:$A$1001,0)),"⚠ code article inconnu"))</f>
        <v/>
      </c>
      <c r="D922" s="12"/>
      <c r="E922" s="23"/>
      <c r="F922" s="24"/>
      <c r="G922" s="23"/>
      <c r="H922" s="21" t="str">
        <f aca="true">IF(E922="","",ROUND((E922-TODAY())/30.4,1))</f>
        <v/>
      </c>
      <c r="I922" s="17" t="str">
        <f aca="false">IF(E922="","",IF(H922&lt;0,IF(LEFT(A922,1)="Q","Périmé (en quarantaine)","PÉRIMÉ → déplacer en zone Q"),IF(H922&lt;3,"Péremption &lt; 3 mois",IF(H922&lt;6,"Péremption &lt; 6 mois",""))))</f>
        <v/>
      </c>
      <c r="J922" s="17" t="str">
        <f aca="false">IF(A922="","",IF(COUNTIF(Emplacements!$A$2:$A$1001,A922)=0,"⚠ emplacement inconnu","OK"))</f>
        <v/>
      </c>
      <c r="K922" s="22" t="str">
        <f aca="false">IF(AND(B922&lt;&gt;"",ISNUMBER(SEARCH(Recherche!$C$3,C922&amp;" "&amp;B922&amp;" "&amp;A922&amp;" "&amp;D922))),MAX($K$1:K921)+1,"")</f>
        <v/>
      </c>
    </row>
    <row r="923" customFormat="false" ht="15" hidden="false" customHeight="false" outlineLevel="0" collapsed="false">
      <c r="A923" s="12"/>
      <c r="B923" s="12"/>
      <c r="C923" s="17" t="str">
        <f aca="false">IF(B923="","",IFERROR(INDEX(Produits!$F$2:$F$1001,MATCH(B923,Produits!$A$2:$A$1001,0)),"⚠ code article inconnu"))</f>
        <v/>
      </c>
      <c r="D923" s="12"/>
      <c r="E923" s="23"/>
      <c r="F923" s="24"/>
      <c r="G923" s="23"/>
      <c r="H923" s="21" t="str">
        <f aca="true">IF(E923="","",ROUND((E923-TODAY())/30.4,1))</f>
        <v/>
      </c>
      <c r="I923" s="17" t="str">
        <f aca="false">IF(E923="","",IF(H923&lt;0,IF(LEFT(A923,1)="Q","Périmé (en quarantaine)","PÉRIMÉ → déplacer en zone Q"),IF(H923&lt;3,"Péremption &lt; 3 mois",IF(H923&lt;6,"Péremption &lt; 6 mois",""))))</f>
        <v/>
      </c>
      <c r="J923" s="17" t="str">
        <f aca="false">IF(A923="","",IF(COUNTIF(Emplacements!$A$2:$A$1001,A923)=0,"⚠ emplacement inconnu","OK"))</f>
        <v/>
      </c>
      <c r="K923" s="22" t="str">
        <f aca="false">IF(AND(B923&lt;&gt;"",ISNUMBER(SEARCH(Recherche!$C$3,C923&amp;" "&amp;B923&amp;" "&amp;A923&amp;" "&amp;D923))),MAX($K$1:K922)+1,"")</f>
        <v/>
      </c>
    </row>
    <row r="924" customFormat="false" ht="15" hidden="false" customHeight="false" outlineLevel="0" collapsed="false">
      <c r="A924" s="12"/>
      <c r="B924" s="12"/>
      <c r="C924" s="17" t="str">
        <f aca="false">IF(B924="","",IFERROR(INDEX(Produits!$F$2:$F$1001,MATCH(B924,Produits!$A$2:$A$1001,0)),"⚠ code article inconnu"))</f>
        <v/>
      </c>
      <c r="D924" s="12"/>
      <c r="E924" s="23"/>
      <c r="F924" s="24"/>
      <c r="G924" s="23"/>
      <c r="H924" s="21" t="str">
        <f aca="true">IF(E924="","",ROUND((E924-TODAY())/30.4,1))</f>
        <v/>
      </c>
      <c r="I924" s="17" t="str">
        <f aca="false">IF(E924="","",IF(H924&lt;0,IF(LEFT(A924,1)="Q","Périmé (en quarantaine)","PÉRIMÉ → déplacer en zone Q"),IF(H924&lt;3,"Péremption &lt; 3 mois",IF(H924&lt;6,"Péremption &lt; 6 mois",""))))</f>
        <v/>
      </c>
      <c r="J924" s="17" t="str">
        <f aca="false">IF(A924="","",IF(COUNTIF(Emplacements!$A$2:$A$1001,A924)=0,"⚠ emplacement inconnu","OK"))</f>
        <v/>
      </c>
      <c r="K924" s="22" t="str">
        <f aca="false">IF(AND(B924&lt;&gt;"",ISNUMBER(SEARCH(Recherche!$C$3,C924&amp;" "&amp;B924&amp;" "&amp;A924&amp;" "&amp;D924))),MAX($K$1:K923)+1,"")</f>
        <v/>
      </c>
    </row>
    <row r="925" customFormat="false" ht="15" hidden="false" customHeight="false" outlineLevel="0" collapsed="false">
      <c r="A925" s="12"/>
      <c r="B925" s="12"/>
      <c r="C925" s="17" t="str">
        <f aca="false">IF(B925="","",IFERROR(INDEX(Produits!$F$2:$F$1001,MATCH(B925,Produits!$A$2:$A$1001,0)),"⚠ code article inconnu"))</f>
        <v/>
      </c>
      <c r="D925" s="12"/>
      <c r="E925" s="23"/>
      <c r="F925" s="24"/>
      <c r="G925" s="23"/>
      <c r="H925" s="21" t="str">
        <f aca="true">IF(E925="","",ROUND((E925-TODAY())/30.4,1))</f>
        <v/>
      </c>
      <c r="I925" s="17" t="str">
        <f aca="false">IF(E925="","",IF(H925&lt;0,IF(LEFT(A925,1)="Q","Périmé (en quarantaine)","PÉRIMÉ → déplacer en zone Q"),IF(H925&lt;3,"Péremption &lt; 3 mois",IF(H925&lt;6,"Péremption &lt; 6 mois",""))))</f>
        <v/>
      </c>
      <c r="J925" s="17" t="str">
        <f aca="false">IF(A925="","",IF(COUNTIF(Emplacements!$A$2:$A$1001,A925)=0,"⚠ emplacement inconnu","OK"))</f>
        <v/>
      </c>
      <c r="K925" s="22" t="str">
        <f aca="false">IF(AND(B925&lt;&gt;"",ISNUMBER(SEARCH(Recherche!$C$3,C925&amp;" "&amp;B925&amp;" "&amp;A925&amp;" "&amp;D925))),MAX($K$1:K924)+1,"")</f>
        <v/>
      </c>
    </row>
    <row r="926" customFormat="false" ht="15" hidden="false" customHeight="false" outlineLevel="0" collapsed="false">
      <c r="A926" s="12"/>
      <c r="B926" s="12"/>
      <c r="C926" s="17" t="str">
        <f aca="false">IF(B926="","",IFERROR(INDEX(Produits!$F$2:$F$1001,MATCH(B926,Produits!$A$2:$A$1001,0)),"⚠ code article inconnu"))</f>
        <v/>
      </c>
      <c r="D926" s="12"/>
      <c r="E926" s="23"/>
      <c r="F926" s="24"/>
      <c r="G926" s="23"/>
      <c r="H926" s="21" t="str">
        <f aca="true">IF(E926="","",ROUND((E926-TODAY())/30.4,1))</f>
        <v/>
      </c>
      <c r="I926" s="17" t="str">
        <f aca="false">IF(E926="","",IF(H926&lt;0,IF(LEFT(A926,1)="Q","Périmé (en quarantaine)","PÉRIMÉ → déplacer en zone Q"),IF(H926&lt;3,"Péremption &lt; 3 mois",IF(H926&lt;6,"Péremption &lt; 6 mois",""))))</f>
        <v/>
      </c>
      <c r="J926" s="17" t="str">
        <f aca="false">IF(A926="","",IF(COUNTIF(Emplacements!$A$2:$A$1001,A926)=0,"⚠ emplacement inconnu","OK"))</f>
        <v/>
      </c>
      <c r="K926" s="22" t="str">
        <f aca="false">IF(AND(B926&lt;&gt;"",ISNUMBER(SEARCH(Recherche!$C$3,C926&amp;" "&amp;B926&amp;" "&amp;A926&amp;" "&amp;D926))),MAX($K$1:K925)+1,"")</f>
        <v/>
      </c>
    </row>
    <row r="927" customFormat="false" ht="15" hidden="false" customHeight="false" outlineLevel="0" collapsed="false">
      <c r="A927" s="12"/>
      <c r="B927" s="12"/>
      <c r="C927" s="17" t="str">
        <f aca="false">IF(B927="","",IFERROR(INDEX(Produits!$F$2:$F$1001,MATCH(B927,Produits!$A$2:$A$1001,0)),"⚠ code article inconnu"))</f>
        <v/>
      </c>
      <c r="D927" s="12"/>
      <c r="E927" s="23"/>
      <c r="F927" s="24"/>
      <c r="G927" s="23"/>
      <c r="H927" s="21" t="str">
        <f aca="true">IF(E927="","",ROUND((E927-TODAY())/30.4,1))</f>
        <v/>
      </c>
      <c r="I927" s="17" t="str">
        <f aca="false">IF(E927="","",IF(H927&lt;0,IF(LEFT(A927,1)="Q","Périmé (en quarantaine)","PÉRIMÉ → déplacer en zone Q"),IF(H927&lt;3,"Péremption &lt; 3 mois",IF(H927&lt;6,"Péremption &lt; 6 mois",""))))</f>
        <v/>
      </c>
      <c r="J927" s="17" t="str">
        <f aca="false">IF(A927="","",IF(COUNTIF(Emplacements!$A$2:$A$1001,A927)=0,"⚠ emplacement inconnu","OK"))</f>
        <v/>
      </c>
      <c r="K927" s="22" t="str">
        <f aca="false">IF(AND(B927&lt;&gt;"",ISNUMBER(SEARCH(Recherche!$C$3,C927&amp;" "&amp;B927&amp;" "&amp;A927&amp;" "&amp;D927))),MAX($K$1:K926)+1,"")</f>
        <v/>
      </c>
    </row>
    <row r="928" customFormat="false" ht="15" hidden="false" customHeight="false" outlineLevel="0" collapsed="false">
      <c r="A928" s="12"/>
      <c r="B928" s="12"/>
      <c r="C928" s="17" t="str">
        <f aca="false">IF(B928="","",IFERROR(INDEX(Produits!$F$2:$F$1001,MATCH(B928,Produits!$A$2:$A$1001,0)),"⚠ code article inconnu"))</f>
        <v/>
      </c>
      <c r="D928" s="12"/>
      <c r="E928" s="23"/>
      <c r="F928" s="24"/>
      <c r="G928" s="23"/>
      <c r="H928" s="21" t="str">
        <f aca="true">IF(E928="","",ROUND((E928-TODAY())/30.4,1))</f>
        <v/>
      </c>
      <c r="I928" s="17" t="str">
        <f aca="false">IF(E928="","",IF(H928&lt;0,IF(LEFT(A928,1)="Q","Périmé (en quarantaine)","PÉRIMÉ → déplacer en zone Q"),IF(H928&lt;3,"Péremption &lt; 3 mois",IF(H928&lt;6,"Péremption &lt; 6 mois",""))))</f>
        <v/>
      </c>
      <c r="J928" s="17" t="str">
        <f aca="false">IF(A928="","",IF(COUNTIF(Emplacements!$A$2:$A$1001,A928)=0,"⚠ emplacement inconnu","OK"))</f>
        <v/>
      </c>
      <c r="K928" s="22" t="str">
        <f aca="false">IF(AND(B928&lt;&gt;"",ISNUMBER(SEARCH(Recherche!$C$3,C928&amp;" "&amp;B928&amp;" "&amp;A928&amp;" "&amp;D928))),MAX($K$1:K927)+1,"")</f>
        <v/>
      </c>
    </row>
    <row r="929" customFormat="false" ht="15" hidden="false" customHeight="false" outlineLevel="0" collapsed="false">
      <c r="A929" s="12"/>
      <c r="B929" s="12"/>
      <c r="C929" s="17" t="str">
        <f aca="false">IF(B929="","",IFERROR(INDEX(Produits!$F$2:$F$1001,MATCH(B929,Produits!$A$2:$A$1001,0)),"⚠ code article inconnu"))</f>
        <v/>
      </c>
      <c r="D929" s="12"/>
      <c r="E929" s="23"/>
      <c r="F929" s="24"/>
      <c r="G929" s="23"/>
      <c r="H929" s="21" t="str">
        <f aca="true">IF(E929="","",ROUND((E929-TODAY())/30.4,1))</f>
        <v/>
      </c>
      <c r="I929" s="17" t="str">
        <f aca="false">IF(E929="","",IF(H929&lt;0,IF(LEFT(A929,1)="Q","Périmé (en quarantaine)","PÉRIMÉ → déplacer en zone Q"),IF(H929&lt;3,"Péremption &lt; 3 mois",IF(H929&lt;6,"Péremption &lt; 6 mois",""))))</f>
        <v/>
      </c>
      <c r="J929" s="17" t="str">
        <f aca="false">IF(A929="","",IF(COUNTIF(Emplacements!$A$2:$A$1001,A929)=0,"⚠ emplacement inconnu","OK"))</f>
        <v/>
      </c>
      <c r="K929" s="22" t="str">
        <f aca="false">IF(AND(B929&lt;&gt;"",ISNUMBER(SEARCH(Recherche!$C$3,C929&amp;" "&amp;B929&amp;" "&amp;A929&amp;" "&amp;D929))),MAX($K$1:K928)+1,"")</f>
        <v/>
      </c>
    </row>
    <row r="930" customFormat="false" ht="15" hidden="false" customHeight="false" outlineLevel="0" collapsed="false">
      <c r="A930" s="12"/>
      <c r="B930" s="12"/>
      <c r="C930" s="17" t="str">
        <f aca="false">IF(B930="","",IFERROR(INDEX(Produits!$F$2:$F$1001,MATCH(B930,Produits!$A$2:$A$1001,0)),"⚠ code article inconnu"))</f>
        <v/>
      </c>
      <c r="D930" s="12"/>
      <c r="E930" s="23"/>
      <c r="F930" s="24"/>
      <c r="G930" s="23"/>
      <c r="H930" s="21" t="str">
        <f aca="true">IF(E930="","",ROUND((E930-TODAY())/30.4,1))</f>
        <v/>
      </c>
      <c r="I930" s="17" t="str">
        <f aca="false">IF(E930="","",IF(H930&lt;0,IF(LEFT(A930,1)="Q","Périmé (en quarantaine)","PÉRIMÉ → déplacer en zone Q"),IF(H930&lt;3,"Péremption &lt; 3 mois",IF(H930&lt;6,"Péremption &lt; 6 mois",""))))</f>
        <v/>
      </c>
      <c r="J930" s="17" t="str">
        <f aca="false">IF(A930="","",IF(COUNTIF(Emplacements!$A$2:$A$1001,A930)=0,"⚠ emplacement inconnu","OK"))</f>
        <v/>
      </c>
      <c r="K930" s="22" t="str">
        <f aca="false">IF(AND(B930&lt;&gt;"",ISNUMBER(SEARCH(Recherche!$C$3,C930&amp;" "&amp;B930&amp;" "&amp;A930&amp;" "&amp;D930))),MAX($K$1:K929)+1,"")</f>
        <v/>
      </c>
    </row>
    <row r="931" customFormat="false" ht="15" hidden="false" customHeight="false" outlineLevel="0" collapsed="false">
      <c r="A931" s="12"/>
      <c r="B931" s="12"/>
      <c r="C931" s="17" t="str">
        <f aca="false">IF(B931="","",IFERROR(INDEX(Produits!$F$2:$F$1001,MATCH(B931,Produits!$A$2:$A$1001,0)),"⚠ code article inconnu"))</f>
        <v/>
      </c>
      <c r="D931" s="12"/>
      <c r="E931" s="23"/>
      <c r="F931" s="24"/>
      <c r="G931" s="23"/>
      <c r="H931" s="21" t="str">
        <f aca="true">IF(E931="","",ROUND((E931-TODAY())/30.4,1))</f>
        <v/>
      </c>
      <c r="I931" s="17" t="str">
        <f aca="false">IF(E931="","",IF(H931&lt;0,IF(LEFT(A931,1)="Q","Périmé (en quarantaine)","PÉRIMÉ → déplacer en zone Q"),IF(H931&lt;3,"Péremption &lt; 3 mois",IF(H931&lt;6,"Péremption &lt; 6 mois",""))))</f>
        <v/>
      </c>
      <c r="J931" s="17" t="str">
        <f aca="false">IF(A931="","",IF(COUNTIF(Emplacements!$A$2:$A$1001,A931)=0,"⚠ emplacement inconnu","OK"))</f>
        <v/>
      </c>
      <c r="K931" s="22" t="str">
        <f aca="false">IF(AND(B931&lt;&gt;"",ISNUMBER(SEARCH(Recherche!$C$3,C931&amp;" "&amp;B931&amp;" "&amp;A931&amp;" "&amp;D931))),MAX($K$1:K930)+1,"")</f>
        <v/>
      </c>
    </row>
    <row r="932" customFormat="false" ht="15" hidden="false" customHeight="false" outlineLevel="0" collapsed="false">
      <c r="A932" s="12"/>
      <c r="B932" s="12"/>
      <c r="C932" s="17" t="str">
        <f aca="false">IF(B932="","",IFERROR(INDEX(Produits!$F$2:$F$1001,MATCH(B932,Produits!$A$2:$A$1001,0)),"⚠ code article inconnu"))</f>
        <v/>
      </c>
      <c r="D932" s="12"/>
      <c r="E932" s="23"/>
      <c r="F932" s="24"/>
      <c r="G932" s="23"/>
      <c r="H932" s="21" t="str">
        <f aca="true">IF(E932="","",ROUND((E932-TODAY())/30.4,1))</f>
        <v/>
      </c>
      <c r="I932" s="17" t="str">
        <f aca="false">IF(E932="","",IF(H932&lt;0,IF(LEFT(A932,1)="Q","Périmé (en quarantaine)","PÉRIMÉ → déplacer en zone Q"),IF(H932&lt;3,"Péremption &lt; 3 mois",IF(H932&lt;6,"Péremption &lt; 6 mois",""))))</f>
        <v/>
      </c>
      <c r="J932" s="17" t="str">
        <f aca="false">IF(A932="","",IF(COUNTIF(Emplacements!$A$2:$A$1001,A932)=0,"⚠ emplacement inconnu","OK"))</f>
        <v/>
      </c>
      <c r="K932" s="22" t="str">
        <f aca="false">IF(AND(B932&lt;&gt;"",ISNUMBER(SEARCH(Recherche!$C$3,C932&amp;" "&amp;B932&amp;" "&amp;A932&amp;" "&amp;D932))),MAX($K$1:K931)+1,"")</f>
        <v/>
      </c>
    </row>
    <row r="933" customFormat="false" ht="15" hidden="false" customHeight="false" outlineLevel="0" collapsed="false">
      <c r="A933" s="12"/>
      <c r="B933" s="12"/>
      <c r="C933" s="17" t="str">
        <f aca="false">IF(B933="","",IFERROR(INDEX(Produits!$F$2:$F$1001,MATCH(B933,Produits!$A$2:$A$1001,0)),"⚠ code article inconnu"))</f>
        <v/>
      </c>
      <c r="D933" s="12"/>
      <c r="E933" s="23"/>
      <c r="F933" s="24"/>
      <c r="G933" s="23"/>
      <c r="H933" s="21" t="str">
        <f aca="true">IF(E933="","",ROUND((E933-TODAY())/30.4,1))</f>
        <v/>
      </c>
      <c r="I933" s="17" t="str">
        <f aca="false">IF(E933="","",IF(H933&lt;0,IF(LEFT(A933,1)="Q","Périmé (en quarantaine)","PÉRIMÉ → déplacer en zone Q"),IF(H933&lt;3,"Péremption &lt; 3 mois",IF(H933&lt;6,"Péremption &lt; 6 mois",""))))</f>
        <v/>
      </c>
      <c r="J933" s="17" t="str">
        <f aca="false">IF(A933="","",IF(COUNTIF(Emplacements!$A$2:$A$1001,A933)=0,"⚠ emplacement inconnu","OK"))</f>
        <v/>
      </c>
      <c r="K933" s="22" t="str">
        <f aca="false">IF(AND(B933&lt;&gt;"",ISNUMBER(SEARCH(Recherche!$C$3,C933&amp;" "&amp;B933&amp;" "&amp;A933&amp;" "&amp;D933))),MAX($K$1:K932)+1,"")</f>
        <v/>
      </c>
    </row>
    <row r="934" customFormat="false" ht="15" hidden="false" customHeight="false" outlineLevel="0" collapsed="false">
      <c r="A934" s="12"/>
      <c r="B934" s="12"/>
      <c r="C934" s="17" t="str">
        <f aca="false">IF(B934="","",IFERROR(INDEX(Produits!$F$2:$F$1001,MATCH(B934,Produits!$A$2:$A$1001,0)),"⚠ code article inconnu"))</f>
        <v/>
      </c>
      <c r="D934" s="12"/>
      <c r="E934" s="23"/>
      <c r="F934" s="24"/>
      <c r="G934" s="23"/>
      <c r="H934" s="21" t="str">
        <f aca="true">IF(E934="","",ROUND((E934-TODAY())/30.4,1))</f>
        <v/>
      </c>
      <c r="I934" s="17" t="str">
        <f aca="false">IF(E934="","",IF(H934&lt;0,IF(LEFT(A934,1)="Q","Périmé (en quarantaine)","PÉRIMÉ → déplacer en zone Q"),IF(H934&lt;3,"Péremption &lt; 3 mois",IF(H934&lt;6,"Péremption &lt; 6 mois",""))))</f>
        <v/>
      </c>
      <c r="J934" s="17" t="str">
        <f aca="false">IF(A934="","",IF(COUNTIF(Emplacements!$A$2:$A$1001,A934)=0,"⚠ emplacement inconnu","OK"))</f>
        <v/>
      </c>
      <c r="K934" s="22" t="str">
        <f aca="false">IF(AND(B934&lt;&gt;"",ISNUMBER(SEARCH(Recherche!$C$3,C934&amp;" "&amp;B934&amp;" "&amp;A934&amp;" "&amp;D934))),MAX($K$1:K933)+1,"")</f>
        <v/>
      </c>
    </row>
    <row r="935" customFormat="false" ht="15" hidden="false" customHeight="false" outlineLevel="0" collapsed="false">
      <c r="A935" s="12"/>
      <c r="B935" s="12"/>
      <c r="C935" s="17" t="str">
        <f aca="false">IF(B935="","",IFERROR(INDEX(Produits!$F$2:$F$1001,MATCH(B935,Produits!$A$2:$A$1001,0)),"⚠ code article inconnu"))</f>
        <v/>
      </c>
      <c r="D935" s="12"/>
      <c r="E935" s="23"/>
      <c r="F935" s="24"/>
      <c r="G935" s="23"/>
      <c r="H935" s="21" t="str">
        <f aca="true">IF(E935="","",ROUND((E935-TODAY())/30.4,1))</f>
        <v/>
      </c>
      <c r="I935" s="17" t="str">
        <f aca="false">IF(E935="","",IF(H935&lt;0,IF(LEFT(A935,1)="Q","Périmé (en quarantaine)","PÉRIMÉ → déplacer en zone Q"),IF(H935&lt;3,"Péremption &lt; 3 mois",IF(H935&lt;6,"Péremption &lt; 6 mois",""))))</f>
        <v/>
      </c>
      <c r="J935" s="17" t="str">
        <f aca="false">IF(A935="","",IF(COUNTIF(Emplacements!$A$2:$A$1001,A935)=0,"⚠ emplacement inconnu","OK"))</f>
        <v/>
      </c>
      <c r="K935" s="22" t="str">
        <f aca="false">IF(AND(B935&lt;&gt;"",ISNUMBER(SEARCH(Recherche!$C$3,C935&amp;" "&amp;B935&amp;" "&amp;A935&amp;" "&amp;D935))),MAX($K$1:K934)+1,"")</f>
        <v/>
      </c>
    </row>
    <row r="936" customFormat="false" ht="15" hidden="false" customHeight="false" outlineLevel="0" collapsed="false">
      <c r="A936" s="12"/>
      <c r="B936" s="12"/>
      <c r="C936" s="17" t="str">
        <f aca="false">IF(B936="","",IFERROR(INDEX(Produits!$F$2:$F$1001,MATCH(B936,Produits!$A$2:$A$1001,0)),"⚠ code article inconnu"))</f>
        <v/>
      </c>
      <c r="D936" s="12"/>
      <c r="E936" s="23"/>
      <c r="F936" s="24"/>
      <c r="G936" s="23"/>
      <c r="H936" s="21" t="str">
        <f aca="true">IF(E936="","",ROUND((E936-TODAY())/30.4,1))</f>
        <v/>
      </c>
      <c r="I936" s="17" t="str">
        <f aca="false">IF(E936="","",IF(H936&lt;0,IF(LEFT(A936,1)="Q","Périmé (en quarantaine)","PÉRIMÉ → déplacer en zone Q"),IF(H936&lt;3,"Péremption &lt; 3 mois",IF(H936&lt;6,"Péremption &lt; 6 mois",""))))</f>
        <v/>
      </c>
      <c r="J936" s="17" t="str">
        <f aca="false">IF(A936="","",IF(COUNTIF(Emplacements!$A$2:$A$1001,A936)=0,"⚠ emplacement inconnu","OK"))</f>
        <v/>
      </c>
      <c r="K936" s="22" t="str">
        <f aca="false">IF(AND(B936&lt;&gt;"",ISNUMBER(SEARCH(Recherche!$C$3,C936&amp;" "&amp;B936&amp;" "&amp;A936&amp;" "&amp;D936))),MAX($K$1:K935)+1,"")</f>
        <v/>
      </c>
    </row>
    <row r="937" customFormat="false" ht="15" hidden="false" customHeight="false" outlineLevel="0" collapsed="false">
      <c r="A937" s="12"/>
      <c r="B937" s="12"/>
      <c r="C937" s="17" t="str">
        <f aca="false">IF(B937="","",IFERROR(INDEX(Produits!$F$2:$F$1001,MATCH(B937,Produits!$A$2:$A$1001,0)),"⚠ code article inconnu"))</f>
        <v/>
      </c>
      <c r="D937" s="12"/>
      <c r="E937" s="23"/>
      <c r="F937" s="24"/>
      <c r="G937" s="23"/>
      <c r="H937" s="21" t="str">
        <f aca="true">IF(E937="","",ROUND((E937-TODAY())/30.4,1))</f>
        <v/>
      </c>
      <c r="I937" s="17" t="str">
        <f aca="false">IF(E937="","",IF(H937&lt;0,IF(LEFT(A937,1)="Q","Périmé (en quarantaine)","PÉRIMÉ → déplacer en zone Q"),IF(H937&lt;3,"Péremption &lt; 3 mois",IF(H937&lt;6,"Péremption &lt; 6 mois",""))))</f>
        <v/>
      </c>
      <c r="J937" s="17" t="str">
        <f aca="false">IF(A937="","",IF(COUNTIF(Emplacements!$A$2:$A$1001,A937)=0,"⚠ emplacement inconnu","OK"))</f>
        <v/>
      </c>
      <c r="K937" s="22" t="str">
        <f aca="false">IF(AND(B937&lt;&gt;"",ISNUMBER(SEARCH(Recherche!$C$3,C937&amp;" "&amp;B937&amp;" "&amp;A937&amp;" "&amp;D937))),MAX($K$1:K936)+1,"")</f>
        <v/>
      </c>
    </row>
    <row r="938" customFormat="false" ht="15" hidden="false" customHeight="false" outlineLevel="0" collapsed="false">
      <c r="A938" s="12"/>
      <c r="B938" s="12"/>
      <c r="C938" s="17" t="str">
        <f aca="false">IF(B938="","",IFERROR(INDEX(Produits!$F$2:$F$1001,MATCH(B938,Produits!$A$2:$A$1001,0)),"⚠ code article inconnu"))</f>
        <v/>
      </c>
      <c r="D938" s="12"/>
      <c r="E938" s="23"/>
      <c r="F938" s="24"/>
      <c r="G938" s="23"/>
      <c r="H938" s="21" t="str">
        <f aca="true">IF(E938="","",ROUND((E938-TODAY())/30.4,1))</f>
        <v/>
      </c>
      <c r="I938" s="17" t="str">
        <f aca="false">IF(E938="","",IF(H938&lt;0,IF(LEFT(A938,1)="Q","Périmé (en quarantaine)","PÉRIMÉ → déplacer en zone Q"),IF(H938&lt;3,"Péremption &lt; 3 mois",IF(H938&lt;6,"Péremption &lt; 6 mois",""))))</f>
        <v/>
      </c>
      <c r="J938" s="17" t="str">
        <f aca="false">IF(A938="","",IF(COUNTIF(Emplacements!$A$2:$A$1001,A938)=0,"⚠ emplacement inconnu","OK"))</f>
        <v/>
      </c>
      <c r="K938" s="22" t="str">
        <f aca="false">IF(AND(B938&lt;&gt;"",ISNUMBER(SEARCH(Recherche!$C$3,C938&amp;" "&amp;B938&amp;" "&amp;A938&amp;" "&amp;D938))),MAX($K$1:K937)+1,"")</f>
        <v/>
      </c>
    </row>
    <row r="939" customFormat="false" ht="15" hidden="false" customHeight="false" outlineLevel="0" collapsed="false">
      <c r="A939" s="12"/>
      <c r="B939" s="12"/>
      <c r="C939" s="17" t="str">
        <f aca="false">IF(B939="","",IFERROR(INDEX(Produits!$F$2:$F$1001,MATCH(B939,Produits!$A$2:$A$1001,0)),"⚠ code article inconnu"))</f>
        <v/>
      </c>
      <c r="D939" s="12"/>
      <c r="E939" s="23"/>
      <c r="F939" s="24"/>
      <c r="G939" s="23"/>
      <c r="H939" s="21" t="str">
        <f aca="true">IF(E939="","",ROUND((E939-TODAY())/30.4,1))</f>
        <v/>
      </c>
      <c r="I939" s="17" t="str">
        <f aca="false">IF(E939="","",IF(H939&lt;0,IF(LEFT(A939,1)="Q","Périmé (en quarantaine)","PÉRIMÉ → déplacer en zone Q"),IF(H939&lt;3,"Péremption &lt; 3 mois",IF(H939&lt;6,"Péremption &lt; 6 mois",""))))</f>
        <v/>
      </c>
      <c r="J939" s="17" t="str">
        <f aca="false">IF(A939="","",IF(COUNTIF(Emplacements!$A$2:$A$1001,A939)=0,"⚠ emplacement inconnu","OK"))</f>
        <v/>
      </c>
      <c r="K939" s="22" t="str">
        <f aca="false">IF(AND(B939&lt;&gt;"",ISNUMBER(SEARCH(Recherche!$C$3,C939&amp;" "&amp;B939&amp;" "&amp;A939&amp;" "&amp;D939))),MAX($K$1:K938)+1,"")</f>
        <v/>
      </c>
    </row>
    <row r="940" customFormat="false" ht="15" hidden="false" customHeight="false" outlineLevel="0" collapsed="false">
      <c r="A940" s="12"/>
      <c r="B940" s="12"/>
      <c r="C940" s="17" t="str">
        <f aca="false">IF(B940="","",IFERROR(INDEX(Produits!$F$2:$F$1001,MATCH(B940,Produits!$A$2:$A$1001,0)),"⚠ code article inconnu"))</f>
        <v/>
      </c>
      <c r="D940" s="12"/>
      <c r="E940" s="23"/>
      <c r="F940" s="24"/>
      <c r="G940" s="23"/>
      <c r="H940" s="21" t="str">
        <f aca="true">IF(E940="","",ROUND((E940-TODAY())/30.4,1))</f>
        <v/>
      </c>
      <c r="I940" s="17" t="str">
        <f aca="false">IF(E940="","",IF(H940&lt;0,IF(LEFT(A940,1)="Q","Périmé (en quarantaine)","PÉRIMÉ → déplacer en zone Q"),IF(H940&lt;3,"Péremption &lt; 3 mois",IF(H940&lt;6,"Péremption &lt; 6 mois",""))))</f>
        <v/>
      </c>
      <c r="J940" s="17" t="str">
        <f aca="false">IF(A940="","",IF(COUNTIF(Emplacements!$A$2:$A$1001,A940)=0,"⚠ emplacement inconnu","OK"))</f>
        <v/>
      </c>
      <c r="K940" s="22" t="str">
        <f aca="false">IF(AND(B940&lt;&gt;"",ISNUMBER(SEARCH(Recherche!$C$3,C940&amp;" "&amp;B940&amp;" "&amp;A940&amp;" "&amp;D940))),MAX($K$1:K939)+1,"")</f>
        <v/>
      </c>
    </row>
    <row r="941" customFormat="false" ht="15" hidden="false" customHeight="false" outlineLevel="0" collapsed="false">
      <c r="A941" s="12"/>
      <c r="B941" s="12"/>
      <c r="C941" s="17" t="str">
        <f aca="false">IF(B941="","",IFERROR(INDEX(Produits!$F$2:$F$1001,MATCH(B941,Produits!$A$2:$A$1001,0)),"⚠ code article inconnu"))</f>
        <v/>
      </c>
      <c r="D941" s="12"/>
      <c r="E941" s="23"/>
      <c r="F941" s="24"/>
      <c r="G941" s="23"/>
      <c r="H941" s="21" t="str">
        <f aca="true">IF(E941="","",ROUND((E941-TODAY())/30.4,1))</f>
        <v/>
      </c>
      <c r="I941" s="17" t="str">
        <f aca="false">IF(E941="","",IF(H941&lt;0,IF(LEFT(A941,1)="Q","Périmé (en quarantaine)","PÉRIMÉ → déplacer en zone Q"),IF(H941&lt;3,"Péremption &lt; 3 mois",IF(H941&lt;6,"Péremption &lt; 6 mois",""))))</f>
        <v/>
      </c>
      <c r="J941" s="17" t="str">
        <f aca="false">IF(A941="","",IF(COUNTIF(Emplacements!$A$2:$A$1001,A941)=0,"⚠ emplacement inconnu","OK"))</f>
        <v/>
      </c>
      <c r="K941" s="22" t="str">
        <f aca="false">IF(AND(B941&lt;&gt;"",ISNUMBER(SEARCH(Recherche!$C$3,C941&amp;" "&amp;B941&amp;" "&amp;A941&amp;" "&amp;D941))),MAX($K$1:K940)+1,"")</f>
        <v/>
      </c>
    </row>
    <row r="942" customFormat="false" ht="15" hidden="false" customHeight="false" outlineLevel="0" collapsed="false">
      <c r="A942" s="12"/>
      <c r="B942" s="12"/>
      <c r="C942" s="17" t="str">
        <f aca="false">IF(B942="","",IFERROR(INDEX(Produits!$F$2:$F$1001,MATCH(B942,Produits!$A$2:$A$1001,0)),"⚠ code article inconnu"))</f>
        <v/>
      </c>
      <c r="D942" s="12"/>
      <c r="E942" s="23"/>
      <c r="F942" s="24"/>
      <c r="G942" s="23"/>
      <c r="H942" s="21" t="str">
        <f aca="true">IF(E942="","",ROUND((E942-TODAY())/30.4,1))</f>
        <v/>
      </c>
      <c r="I942" s="17" t="str">
        <f aca="false">IF(E942="","",IF(H942&lt;0,IF(LEFT(A942,1)="Q","Périmé (en quarantaine)","PÉRIMÉ → déplacer en zone Q"),IF(H942&lt;3,"Péremption &lt; 3 mois",IF(H942&lt;6,"Péremption &lt; 6 mois",""))))</f>
        <v/>
      </c>
      <c r="J942" s="17" t="str">
        <f aca="false">IF(A942="","",IF(COUNTIF(Emplacements!$A$2:$A$1001,A942)=0,"⚠ emplacement inconnu","OK"))</f>
        <v/>
      </c>
      <c r="K942" s="22" t="str">
        <f aca="false">IF(AND(B942&lt;&gt;"",ISNUMBER(SEARCH(Recherche!$C$3,C942&amp;" "&amp;B942&amp;" "&amp;A942&amp;" "&amp;D942))),MAX($K$1:K941)+1,"")</f>
        <v/>
      </c>
    </row>
    <row r="943" customFormat="false" ht="15" hidden="false" customHeight="false" outlineLevel="0" collapsed="false">
      <c r="A943" s="12"/>
      <c r="B943" s="12"/>
      <c r="C943" s="17" t="str">
        <f aca="false">IF(B943="","",IFERROR(INDEX(Produits!$F$2:$F$1001,MATCH(B943,Produits!$A$2:$A$1001,0)),"⚠ code article inconnu"))</f>
        <v/>
      </c>
      <c r="D943" s="12"/>
      <c r="E943" s="23"/>
      <c r="F943" s="24"/>
      <c r="G943" s="23"/>
      <c r="H943" s="21" t="str">
        <f aca="true">IF(E943="","",ROUND((E943-TODAY())/30.4,1))</f>
        <v/>
      </c>
      <c r="I943" s="17" t="str">
        <f aca="false">IF(E943="","",IF(H943&lt;0,IF(LEFT(A943,1)="Q","Périmé (en quarantaine)","PÉRIMÉ → déplacer en zone Q"),IF(H943&lt;3,"Péremption &lt; 3 mois",IF(H943&lt;6,"Péremption &lt; 6 mois",""))))</f>
        <v/>
      </c>
      <c r="J943" s="17" t="str">
        <f aca="false">IF(A943="","",IF(COUNTIF(Emplacements!$A$2:$A$1001,A943)=0,"⚠ emplacement inconnu","OK"))</f>
        <v/>
      </c>
      <c r="K943" s="22" t="str">
        <f aca="false">IF(AND(B943&lt;&gt;"",ISNUMBER(SEARCH(Recherche!$C$3,C943&amp;" "&amp;B943&amp;" "&amp;A943&amp;" "&amp;D943))),MAX($K$1:K942)+1,"")</f>
        <v/>
      </c>
    </row>
    <row r="944" customFormat="false" ht="15" hidden="false" customHeight="false" outlineLevel="0" collapsed="false">
      <c r="A944" s="12"/>
      <c r="B944" s="12"/>
      <c r="C944" s="17" t="str">
        <f aca="false">IF(B944="","",IFERROR(INDEX(Produits!$F$2:$F$1001,MATCH(B944,Produits!$A$2:$A$1001,0)),"⚠ code article inconnu"))</f>
        <v/>
      </c>
      <c r="D944" s="12"/>
      <c r="E944" s="23"/>
      <c r="F944" s="24"/>
      <c r="G944" s="23"/>
      <c r="H944" s="21" t="str">
        <f aca="true">IF(E944="","",ROUND((E944-TODAY())/30.4,1))</f>
        <v/>
      </c>
      <c r="I944" s="17" t="str">
        <f aca="false">IF(E944="","",IF(H944&lt;0,IF(LEFT(A944,1)="Q","Périmé (en quarantaine)","PÉRIMÉ → déplacer en zone Q"),IF(H944&lt;3,"Péremption &lt; 3 mois",IF(H944&lt;6,"Péremption &lt; 6 mois",""))))</f>
        <v/>
      </c>
      <c r="J944" s="17" t="str">
        <f aca="false">IF(A944="","",IF(COUNTIF(Emplacements!$A$2:$A$1001,A944)=0,"⚠ emplacement inconnu","OK"))</f>
        <v/>
      </c>
      <c r="K944" s="22" t="str">
        <f aca="false">IF(AND(B944&lt;&gt;"",ISNUMBER(SEARCH(Recherche!$C$3,C944&amp;" "&amp;B944&amp;" "&amp;A944&amp;" "&amp;D944))),MAX($K$1:K943)+1,"")</f>
        <v/>
      </c>
    </row>
    <row r="945" customFormat="false" ht="15" hidden="false" customHeight="false" outlineLevel="0" collapsed="false">
      <c r="A945" s="12"/>
      <c r="B945" s="12"/>
      <c r="C945" s="17" t="str">
        <f aca="false">IF(B945="","",IFERROR(INDEX(Produits!$F$2:$F$1001,MATCH(B945,Produits!$A$2:$A$1001,0)),"⚠ code article inconnu"))</f>
        <v/>
      </c>
      <c r="D945" s="12"/>
      <c r="E945" s="23"/>
      <c r="F945" s="24"/>
      <c r="G945" s="23"/>
      <c r="H945" s="21" t="str">
        <f aca="true">IF(E945="","",ROUND((E945-TODAY())/30.4,1))</f>
        <v/>
      </c>
      <c r="I945" s="17" t="str">
        <f aca="false">IF(E945="","",IF(H945&lt;0,IF(LEFT(A945,1)="Q","Périmé (en quarantaine)","PÉRIMÉ → déplacer en zone Q"),IF(H945&lt;3,"Péremption &lt; 3 mois",IF(H945&lt;6,"Péremption &lt; 6 mois",""))))</f>
        <v/>
      </c>
      <c r="J945" s="17" t="str">
        <f aca="false">IF(A945="","",IF(COUNTIF(Emplacements!$A$2:$A$1001,A945)=0,"⚠ emplacement inconnu","OK"))</f>
        <v/>
      </c>
      <c r="K945" s="22" t="str">
        <f aca="false">IF(AND(B945&lt;&gt;"",ISNUMBER(SEARCH(Recherche!$C$3,C945&amp;" "&amp;B945&amp;" "&amp;A945&amp;" "&amp;D945))),MAX($K$1:K944)+1,"")</f>
        <v/>
      </c>
    </row>
    <row r="946" customFormat="false" ht="15" hidden="false" customHeight="false" outlineLevel="0" collapsed="false">
      <c r="A946" s="12"/>
      <c r="B946" s="12"/>
      <c r="C946" s="17" t="str">
        <f aca="false">IF(B946="","",IFERROR(INDEX(Produits!$F$2:$F$1001,MATCH(B946,Produits!$A$2:$A$1001,0)),"⚠ code article inconnu"))</f>
        <v/>
      </c>
      <c r="D946" s="12"/>
      <c r="E946" s="23"/>
      <c r="F946" s="24"/>
      <c r="G946" s="23"/>
      <c r="H946" s="21" t="str">
        <f aca="true">IF(E946="","",ROUND((E946-TODAY())/30.4,1))</f>
        <v/>
      </c>
      <c r="I946" s="17" t="str">
        <f aca="false">IF(E946="","",IF(H946&lt;0,IF(LEFT(A946,1)="Q","Périmé (en quarantaine)","PÉRIMÉ → déplacer en zone Q"),IF(H946&lt;3,"Péremption &lt; 3 mois",IF(H946&lt;6,"Péremption &lt; 6 mois",""))))</f>
        <v/>
      </c>
      <c r="J946" s="17" t="str">
        <f aca="false">IF(A946="","",IF(COUNTIF(Emplacements!$A$2:$A$1001,A946)=0,"⚠ emplacement inconnu","OK"))</f>
        <v/>
      </c>
      <c r="K946" s="22" t="str">
        <f aca="false">IF(AND(B946&lt;&gt;"",ISNUMBER(SEARCH(Recherche!$C$3,C946&amp;" "&amp;B946&amp;" "&amp;A946&amp;" "&amp;D946))),MAX($K$1:K945)+1,"")</f>
        <v/>
      </c>
    </row>
    <row r="947" customFormat="false" ht="15" hidden="false" customHeight="false" outlineLevel="0" collapsed="false">
      <c r="A947" s="12"/>
      <c r="B947" s="12"/>
      <c r="C947" s="17" t="str">
        <f aca="false">IF(B947="","",IFERROR(INDEX(Produits!$F$2:$F$1001,MATCH(B947,Produits!$A$2:$A$1001,0)),"⚠ code article inconnu"))</f>
        <v/>
      </c>
      <c r="D947" s="12"/>
      <c r="E947" s="23"/>
      <c r="F947" s="24"/>
      <c r="G947" s="23"/>
      <c r="H947" s="21" t="str">
        <f aca="true">IF(E947="","",ROUND((E947-TODAY())/30.4,1))</f>
        <v/>
      </c>
      <c r="I947" s="17" t="str">
        <f aca="false">IF(E947="","",IF(H947&lt;0,IF(LEFT(A947,1)="Q","Périmé (en quarantaine)","PÉRIMÉ → déplacer en zone Q"),IF(H947&lt;3,"Péremption &lt; 3 mois",IF(H947&lt;6,"Péremption &lt; 6 mois",""))))</f>
        <v/>
      </c>
      <c r="J947" s="17" t="str">
        <f aca="false">IF(A947="","",IF(COUNTIF(Emplacements!$A$2:$A$1001,A947)=0,"⚠ emplacement inconnu","OK"))</f>
        <v/>
      </c>
      <c r="K947" s="22" t="str">
        <f aca="false">IF(AND(B947&lt;&gt;"",ISNUMBER(SEARCH(Recherche!$C$3,C947&amp;" "&amp;B947&amp;" "&amp;A947&amp;" "&amp;D947))),MAX($K$1:K946)+1,"")</f>
        <v/>
      </c>
    </row>
    <row r="948" customFormat="false" ht="15" hidden="false" customHeight="false" outlineLevel="0" collapsed="false">
      <c r="A948" s="12"/>
      <c r="B948" s="12"/>
      <c r="C948" s="17" t="str">
        <f aca="false">IF(B948="","",IFERROR(INDEX(Produits!$F$2:$F$1001,MATCH(B948,Produits!$A$2:$A$1001,0)),"⚠ code article inconnu"))</f>
        <v/>
      </c>
      <c r="D948" s="12"/>
      <c r="E948" s="23"/>
      <c r="F948" s="24"/>
      <c r="G948" s="23"/>
      <c r="H948" s="21" t="str">
        <f aca="true">IF(E948="","",ROUND((E948-TODAY())/30.4,1))</f>
        <v/>
      </c>
      <c r="I948" s="17" t="str">
        <f aca="false">IF(E948="","",IF(H948&lt;0,IF(LEFT(A948,1)="Q","Périmé (en quarantaine)","PÉRIMÉ → déplacer en zone Q"),IF(H948&lt;3,"Péremption &lt; 3 mois",IF(H948&lt;6,"Péremption &lt; 6 mois",""))))</f>
        <v/>
      </c>
      <c r="J948" s="17" t="str">
        <f aca="false">IF(A948="","",IF(COUNTIF(Emplacements!$A$2:$A$1001,A948)=0,"⚠ emplacement inconnu","OK"))</f>
        <v/>
      </c>
      <c r="K948" s="22" t="str">
        <f aca="false">IF(AND(B948&lt;&gt;"",ISNUMBER(SEARCH(Recherche!$C$3,C948&amp;" "&amp;B948&amp;" "&amp;A948&amp;" "&amp;D948))),MAX($K$1:K947)+1,"")</f>
        <v/>
      </c>
    </row>
    <row r="949" customFormat="false" ht="15" hidden="false" customHeight="false" outlineLevel="0" collapsed="false">
      <c r="A949" s="12"/>
      <c r="B949" s="12"/>
      <c r="C949" s="17" t="str">
        <f aca="false">IF(B949="","",IFERROR(INDEX(Produits!$F$2:$F$1001,MATCH(B949,Produits!$A$2:$A$1001,0)),"⚠ code article inconnu"))</f>
        <v/>
      </c>
      <c r="D949" s="12"/>
      <c r="E949" s="23"/>
      <c r="F949" s="24"/>
      <c r="G949" s="23"/>
      <c r="H949" s="21" t="str">
        <f aca="true">IF(E949="","",ROUND((E949-TODAY())/30.4,1))</f>
        <v/>
      </c>
      <c r="I949" s="17" t="str">
        <f aca="false">IF(E949="","",IF(H949&lt;0,IF(LEFT(A949,1)="Q","Périmé (en quarantaine)","PÉRIMÉ → déplacer en zone Q"),IF(H949&lt;3,"Péremption &lt; 3 mois",IF(H949&lt;6,"Péremption &lt; 6 mois",""))))</f>
        <v/>
      </c>
      <c r="J949" s="17" t="str">
        <f aca="false">IF(A949="","",IF(COUNTIF(Emplacements!$A$2:$A$1001,A949)=0,"⚠ emplacement inconnu","OK"))</f>
        <v/>
      </c>
      <c r="K949" s="22" t="str">
        <f aca="false">IF(AND(B949&lt;&gt;"",ISNUMBER(SEARCH(Recherche!$C$3,C949&amp;" "&amp;B949&amp;" "&amp;A949&amp;" "&amp;D949))),MAX($K$1:K948)+1,"")</f>
        <v/>
      </c>
    </row>
    <row r="950" customFormat="false" ht="15" hidden="false" customHeight="false" outlineLevel="0" collapsed="false">
      <c r="A950" s="12"/>
      <c r="B950" s="12"/>
      <c r="C950" s="17" t="str">
        <f aca="false">IF(B950="","",IFERROR(INDEX(Produits!$F$2:$F$1001,MATCH(B950,Produits!$A$2:$A$1001,0)),"⚠ code article inconnu"))</f>
        <v/>
      </c>
      <c r="D950" s="12"/>
      <c r="E950" s="23"/>
      <c r="F950" s="24"/>
      <c r="G950" s="23"/>
      <c r="H950" s="21" t="str">
        <f aca="true">IF(E950="","",ROUND((E950-TODAY())/30.4,1))</f>
        <v/>
      </c>
      <c r="I950" s="17" t="str">
        <f aca="false">IF(E950="","",IF(H950&lt;0,IF(LEFT(A950,1)="Q","Périmé (en quarantaine)","PÉRIMÉ → déplacer en zone Q"),IF(H950&lt;3,"Péremption &lt; 3 mois",IF(H950&lt;6,"Péremption &lt; 6 mois",""))))</f>
        <v/>
      </c>
      <c r="J950" s="17" t="str">
        <f aca="false">IF(A950="","",IF(COUNTIF(Emplacements!$A$2:$A$1001,A950)=0,"⚠ emplacement inconnu","OK"))</f>
        <v/>
      </c>
      <c r="K950" s="22" t="str">
        <f aca="false">IF(AND(B950&lt;&gt;"",ISNUMBER(SEARCH(Recherche!$C$3,C950&amp;" "&amp;B950&amp;" "&amp;A950&amp;" "&amp;D950))),MAX($K$1:K949)+1,"")</f>
        <v/>
      </c>
    </row>
    <row r="951" customFormat="false" ht="15" hidden="false" customHeight="false" outlineLevel="0" collapsed="false">
      <c r="A951" s="12"/>
      <c r="B951" s="12"/>
      <c r="C951" s="17" t="str">
        <f aca="false">IF(B951="","",IFERROR(INDEX(Produits!$F$2:$F$1001,MATCH(B951,Produits!$A$2:$A$1001,0)),"⚠ code article inconnu"))</f>
        <v/>
      </c>
      <c r="D951" s="12"/>
      <c r="E951" s="23"/>
      <c r="F951" s="24"/>
      <c r="G951" s="23"/>
      <c r="H951" s="21" t="str">
        <f aca="true">IF(E951="","",ROUND((E951-TODAY())/30.4,1))</f>
        <v/>
      </c>
      <c r="I951" s="17" t="str">
        <f aca="false">IF(E951="","",IF(H951&lt;0,IF(LEFT(A951,1)="Q","Périmé (en quarantaine)","PÉRIMÉ → déplacer en zone Q"),IF(H951&lt;3,"Péremption &lt; 3 mois",IF(H951&lt;6,"Péremption &lt; 6 mois",""))))</f>
        <v/>
      </c>
      <c r="J951" s="17" t="str">
        <f aca="false">IF(A951="","",IF(COUNTIF(Emplacements!$A$2:$A$1001,A951)=0,"⚠ emplacement inconnu","OK"))</f>
        <v/>
      </c>
      <c r="K951" s="22" t="str">
        <f aca="false">IF(AND(B951&lt;&gt;"",ISNUMBER(SEARCH(Recherche!$C$3,C951&amp;" "&amp;B951&amp;" "&amp;A951&amp;" "&amp;D951))),MAX($K$1:K950)+1,"")</f>
        <v/>
      </c>
    </row>
    <row r="952" customFormat="false" ht="15" hidden="false" customHeight="false" outlineLevel="0" collapsed="false">
      <c r="A952" s="12"/>
      <c r="B952" s="12"/>
      <c r="C952" s="17" t="str">
        <f aca="false">IF(B952="","",IFERROR(INDEX(Produits!$F$2:$F$1001,MATCH(B952,Produits!$A$2:$A$1001,0)),"⚠ code article inconnu"))</f>
        <v/>
      </c>
      <c r="D952" s="12"/>
      <c r="E952" s="23"/>
      <c r="F952" s="24"/>
      <c r="G952" s="23"/>
      <c r="H952" s="21" t="str">
        <f aca="true">IF(E952="","",ROUND((E952-TODAY())/30.4,1))</f>
        <v/>
      </c>
      <c r="I952" s="17" t="str">
        <f aca="false">IF(E952="","",IF(H952&lt;0,IF(LEFT(A952,1)="Q","Périmé (en quarantaine)","PÉRIMÉ → déplacer en zone Q"),IF(H952&lt;3,"Péremption &lt; 3 mois",IF(H952&lt;6,"Péremption &lt; 6 mois",""))))</f>
        <v/>
      </c>
      <c r="J952" s="17" t="str">
        <f aca="false">IF(A952="","",IF(COUNTIF(Emplacements!$A$2:$A$1001,A952)=0,"⚠ emplacement inconnu","OK"))</f>
        <v/>
      </c>
      <c r="K952" s="22" t="str">
        <f aca="false">IF(AND(B952&lt;&gt;"",ISNUMBER(SEARCH(Recherche!$C$3,C952&amp;" "&amp;B952&amp;" "&amp;A952&amp;" "&amp;D952))),MAX($K$1:K951)+1,"")</f>
        <v/>
      </c>
    </row>
    <row r="953" customFormat="false" ht="15" hidden="false" customHeight="false" outlineLevel="0" collapsed="false">
      <c r="A953" s="12"/>
      <c r="B953" s="12"/>
      <c r="C953" s="17" t="str">
        <f aca="false">IF(B953="","",IFERROR(INDEX(Produits!$F$2:$F$1001,MATCH(B953,Produits!$A$2:$A$1001,0)),"⚠ code article inconnu"))</f>
        <v/>
      </c>
      <c r="D953" s="12"/>
      <c r="E953" s="23"/>
      <c r="F953" s="24"/>
      <c r="G953" s="23"/>
      <c r="H953" s="21" t="str">
        <f aca="true">IF(E953="","",ROUND((E953-TODAY())/30.4,1))</f>
        <v/>
      </c>
      <c r="I953" s="17" t="str">
        <f aca="false">IF(E953="","",IF(H953&lt;0,IF(LEFT(A953,1)="Q","Périmé (en quarantaine)","PÉRIMÉ → déplacer en zone Q"),IF(H953&lt;3,"Péremption &lt; 3 mois",IF(H953&lt;6,"Péremption &lt; 6 mois",""))))</f>
        <v/>
      </c>
      <c r="J953" s="17" t="str">
        <f aca="false">IF(A953="","",IF(COUNTIF(Emplacements!$A$2:$A$1001,A953)=0,"⚠ emplacement inconnu","OK"))</f>
        <v/>
      </c>
      <c r="K953" s="22" t="str">
        <f aca="false">IF(AND(B953&lt;&gt;"",ISNUMBER(SEARCH(Recherche!$C$3,C953&amp;" "&amp;B953&amp;" "&amp;A953&amp;" "&amp;D953))),MAX($K$1:K952)+1,"")</f>
        <v/>
      </c>
    </row>
    <row r="954" customFormat="false" ht="15" hidden="false" customHeight="false" outlineLevel="0" collapsed="false">
      <c r="A954" s="12"/>
      <c r="B954" s="12"/>
      <c r="C954" s="17" t="str">
        <f aca="false">IF(B954="","",IFERROR(INDEX(Produits!$F$2:$F$1001,MATCH(B954,Produits!$A$2:$A$1001,0)),"⚠ code article inconnu"))</f>
        <v/>
      </c>
      <c r="D954" s="12"/>
      <c r="E954" s="23"/>
      <c r="F954" s="24"/>
      <c r="G954" s="23"/>
      <c r="H954" s="21" t="str">
        <f aca="true">IF(E954="","",ROUND((E954-TODAY())/30.4,1))</f>
        <v/>
      </c>
      <c r="I954" s="17" t="str">
        <f aca="false">IF(E954="","",IF(H954&lt;0,IF(LEFT(A954,1)="Q","Périmé (en quarantaine)","PÉRIMÉ → déplacer en zone Q"),IF(H954&lt;3,"Péremption &lt; 3 mois",IF(H954&lt;6,"Péremption &lt; 6 mois",""))))</f>
        <v/>
      </c>
      <c r="J954" s="17" t="str">
        <f aca="false">IF(A954="","",IF(COUNTIF(Emplacements!$A$2:$A$1001,A954)=0,"⚠ emplacement inconnu","OK"))</f>
        <v/>
      </c>
      <c r="K954" s="22" t="str">
        <f aca="false">IF(AND(B954&lt;&gt;"",ISNUMBER(SEARCH(Recherche!$C$3,C954&amp;" "&amp;B954&amp;" "&amp;A954&amp;" "&amp;D954))),MAX($K$1:K953)+1,"")</f>
        <v/>
      </c>
    </row>
    <row r="955" customFormat="false" ht="15" hidden="false" customHeight="false" outlineLevel="0" collapsed="false">
      <c r="A955" s="12"/>
      <c r="B955" s="12"/>
      <c r="C955" s="17" t="str">
        <f aca="false">IF(B955="","",IFERROR(INDEX(Produits!$F$2:$F$1001,MATCH(B955,Produits!$A$2:$A$1001,0)),"⚠ code article inconnu"))</f>
        <v/>
      </c>
      <c r="D955" s="12"/>
      <c r="E955" s="23"/>
      <c r="F955" s="24"/>
      <c r="G955" s="23"/>
      <c r="H955" s="21" t="str">
        <f aca="true">IF(E955="","",ROUND((E955-TODAY())/30.4,1))</f>
        <v/>
      </c>
      <c r="I955" s="17" t="str">
        <f aca="false">IF(E955="","",IF(H955&lt;0,IF(LEFT(A955,1)="Q","Périmé (en quarantaine)","PÉRIMÉ → déplacer en zone Q"),IF(H955&lt;3,"Péremption &lt; 3 mois",IF(H955&lt;6,"Péremption &lt; 6 mois",""))))</f>
        <v/>
      </c>
      <c r="J955" s="17" t="str">
        <f aca="false">IF(A955="","",IF(COUNTIF(Emplacements!$A$2:$A$1001,A955)=0,"⚠ emplacement inconnu","OK"))</f>
        <v/>
      </c>
      <c r="K955" s="22" t="str">
        <f aca="false">IF(AND(B955&lt;&gt;"",ISNUMBER(SEARCH(Recherche!$C$3,C955&amp;" "&amp;B955&amp;" "&amp;A955&amp;" "&amp;D955))),MAX($K$1:K954)+1,"")</f>
        <v/>
      </c>
    </row>
    <row r="956" customFormat="false" ht="15" hidden="false" customHeight="false" outlineLevel="0" collapsed="false">
      <c r="A956" s="12"/>
      <c r="B956" s="12"/>
      <c r="C956" s="17" t="str">
        <f aca="false">IF(B956="","",IFERROR(INDEX(Produits!$F$2:$F$1001,MATCH(B956,Produits!$A$2:$A$1001,0)),"⚠ code article inconnu"))</f>
        <v/>
      </c>
      <c r="D956" s="12"/>
      <c r="E956" s="23"/>
      <c r="F956" s="24"/>
      <c r="G956" s="23"/>
      <c r="H956" s="21" t="str">
        <f aca="true">IF(E956="","",ROUND((E956-TODAY())/30.4,1))</f>
        <v/>
      </c>
      <c r="I956" s="17" t="str">
        <f aca="false">IF(E956="","",IF(H956&lt;0,IF(LEFT(A956,1)="Q","Périmé (en quarantaine)","PÉRIMÉ → déplacer en zone Q"),IF(H956&lt;3,"Péremption &lt; 3 mois",IF(H956&lt;6,"Péremption &lt; 6 mois",""))))</f>
        <v/>
      </c>
      <c r="J956" s="17" t="str">
        <f aca="false">IF(A956="","",IF(COUNTIF(Emplacements!$A$2:$A$1001,A956)=0,"⚠ emplacement inconnu","OK"))</f>
        <v/>
      </c>
      <c r="K956" s="22" t="str">
        <f aca="false">IF(AND(B956&lt;&gt;"",ISNUMBER(SEARCH(Recherche!$C$3,C956&amp;" "&amp;B956&amp;" "&amp;A956&amp;" "&amp;D956))),MAX($K$1:K955)+1,"")</f>
        <v/>
      </c>
    </row>
    <row r="957" customFormat="false" ht="15" hidden="false" customHeight="false" outlineLevel="0" collapsed="false">
      <c r="A957" s="12"/>
      <c r="B957" s="12"/>
      <c r="C957" s="17" t="str">
        <f aca="false">IF(B957="","",IFERROR(INDEX(Produits!$F$2:$F$1001,MATCH(B957,Produits!$A$2:$A$1001,0)),"⚠ code article inconnu"))</f>
        <v/>
      </c>
      <c r="D957" s="12"/>
      <c r="E957" s="23"/>
      <c r="F957" s="24"/>
      <c r="G957" s="23"/>
      <c r="H957" s="21" t="str">
        <f aca="true">IF(E957="","",ROUND((E957-TODAY())/30.4,1))</f>
        <v/>
      </c>
      <c r="I957" s="17" t="str">
        <f aca="false">IF(E957="","",IF(H957&lt;0,IF(LEFT(A957,1)="Q","Périmé (en quarantaine)","PÉRIMÉ → déplacer en zone Q"),IF(H957&lt;3,"Péremption &lt; 3 mois",IF(H957&lt;6,"Péremption &lt; 6 mois",""))))</f>
        <v/>
      </c>
      <c r="J957" s="17" t="str">
        <f aca="false">IF(A957="","",IF(COUNTIF(Emplacements!$A$2:$A$1001,A957)=0,"⚠ emplacement inconnu","OK"))</f>
        <v/>
      </c>
      <c r="K957" s="22" t="str">
        <f aca="false">IF(AND(B957&lt;&gt;"",ISNUMBER(SEARCH(Recherche!$C$3,C957&amp;" "&amp;B957&amp;" "&amp;A957&amp;" "&amp;D957))),MAX($K$1:K956)+1,"")</f>
        <v/>
      </c>
    </row>
    <row r="958" customFormat="false" ht="15" hidden="false" customHeight="false" outlineLevel="0" collapsed="false">
      <c r="A958" s="12"/>
      <c r="B958" s="12"/>
      <c r="C958" s="17" t="str">
        <f aca="false">IF(B958="","",IFERROR(INDEX(Produits!$F$2:$F$1001,MATCH(B958,Produits!$A$2:$A$1001,0)),"⚠ code article inconnu"))</f>
        <v/>
      </c>
      <c r="D958" s="12"/>
      <c r="E958" s="23"/>
      <c r="F958" s="24"/>
      <c r="G958" s="23"/>
      <c r="H958" s="21" t="str">
        <f aca="true">IF(E958="","",ROUND((E958-TODAY())/30.4,1))</f>
        <v/>
      </c>
      <c r="I958" s="17" t="str">
        <f aca="false">IF(E958="","",IF(H958&lt;0,IF(LEFT(A958,1)="Q","Périmé (en quarantaine)","PÉRIMÉ → déplacer en zone Q"),IF(H958&lt;3,"Péremption &lt; 3 mois",IF(H958&lt;6,"Péremption &lt; 6 mois",""))))</f>
        <v/>
      </c>
      <c r="J958" s="17" t="str">
        <f aca="false">IF(A958="","",IF(COUNTIF(Emplacements!$A$2:$A$1001,A958)=0,"⚠ emplacement inconnu","OK"))</f>
        <v/>
      </c>
      <c r="K958" s="22" t="str">
        <f aca="false">IF(AND(B958&lt;&gt;"",ISNUMBER(SEARCH(Recherche!$C$3,C958&amp;" "&amp;B958&amp;" "&amp;A958&amp;" "&amp;D958))),MAX($K$1:K957)+1,"")</f>
        <v/>
      </c>
    </row>
    <row r="959" customFormat="false" ht="15" hidden="false" customHeight="false" outlineLevel="0" collapsed="false">
      <c r="A959" s="12"/>
      <c r="B959" s="12"/>
      <c r="C959" s="17" t="str">
        <f aca="false">IF(B959="","",IFERROR(INDEX(Produits!$F$2:$F$1001,MATCH(B959,Produits!$A$2:$A$1001,0)),"⚠ code article inconnu"))</f>
        <v/>
      </c>
      <c r="D959" s="12"/>
      <c r="E959" s="23"/>
      <c r="F959" s="24"/>
      <c r="G959" s="23"/>
      <c r="H959" s="21" t="str">
        <f aca="true">IF(E959="","",ROUND((E959-TODAY())/30.4,1))</f>
        <v/>
      </c>
      <c r="I959" s="17" t="str">
        <f aca="false">IF(E959="","",IF(H959&lt;0,IF(LEFT(A959,1)="Q","Périmé (en quarantaine)","PÉRIMÉ → déplacer en zone Q"),IF(H959&lt;3,"Péremption &lt; 3 mois",IF(H959&lt;6,"Péremption &lt; 6 mois",""))))</f>
        <v/>
      </c>
      <c r="J959" s="17" t="str">
        <f aca="false">IF(A959="","",IF(COUNTIF(Emplacements!$A$2:$A$1001,A959)=0,"⚠ emplacement inconnu","OK"))</f>
        <v/>
      </c>
      <c r="K959" s="22" t="str">
        <f aca="false">IF(AND(B959&lt;&gt;"",ISNUMBER(SEARCH(Recherche!$C$3,C959&amp;" "&amp;B959&amp;" "&amp;A959&amp;" "&amp;D959))),MAX($K$1:K958)+1,"")</f>
        <v/>
      </c>
    </row>
    <row r="960" customFormat="false" ht="15" hidden="false" customHeight="false" outlineLevel="0" collapsed="false">
      <c r="A960" s="12"/>
      <c r="B960" s="12"/>
      <c r="C960" s="17" t="str">
        <f aca="false">IF(B960="","",IFERROR(INDEX(Produits!$F$2:$F$1001,MATCH(B960,Produits!$A$2:$A$1001,0)),"⚠ code article inconnu"))</f>
        <v/>
      </c>
      <c r="D960" s="12"/>
      <c r="E960" s="23"/>
      <c r="F960" s="24"/>
      <c r="G960" s="23"/>
      <c r="H960" s="21" t="str">
        <f aca="true">IF(E960="","",ROUND((E960-TODAY())/30.4,1))</f>
        <v/>
      </c>
      <c r="I960" s="17" t="str">
        <f aca="false">IF(E960="","",IF(H960&lt;0,IF(LEFT(A960,1)="Q","Périmé (en quarantaine)","PÉRIMÉ → déplacer en zone Q"),IF(H960&lt;3,"Péremption &lt; 3 mois",IF(H960&lt;6,"Péremption &lt; 6 mois",""))))</f>
        <v/>
      </c>
      <c r="J960" s="17" t="str">
        <f aca="false">IF(A960="","",IF(COUNTIF(Emplacements!$A$2:$A$1001,A960)=0,"⚠ emplacement inconnu","OK"))</f>
        <v/>
      </c>
      <c r="K960" s="22" t="str">
        <f aca="false">IF(AND(B960&lt;&gt;"",ISNUMBER(SEARCH(Recherche!$C$3,C960&amp;" "&amp;B960&amp;" "&amp;A960&amp;" "&amp;D960))),MAX($K$1:K959)+1,"")</f>
        <v/>
      </c>
    </row>
    <row r="961" customFormat="false" ht="15" hidden="false" customHeight="false" outlineLevel="0" collapsed="false">
      <c r="A961" s="12"/>
      <c r="B961" s="12"/>
      <c r="C961" s="17" t="str">
        <f aca="false">IF(B961="","",IFERROR(INDEX(Produits!$F$2:$F$1001,MATCH(B961,Produits!$A$2:$A$1001,0)),"⚠ code article inconnu"))</f>
        <v/>
      </c>
      <c r="D961" s="12"/>
      <c r="E961" s="23"/>
      <c r="F961" s="24"/>
      <c r="G961" s="23"/>
      <c r="H961" s="21" t="str">
        <f aca="true">IF(E961="","",ROUND((E961-TODAY())/30.4,1))</f>
        <v/>
      </c>
      <c r="I961" s="17" t="str">
        <f aca="false">IF(E961="","",IF(H961&lt;0,IF(LEFT(A961,1)="Q","Périmé (en quarantaine)","PÉRIMÉ → déplacer en zone Q"),IF(H961&lt;3,"Péremption &lt; 3 mois",IF(H961&lt;6,"Péremption &lt; 6 mois",""))))</f>
        <v/>
      </c>
      <c r="J961" s="17" t="str">
        <f aca="false">IF(A961="","",IF(COUNTIF(Emplacements!$A$2:$A$1001,A961)=0,"⚠ emplacement inconnu","OK"))</f>
        <v/>
      </c>
      <c r="K961" s="22" t="str">
        <f aca="false">IF(AND(B961&lt;&gt;"",ISNUMBER(SEARCH(Recherche!$C$3,C961&amp;" "&amp;B961&amp;" "&amp;A961&amp;" "&amp;D961))),MAX($K$1:K960)+1,"")</f>
        <v/>
      </c>
    </row>
    <row r="962" customFormat="false" ht="15" hidden="false" customHeight="false" outlineLevel="0" collapsed="false">
      <c r="A962" s="12"/>
      <c r="B962" s="12"/>
      <c r="C962" s="17" t="str">
        <f aca="false">IF(B962="","",IFERROR(INDEX(Produits!$F$2:$F$1001,MATCH(B962,Produits!$A$2:$A$1001,0)),"⚠ code article inconnu"))</f>
        <v/>
      </c>
      <c r="D962" s="12"/>
      <c r="E962" s="23"/>
      <c r="F962" s="24"/>
      <c r="G962" s="23"/>
      <c r="H962" s="21" t="str">
        <f aca="true">IF(E962="","",ROUND((E962-TODAY())/30.4,1))</f>
        <v/>
      </c>
      <c r="I962" s="17" t="str">
        <f aca="false">IF(E962="","",IF(H962&lt;0,IF(LEFT(A962,1)="Q","Périmé (en quarantaine)","PÉRIMÉ → déplacer en zone Q"),IF(H962&lt;3,"Péremption &lt; 3 mois",IF(H962&lt;6,"Péremption &lt; 6 mois",""))))</f>
        <v/>
      </c>
      <c r="J962" s="17" t="str">
        <f aca="false">IF(A962="","",IF(COUNTIF(Emplacements!$A$2:$A$1001,A962)=0,"⚠ emplacement inconnu","OK"))</f>
        <v/>
      </c>
      <c r="K962" s="22" t="str">
        <f aca="false">IF(AND(B962&lt;&gt;"",ISNUMBER(SEARCH(Recherche!$C$3,C962&amp;" "&amp;B962&amp;" "&amp;A962&amp;" "&amp;D962))),MAX($K$1:K961)+1,"")</f>
        <v/>
      </c>
    </row>
    <row r="963" customFormat="false" ht="15" hidden="false" customHeight="false" outlineLevel="0" collapsed="false">
      <c r="A963" s="12"/>
      <c r="B963" s="12"/>
      <c r="C963" s="17" t="str">
        <f aca="false">IF(B963="","",IFERROR(INDEX(Produits!$F$2:$F$1001,MATCH(B963,Produits!$A$2:$A$1001,0)),"⚠ code article inconnu"))</f>
        <v/>
      </c>
      <c r="D963" s="12"/>
      <c r="E963" s="23"/>
      <c r="F963" s="24"/>
      <c r="G963" s="23"/>
      <c r="H963" s="21" t="str">
        <f aca="true">IF(E963="","",ROUND((E963-TODAY())/30.4,1))</f>
        <v/>
      </c>
      <c r="I963" s="17" t="str">
        <f aca="false">IF(E963="","",IF(H963&lt;0,IF(LEFT(A963,1)="Q","Périmé (en quarantaine)","PÉRIMÉ → déplacer en zone Q"),IF(H963&lt;3,"Péremption &lt; 3 mois",IF(H963&lt;6,"Péremption &lt; 6 mois",""))))</f>
        <v/>
      </c>
      <c r="J963" s="17" t="str">
        <f aca="false">IF(A963="","",IF(COUNTIF(Emplacements!$A$2:$A$1001,A963)=0,"⚠ emplacement inconnu","OK"))</f>
        <v/>
      </c>
      <c r="K963" s="22" t="str">
        <f aca="false">IF(AND(B963&lt;&gt;"",ISNUMBER(SEARCH(Recherche!$C$3,C963&amp;" "&amp;B963&amp;" "&amp;A963&amp;" "&amp;D963))),MAX($K$1:K962)+1,"")</f>
        <v/>
      </c>
    </row>
    <row r="964" customFormat="false" ht="15" hidden="false" customHeight="false" outlineLevel="0" collapsed="false">
      <c r="A964" s="12"/>
      <c r="B964" s="12"/>
      <c r="C964" s="17" t="str">
        <f aca="false">IF(B964="","",IFERROR(INDEX(Produits!$F$2:$F$1001,MATCH(B964,Produits!$A$2:$A$1001,0)),"⚠ code article inconnu"))</f>
        <v/>
      </c>
      <c r="D964" s="12"/>
      <c r="E964" s="23"/>
      <c r="F964" s="24"/>
      <c r="G964" s="23"/>
      <c r="H964" s="21" t="str">
        <f aca="true">IF(E964="","",ROUND((E964-TODAY())/30.4,1))</f>
        <v/>
      </c>
      <c r="I964" s="17" t="str">
        <f aca="false">IF(E964="","",IF(H964&lt;0,IF(LEFT(A964,1)="Q","Périmé (en quarantaine)","PÉRIMÉ → déplacer en zone Q"),IF(H964&lt;3,"Péremption &lt; 3 mois",IF(H964&lt;6,"Péremption &lt; 6 mois",""))))</f>
        <v/>
      </c>
      <c r="J964" s="17" t="str">
        <f aca="false">IF(A964="","",IF(COUNTIF(Emplacements!$A$2:$A$1001,A964)=0,"⚠ emplacement inconnu","OK"))</f>
        <v/>
      </c>
      <c r="K964" s="22" t="str">
        <f aca="false">IF(AND(B964&lt;&gt;"",ISNUMBER(SEARCH(Recherche!$C$3,C964&amp;" "&amp;B964&amp;" "&amp;A964&amp;" "&amp;D964))),MAX($K$1:K963)+1,"")</f>
        <v/>
      </c>
    </row>
    <row r="965" customFormat="false" ht="15" hidden="false" customHeight="false" outlineLevel="0" collapsed="false">
      <c r="A965" s="12"/>
      <c r="B965" s="12"/>
      <c r="C965" s="17" t="str">
        <f aca="false">IF(B965="","",IFERROR(INDEX(Produits!$F$2:$F$1001,MATCH(B965,Produits!$A$2:$A$1001,0)),"⚠ code article inconnu"))</f>
        <v/>
      </c>
      <c r="D965" s="12"/>
      <c r="E965" s="23"/>
      <c r="F965" s="24"/>
      <c r="G965" s="23"/>
      <c r="H965" s="21" t="str">
        <f aca="true">IF(E965="","",ROUND((E965-TODAY())/30.4,1))</f>
        <v/>
      </c>
      <c r="I965" s="17" t="str">
        <f aca="false">IF(E965="","",IF(H965&lt;0,IF(LEFT(A965,1)="Q","Périmé (en quarantaine)","PÉRIMÉ → déplacer en zone Q"),IF(H965&lt;3,"Péremption &lt; 3 mois",IF(H965&lt;6,"Péremption &lt; 6 mois",""))))</f>
        <v/>
      </c>
      <c r="J965" s="17" t="str">
        <f aca="false">IF(A965="","",IF(COUNTIF(Emplacements!$A$2:$A$1001,A965)=0,"⚠ emplacement inconnu","OK"))</f>
        <v/>
      </c>
      <c r="K965" s="22" t="str">
        <f aca="false">IF(AND(B965&lt;&gt;"",ISNUMBER(SEARCH(Recherche!$C$3,C965&amp;" "&amp;B965&amp;" "&amp;A965&amp;" "&amp;D965))),MAX($K$1:K964)+1,"")</f>
        <v/>
      </c>
    </row>
    <row r="966" customFormat="false" ht="15" hidden="false" customHeight="false" outlineLevel="0" collapsed="false">
      <c r="A966" s="12"/>
      <c r="B966" s="12"/>
      <c r="C966" s="17" t="str">
        <f aca="false">IF(B966="","",IFERROR(INDEX(Produits!$F$2:$F$1001,MATCH(B966,Produits!$A$2:$A$1001,0)),"⚠ code article inconnu"))</f>
        <v/>
      </c>
      <c r="D966" s="12"/>
      <c r="E966" s="23"/>
      <c r="F966" s="24"/>
      <c r="G966" s="23"/>
      <c r="H966" s="21" t="str">
        <f aca="true">IF(E966="","",ROUND((E966-TODAY())/30.4,1))</f>
        <v/>
      </c>
      <c r="I966" s="17" t="str">
        <f aca="false">IF(E966="","",IF(H966&lt;0,IF(LEFT(A966,1)="Q","Périmé (en quarantaine)","PÉRIMÉ → déplacer en zone Q"),IF(H966&lt;3,"Péremption &lt; 3 mois",IF(H966&lt;6,"Péremption &lt; 6 mois",""))))</f>
        <v/>
      </c>
      <c r="J966" s="17" t="str">
        <f aca="false">IF(A966="","",IF(COUNTIF(Emplacements!$A$2:$A$1001,A966)=0,"⚠ emplacement inconnu","OK"))</f>
        <v/>
      </c>
      <c r="K966" s="22" t="str">
        <f aca="false">IF(AND(B966&lt;&gt;"",ISNUMBER(SEARCH(Recherche!$C$3,C966&amp;" "&amp;B966&amp;" "&amp;A966&amp;" "&amp;D966))),MAX($K$1:K965)+1,"")</f>
        <v/>
      </c>
    </row>
    <row r="967" customFormat="false" ht="15" hidden="false" customHeight="false" outlineLevel="0" collapsed="false">
      <c r="A967" s="12"/>
      <c r="B967" s="12"/>
      <c r="C967" s="17" t="str">
        <f aca="false">IF(B967="","",IFERROR(INDEX(Produits!$F$2:$F$1001,MATCH(B967,Produits!$A$2:$A$1001,0)),"⚠ code article inconnu"))</f>
        <v/>
      </c>
      <c r="D967" s="12"/>
      <c r="E967" s="23"/>
      <c r="F967" s="24"/>
      <c r="G967" s="23"/>
      <c r="H967" s="21" t="str">
        <f aca="true">IF(E967="","",ROUND((E967-TODAY())/30.4,1))</f>
        <v/>
      </c>
      <c r="I967" s="17" t="str">
        <f aca="false">IF(E967="","",IF(H967&lt;0,IF(LEFT(A967,1)="Q","Périmé (en quarantaine)","PÉRIMÉ → déplacer en zone Q"),IF(H967&lt;3,"Péremption &lt; 3 mois",IF(H967&lt;6,"Péremption &lt; 6 mois",""))))</f>
        <v/>
      </c>
      <c r="J967" s="17" t="str">
        <f aca="false">IF(A967="","",IF(COUNTIF(Emplacements!$A$2:$A$1001,A967)=0,"⚠ emplacement inconnu","OK"))</f>
        <v/>
      </c>
      <c r="K967" s="22" t="str">
        <f aca="false">IF(AND(B967&lt;&gt;"",ISNUMBER(SEARCH(Recherche!$C$3,C967&amp;" "&amp;B967&amp;" "&amp;A967&amp;" "&amp;D967))),MAX($K$1:K966)+1,"")</f>
        <v/>
      </c>
    </row>
    <row r="968" customFormat="false" ht="15" hidden="false" customHeight="false" outlineLevel="0" collapsed="false">
      <c r="A968" s="12"/>
      <c r="B968" s="12"/>
      <c r="C968" s="17" t="str">
        <f aca="false">IF(B968="","",IFERROR(INDEX(Produits!$F$2:$F$1001,MATCH(B968,Produits!$A$2:$A$1001,0)),"⚠ code article inconnu"))</f>
        <v/>
      </c>
      <c r="D968" s="12"/>
      <c r="E968" s="23"/>
      <c r="F968" s="24"/>
      <c r="G968" s="23"/>
      <c r="H968" s="21" t="str">
        <f aca="true">IF(E968="","",ROUND((E968-TODAY())/30.4,1))</f>
        <v/>
      </c>
      <c r="I968" s="17" t="str">
        <f aca="false">IF(E968="","",IF(H968&lt;0,IF(LEFT(A968,1)="Q","Périmé (en quarantaine)","PÉRIMÉ → déplacer en zone Q"),IF(H968&lt;3,"Péremption &lt; 3 mois",IF(H968&lt;6,"Péremption &lt; 6 mois",""))))</f>
        <v/>
      </c>
      <c r="J968" s="17" t="str">
        <f aca="false">IF(A968="","",IF(COUNTIF(Emplacements!$A$2:$A$1001,A968)=0,"⚠ emplacement inconnu","OK"))</f>
        <v/>
      </c>
      <c r="K968" s="22" t="str">
        <f aca="false">IF(AND(B968&lt;&gt;"",ISNUMBER(SEARCH(Recherche!$C$3,C968&amp;" "&amp;B968&amp;" "&amp;A968&amp;" "&amp;D968))),MAX($K$1:K967)+1,"")</f>
        <v/>
      </c>
    </row>
    <row r="969" customFormat="false" ht="15" hidden="false" customHeight="false" outlineLevel="0" collapsed="false">
      <c r="A969" s="12"/>
      <c r="B969" s="12"/>
      <c r="C969" s="17" t="str">
        <f aca="false">IF(B969="","",IFERROR(INDEX(Produits!$F$2:$F$1001,MATCH(B969,Produits!$A$2:$A$1001,0)),"⚠ code article inconnu"))</f>
        <v/>
      </c>
      <c r="D969" s="12"/>
      <c r="E969" s="23"/>
      <c r="F969" s="24"/>
      <c r="G969" s="23"/>
      <c r="H969" s="21" t="str">
        <f aca="true">IF(E969="","",ROUND((E969-TODAY())/30.4,1))</f>
        <v/>
      </c>
      <c r="I969" s="17" t="str">
        <f aca="false">IF(E969="","",IF(H969&lt;0,IF(LEFT(A969,1)="Q","Périmé (en quarantaine)","PÉRIMÉ → déplacer en zone Q"),IF(H969&lt;3,"Péremption &lt; 3 mois",IF(H969&lt;6,"Péremption &lt; 6 mois",""))))</f>
        <v/>
      </c>
      <c r="J969" s="17" t="str">
        <f aca="false">IF(A969="","",IF(COUNTIF(Emplacements!$A$2:$A$1001,A969)=0,"⚠ emplacement inconnu","OK"))</f>
        <v/>
      </c>
      <c r="K969" s="22" t="str">
        <f aca="false">IF(AND(B969&lt;&gt;"",ISNUMBER(SEARCH(Recherche!$C$3,C969&amp;" "&amp;B969&amp;" "&amp;A969&amp;" "&amp;D969))),MAX($K$1:K968)+1,"")</f>
        <v/>
      </c>
    </row>
    <row r="970" customFormat="false" ht="15" hidden="false" customHeight="false" outlineLevel="0" collapsed="false">
      <c r="A970" s="12"/>
      <c r="B970" s="12"/>
      <c r="C970" s="17" t="str">
        <f aca="false">IF(B970="","",IFERROR(INDEX(Produits!$F$2:$F$1001,MATCH(B970,Produits!$A$2:$A$1001,0)),"⚠ code article inconnu"))</f>
        <v/>
      </c>
      <c r="D970" s="12"/>
      <c r="E970" s="23"/>
      <c r="F970" s="24"/>
      <c r="G970" s="23"/>
      <c r="H970" s="21" t="str">
        <f aca="true">IF(E970="","",ROUND((E970-TODAY())/30.4,1))</f>
        <v/>
      </c>
      <c r="I970" s="17" t="str">
        <f aca="false">IF(E970="","",IF(H970&lt;0,IF(LEFT(A970,1)="Q","Périmé (en quarantaine)","PÉRIMÉ → déplacer en zone Q"),IF(H970&lt;3,"Péremption &lt; 3 mois",IF(H970&lt;6,"Péremption &lt; 6 mois",""))))</f>
        <v/>
      </c>
      <c r="J970" s="17" t="str">
        <f aca="false">IF(A970="","",IF(COUNTIF(Emplacements!$A$2:$A$1001,A970)=0,"⚠ emplacement inconnu","OK"))</f>
        <v/>
      </c>
      <c r="K970" s="22" t="str">
        <f aca="false">IF(AND(B970&lt;&gt;"",ISNUMBER(SEARCH(Recherche!$C$3,C970&amp;" "&amp;B970&amp;" "&amp;A970&amp;" "&amp;D970))),MAX($K$1:K969)+1,"")</f>
        <v/>
      </c>
    </row>
    <row r="971" customFormat="false" ht="15" hidden="false" customHeight="false" outlineLevel="0" collapsed="false">
      <c r="A971" s="12"/>
      <c r="B971" s="12"/>
      <c r="C971" s="17" t="str">
        <f aca="false">IF(B971="","",IFERROR(INDEX(Produits!$F$2:$F$1001,MATCH(B971,Produits!$A$2:$A$1001,0)),"⚠ code article inconnu"))</f>
        <v/>
      </c>
      <c r="D971" s="12"/>
      <c r="E971" s="23"/>
      <c r="F971" s="24"/>
      <c r="G971" s="23"/>
      <c r="H971" s="21" t="str">
        <f aca="true">IF(E971="","",ROUND((E971-TODAY())/30.4,1))</f>
        <v/>
      </c>
      <c r="I971" s="17" t="str">
        <f aca="false">IF(E971="","",IF(H971&lt;0,IF(LEFT(A971,1)="Q","Périmé (en quarantaine)","PÉRIMÉ → déplacer en zone Q"),IF(H971&lt;3,"Péremption &lt; 3 mois",IF(H971&lt;6,"Péremption &lt; 6 mois",""))))</f>
        <v/>
      </c>
      <c r="J971" s="17" t="str">
        <f aca="false">IF(A971="","",IF(COUNTIF(Emplacements!$A$2:$A$1001,A971)=0,"⚠ emplacement inconnu","OK"))</f>
        <v/>
      </c>
      <c r="K971" s="22" t="str">
        <f aca="false">IF(AND(B971&lt;&gt;"",ISNUMBER(SEARCH(Recherche!$C$3,C971&amp;" "&amp;B971&amp;" "&amp;A971&amp;" "&amp;D971))),MAX($K$1:K970)+1,"")</f>
        <v/>
      </c>
    </row>
    <row r="972" customFormat="false" ht="15" hidden="false" customHeight="false" outlineLevel="0" collapsed="false">
      <c r="A972" s="12"/>
      <c r="B972" s="12"/>
      <c r="C972" s="17" t="str">
        <f aca="false">IF(B972="","",IFERROR(INDEX(Produits!$F$2:$F$1001,MATCH(B972,Produits!$A$2:$A$1001,0)),"⚠ code article inconnu"))</f>
        <v/>
      </c>
      <c r="D972" s="12"/>
      <c r="E972" s="23"/>
      <c r="F972" s="24"/>
      <c r="G972" s="23"/>
      <c r="H972" s="21" t="str">
        <f aca="true">IF(E972="","",ROUND((E972-TODAY())/30.4,1))</f>
        <v/>
      </c>
      <c r="I972" s="17" t="str">
        <f aca="false">IF(E972="","",IF(H972&lt;0,IF(LEFT(A972,1)="Q","Périmé (en quarantaine)","PÉRIMÉ → déplacer en zone Q"),IF(H972&lt;3,"Péremption &lt; 3 mois",IF(H972&lt;6,"Péremption &lt; 6 mois",""))))</f>
        <v/>
      </c>
      <c r="J972" s="17" t="str">
        <f aca="false">IF(A972="","",IF(COUNTIF(Emplacements!$A$2:$A$1001,A972)=0,"⚠ emplacement inconnu","OK"))</f>
        <v/>
      </c>
      <c r="K972" s="22" t="str">
        <f aca="false">IF(AND(B972&lt;&gt;"",ISNUMBER(SEARCH(Recherche!$C$3,C972&amp;" "&amp;B972&amp;" "&amp;A972&amp;" "&amp;D972))),MAX($K$1:K971)+1,"")</f>
        <v/>
      </c>
    </row>
    <row r="973" customFormat="false" ht="15" hidden="false" customHeight="false" outlineLevel="0" collapsed="false">
      <c r="A973" s="12"/>
      <c r="B973" s="12"/>
      <c r="C973" s="17" t="str">
        <f aca="false">IF(B973="","",IFERROR(INDEX(Produits!$F$2:$F$1001,MATCH(B973,Produits!$A$2:$A$1001,0)),"⚠ code article inconnu"))</f>
        <v/>
      </c>
      <c r="D973" s="12"/>
      <c r="E973" s="23"/>
      <c r="F973" s="24"/>
      <c r="G973" s="23"/>
      <c r="H973" s="21" t="str">
        <f aca="true">IF(E973="","",ROUND((E973-TODAY())/30.4,1))</f>
        <v/>
      </c>
      <c r="I973" s="17" t="str">
        <f aca="false">IF(E973="","",IF(H973&lt;0,IF(LEFT(A973,1)="Q","Périmé (en quarantaine)","PÉRIMÉ → déplacer en zone Q"),IF(H973&lt;3,"Péremption &lt; 3 mois",IF(H973&lt;6,"Péremption &lt; 6 mois",""))))</f>
        <v/>
      </c>
      <c r="J973" s="17" t="str">
        <f aca="false">IF(A973="","",IF(COUNTIF(Emplacements!$A$2:$A$1001,A973)=0,"⚠ emplacement inconnu","OK"))</f>
        <v/>
      </c>
      <c r="K973" s="22" t="str">
        <f aca="false">IF(AND(B973&lt;&gt;"",ISNUMBER(SEARCH(Recherche!$C$3,C973&amp;" "&amp;B973&amp;" "&amp;A973&amp;" "&amp;D973))),MAX($K$1:K972)+1,"")</f>
        <v/>
      </c>
    </row>
    <row r="974" customFormat="false" ht="15" hidden="false" customHeight="false" outlineLevel="0" collapsed="false">
      <c r="A974" s="12"/>
      <c r="B974" s="12"/>
      <c r="C974" s="17" t="str">
        <f aca="false">IF(B974="","",IFERROR(INDEX(Produits!$F$2:$F$1001,MATCH(B974,Produits!$A$2:$A$1001,0)),"⚠ code article inconnu"))</f>
        <v/>
      </c>
      <c r="D974" s="12"/>
      <c r="E974" s="23"/>
      <c r="F974" s="24"/>
      <c r="G974" s="23"/>
      <c r="H974" s="21" t="str">
        <f aca="true">IF(E974="","",ROUND((E974-TODAY())/30.4,1))</f>
        <v/>
      </c>
      <c r="I974" s="17" t="str">
        <f aca="false">IF(E974="","",IF(H974&lt;0,IF(LEFT(A974,1)="Q","Périmé (en quarantaine)","PÉRIMÉ → déplacer en zone Q"),IF(H974&lt;3,"Péremption &lt; 3 mois",IF(H974&lt;6,"Péremption &lt; 6 mois",""))))</f>
        <v/>
      </c>
      <c r="J974" s="17" t="str">
        <f aca="false">IF(A974="","",IF(COUNTIF(Emplacements!$A$2:$A$1001,A974)=0,"⚠ emplacement inconnu","OK"))</f>
        <v/>
      </c>
      <c r="K974" s="22" t="str">
        <f aca="false">IF(AND(B974&lt;&gt;"",ISNUMBER(SEARCH(Recherche!$C$3,C974&amp;" "&amp;B974&amp;" "&amp;A974&amp;" "&amp;D974))),MAX($K$1:K973)+1,"")</f>
        <v/>
      </c>
    </row>
    <row r="975" customFormat="false" ht="15" hidden="false" customHeight="false" outlineLevel="0" collapsed="false">
      <c r="A975" s="12"/>
      <c r="B975" s="12"/>
      <c r="C975" s="17" t="str">
        <f aca="false">IF(B975="","",IFERROR(INDEX(Produits!$F$2:$F$1001,MATCH(B975,Produits!$A$2:$A$1001,0)),"⚠ code article inconnu"))</f>
        <v/>
      </c>
      <c r="D975" s="12"/>
      <c r="E975" s="23"/>
      <c r="F975" s="24"/>
      <c r="G975" s="23"/>
      <c r="H975" s="21" t="str">
        <f aca="true">IF(E975="","",ROUND((E975-TODAY())/30.4,1))</f>
        <v/>
      </c>
      <c r="I975" s="17" t="str">
        <f aca="false">IF(E975="","",IF(H975&lt;0,IF(LEFT(A975,1)="Q","Périmé (en quarantaine)","PÉRIMÉ → déplacer en zone Q"),IF(H975&lt;3,"Péremption &lt; 3 mois",IF(H975&lt;6,"Péremption &lt; 6 mois",""))))</f>
        <v/>
      </c>
      <c r="J975" s="17" t="str">
        <f aca="false">IF(A975="","",IF(COUNTIF(Emplacements!$A$2:$A$1001,A975)=0,"⚠ emplacement inconnu","OK"))</f>
        <v/>
      </c>
      <c r="K975" s="22" t="str">
        <f aca="false">IF(AND(B975&lt;&gt;"",ISNUMBER(SEARCH(Recherche!$C$3,C975&amp;" "&amp;B975&amp;" "&amp;A975&amp;" "&amp;D975))),MAX($K$1:K974)+1,"")</f>
        <v/>
      </c>
    </row>
    <row r="976" customFormat="false" ht="15" hidden="false" customHeight="false" outlineLevel="0" collapsed="false">
      <c r="A976" s="12"/>
      <c r="B976" s="12"/>
      <c r="C976" s="17" t="str">
        <f aca="false">IF(B976="","",IFERROR(INDEX(Produits!$F$2:$F$1001,MATCH(B976,Produits!$A$2:$A$1001,0)),"⚠ code article inconnu"))</f>
        <v/>
      </c>
      <c r="D976" s="12"/>
      <c r="E976" s="23"/>
      <c r="F976" s="24"/>
      <c r="G976" s="23"/>
      <c r="H976" s="21" t="str">
        <f aca="true">IF(E976="","",ROUND((E976-TODAY())/30.4,1))</f>
        <v/>
      </c>
      <c r="I976" s="17" t="str">
        <f aca="false">IF(E976="","",IF(H976&lt;0,IF(LEFT(A976,1)="Q","Périmé (en quarantaine)","PÉRIMÉ → déplacer en zone Q"),IF(H976&lt;3,"Péremption &lt; 3 mois",IF(H976&lt;6,"Péremption &lt; 6 mois",""))))</f>
        <v/>
      </c>
      <c r="J976" s="17" t="str">
        <f aca="false">IF(A976="","",IF(COUNTIF(Emplacements!$A$2:$A$1001,A976)=0,"⚠ emplacement inconnu","OK"))</f>
        <v/>
      </c>
      <c r="K976" s="22" t="str">
        <f aca="false">IF(AND(B976&lt;&gt;"",ISNUMBER(SEARCH(Recherche!$C$3,C976&amp;" "&amp;B976&amp;" "&amp;A976&amp;" "&amp;D976))),MAX($K$1:K975)+1,"")</f>
        <v/>
      </c>
    </row>
    <row r="977" customFormat="false" ht="15" hidden="false" customHeight="false" outlineLevel="0" collapsed="false">
      <c r="A977" s="12"/>
      <c r="B977" s="12"/>
      <c r="C977" s="17" t="str">
        <f aca="false">IF(B977="","",IFERROR(INDEX(Produits!$F$2:$F$1001,MATCH(B977,Produits!$A$2:$A$1001,0)),"⚠ code article inconnu"))</f>
        <v/>
      </c>
      <c r="D977" s="12"/>
      <c r="E977" s="23"/>
      <c r="F977" s="24"/>
      <c r="G977" s="23"/>
      <c r="H977" s="21" t="str">
        <f aca="true">IF(E977="","",ROUND((E977-TODAY())/30.4,1))</f>
        <v/>
      </c>
      <c r="I977" s="17" t="str">
        <f aca="false">IF(E977="","",IF(H977&lt;0,IF(LEFT(A977,1)="Q","Périmé (en quarantaine)","PÉRIMÉ → déplacer en zone Q"),IF(H977&lt;3,"Péremption &lt; 3 mois",IF(H977&lt;6,"Péremption &lt; 6 mois",""))))</f>
        <v/>
      </c>
      <c r="J977" s="17" t="str">
        <f aca="false">IF(A977="","",IF(COUNTIF(Emplacements!$A$2:$A$1001,A977)=0,"⚠ emplacement inconnu","OK"))</f>
        <v/>
      </c>
      <c r="K977" s="22" t="str">
        <f aca="false">IF(AND(B977&lt;&gt;"",ISNUMBER(SEARCH(Recherche!$C$3,C977&amp;" "&amp;B977&amp;" "&amp;A977&amp;" "&amp;D977))),MAX($K$1:K976)+1,"")</f>
        <v/>
      </c>
    </row>
    <row r="978" customFormat="false" ht="15" hidden="false" customHeight="false" outlineLevel="0" collapsed="false">
      <c r="A978" s="12"/>
      <c r="B978" s="12"/>
      <c r="C978" s="17" t="str">
        <f aca="false">IF(B978="","",IFERROR(INDEX(Produits!$F$2:$F$1001,MATCH(B978,Produits!$A$2:$A$1001,0)),"⚠ code article inconnu"))</f>
        <v/>
      </c>
      <c r="D978" s="12"/>
      <c r="E978" s="23"/>
      <c r="F978" s="24"/>
      <c r="G978" s="23"/>
      <c r="H978" s="21" t="str">
        <f aca="true">IF(E978="","",ROUND((E978-TODAY())/30.4,1))</f>
        <v/>
      </c>
      <c r="I978" s="17" t="str">
        <f aca="false">IF(E978="","",IF(H978&lt;0,IF(LEFT(A978,1)="Q","Périmé (en quarantaine)","PÉRIMÉ → déplacer en zone Q"),IF(H978&lt;3,"Péremption &lt; 3 mois",IF(H978&lt;6,"Péremption &lt; 6 mois",""))))</f>
        <v/>
      </c>
      <c r="J978" s="17" t="str">
        <f aca="false">IF(A978="","",IF(COUNTIF(Emplacements!$A$2:$A$1001,A978)=0,"⚠ emplacement inconnu","OK"))</f>
        <v/>
      </c>
      <c r="K978" s="22" t="str">
        <f aca="false">IF(AND(B978&lt;&gt;"",ISNUMBER(SEARCH(Recherche!$C$3,C978&amp;" "&amp;B978&amp;" "&amp;A978&amp;" "&amp;D978))),MAX($K$1:K977)+1,"")</f>
        <v/>
      </c>
    </row>
    <row r="979" customFormat="false" ht="15" hidden="false" customHeight="false" outlineLevel="0" collapsed="false">
      <c r="A979" s="12"/>
      <c r="B979" s="12"/>
      <c r="C979" s="17" t="str">
        <f aca="false">IF(B979="","",IFERROR(INDEX(Produits!$F$2:$F$1001,MATCH(B979,Produits!$A$2:$A$1001,0)),"⚠ code article inconnu"))</f>
        <v/>
      </c>
      <c r="D979" s="12"/>
      <c r="E979" s="23"/>
      <c r="F979" s="24"/>
      <c r="G979" s="23"/>
      <c r="H979" s="21" t="str">
        <f aca="true">IF(E979="","",ROUND((E979-TODAY())/30.4,1))</f>
        <v/>
      </c>
      <c r="I979" s="17" t="str">
        <f aca="false">IF(E979="","",IF(H979&lt;0,IF(LEFT(A979,1)="Q","Périmé (en quarantaine)","PÉRIMÉ → déplacer en zone Q"),IF(H979&lt;3,"Péremption &lt; 3 mois",IF(H979&lt;6,"Péremption &lt; 6 mois",""))))</f>
        <v/>
      </c>
      <c r="J979" s="17" t="str">
        <f aca="false">IF(A979="","",IF(COUNTIF(Emplacements!$A$2:$A$1001,A979)=0,"⚠ emplacement inconnu","OK"))</f>
        <v/>
      </c>
      <c r="K979" s="22" t="str">
        <f aca="false">IF(AND(B979&lt;&gt;"",ISNUMBER(SEARCH(Recherche!$C$3,C979&amp;" "&amp;B979&amp;" "&amp;A979&amp;" "&amp;D979))),MAX($K$1:K978)+1,"")</f>
        <v/>
      </c>
    </row>
    <row r="980" customFormat="false" ht="15" hidden="false" customHeight="false" outlineLevel="0" collapsed="false">
      <c r="A980" s="12"/>
      <c r="B980" s="12"/>
      <c r="C980" s="17" t="str">
        <f aca="false">IF(B980="","",IFERROR(INDEX(Produits!$F$2:$F$1001,MATCH(B980,Produits!$A$2:$A$1001,0)),"⚠ code article inconnu"))</f>
        <v/>
      </c>
      <c r="D980" s="12"/>
      <c r="E980" s="23"/>
      <c r="F980" s="24"/>
      <c r="G980" s="23"/>
      <c r="H980" s="21" t="str">
        <f aca="true">IF(E980="","",ROUND((E980-TODAY())/30.4,1))</f>
        <v/>
      </c>
      <c r="I980" s="17" t="str">
        <f aca="false">IF(E980="","",IF(H980&lt;0,IF(LEFT(A980,1)="Q","Périmé (en quarantaine)","PÉRIMÉ → déplacer en zone Q"),IF(H980&lt;3,"Péremption &lt; 3 mois",IF(H980&lt;6,"Péremption &lt; 6 mois",""))))</f>
        <v/>
      </c>
      <c r="J980" s="17" t="str">
        <f aca="false">IF(A980="","",IF(COUNTIF(Emplacements!$A$2:$A$1001,A980)=0,"⚠ emplacement inconnu","OK"))</f>
        <v/>
      </c>
      <c r="K980" s="22" t="str">
        <f aca="false">IF(AND(B980&lt;&gt;"",ISNUMBER(SEARCH(Recherche!$C$3,C980&amp;" "&amp;B980&amp;" "&amp;A980&amp;" "&amp;D980))),MAX($K$1:K979)+1,"")</f>
        <v/>
      </c>
    </row>
    <row r="981" customFormat="false" ht="15" hidden="false" customHeight="false" outlineLevel="0" collapsed="false">
      <c r="A981" s="12"/>
      <c r="B981" s="12"/>
      <c r="C981" s="17" t="str">
        <f aca="false">IF(B981="","",IFERROR(INDEX(Produits!$F$2:$F$1001,MATCH(B981,Produits!$A$2:$A$1001,0)),"⚠ code article inconnu"))</f>
        <v/>
      </c>
      <c r="D981" s="12"/>
      <c r="E981" s="23"/>
      <c r="F981" s="24"/>
      <c r="G981" s="23"/>
      <c r="H981" s="21" t="str">
        <f aca="true">IF(E981="","",ROUND((E981-TODAY())/30.4,1))</f>
        <v/>
      </c>
      <c r="I981" s="17" t="str">
        <f aca="false">IF(E981="","",IF(H981&lt;0,IF(LEFT(A981,1)="Q","Périmé (en quarantaine)","PÉRIMÉ → déplacer en zone Q"),IF(H981&lt;3,"Péremption &lt; 3 mois",IF(H981&lt;6,"Péremption &lt; 6 mois",""))))</f>
        <v/>
      </c>
      <c r="J981" s="17" t="str">
        <f aca="false">IF(A981="","",IF(COUNTIF(Emplacements!$A$2:$A$1001,A981)=0,"⚠ emplacement inconnu","OK"))</f>
        <v/>
      </c>
      <c r="K981" s="22" t="str">
        <f aca="false">IF(AND(B981&lt;&gt;"",ISNUMBER(SEARCH(Recherche!$C$3,C981&amp;" "&amp;B981&amp;" "&amp;A981&amp;" "&amp;D981))),MAX($K$1:K980)+1,"")</f>
        <v/>
      </c>
    </row>
    <row r="982" customFormat="false" ht="15" hidden="false" customHeight="false" outlineLevel="0" collapsed="false">
      <c r="A982" s="12"/>
      <c r="B982" s="12"/>
      <c r="C982" s="17" t="str">
        <f aca="false">IF(B982="","",IFERROR(INDEX(Produits!$F$2:$F$1001,MATCH(B982,Produits!$A$2:$A$1001,0)),"⚠ code article inconnu"))</f>
        <v/>
      </c>
      <c r="D982" s="12"/>
      <c r="E982" s="23"/>
      <c r="F982" s="24"/>
      <c r="G982" s="23"/>
      <c r="H982" s="21" t="str">
        <f aca="true">IF(E982="","",ROUND((E982-TODAY())/30.4,1))</f>
        <v/>
      </c>
      <c r="I982" s="17" t="str">
        <f aca="false">IF(E982="","",IF(H982&lt;0,IF(LEFT(A982,1)="Q","Périmé (en quarantaine)","PÉRIMÉ → déplacer en zone Q"),IF(H982&lt;3,"Péremption &lt; 3 mois",IF(H982&lt;6,"Péremption &lt; 6 mois",""))))</f>
        <v/>
      </c>
      <c r="J982" s="17" t="str">
        <f aca="false">IF(A982="","",IF(COUNTIF(Emplacements!$A$2:$A$1001,A982)=0,"⚠ emplacement inconnu","OK"))</f>
        <v/>
      </c>
      <c r="K982" s="22" t="str">
        <f aca="false">IF(AND(B982&lt;&gt;"",ISNUMBER(SEARCH(Recherche!$C$3,C982&amp;" "&amp;B982&amp;" "&amp;A982&amp;" "&amp;D982))),MAX($K$1:K981)+1,"")</f>
        <v/>
      </c>
    </row>
    <row r="983" customFormat="false" ht="15" hidden="false" customHeight="false" outlineLevel="0" collapsed="false">
      <c r="A983" s="12"/>
      <c r="B983" s="12"/>
      <c r="C983" s="17" t="str">
        <f aca="false">IF(B983="","",IFERROR(INDEX(Produits!$F$2:$F$1001,MATCH(B983,Produits!$A$2:$A$1001,0)),"⚠ code article inconnu"))</f>
        <v/>
      </c>
      <c r="D983" s="12"/>
      <c r="E983" s="23"/>
      <c r="F983" s="24"/>
      <c r="G983" s="23"/>
      <c r="H983" s="21" t="str">
        <f aca="true">IF(E983="","",ROUND((E983-TODAY())/30.4,1))</f>
        <v/>
      </c>
      <c r="I983" s="17" t="str">
        <f aca="false">IF(E983="","",IF(H983&lt;0,IF(LEFT(A983,1)="Q","Périmé (en quarantaine)","PÉRIMÉ → déplacer en zone Q"),IF(H983&lt;3,"Péremption &lt; 3 mois",IF(H983&lt;6,"Péremption &lt; 6 mois",""))))</f>
        <v/>
      </c>
      <c r="J983" s="17" t="str">
        <f aca="false">IF(A983="","",IF(COUNTIF(Emplacements!$A$2:$A$1001,A983)=0,"⚠ emplacement inconnu","OK"))</f>
        <v/>
      </c>
      <c r="K983" s="22" t="str">
        <f aca="false">IF(AND(B983&lt;&gt;"",ISNUMBER(SEARCH(Recherche!$C$3,C983&amp;" "&amp;B983&amp;" "&amp;A983&amp;" "&amp;D983))),MAX($K$1:K982)+1,"")</f>
        <v/>
      </c>
    </row>
    <row r="984" customFormat="false" ht="15" hidden="false" customHeight="false" outlineLevel="0" collapsed="false">
      <c r="A984" s="12"/>
      <c r="B984" s="12"/>
      <c r="C984" s="17" t="str">
        <f aca="false">IF(B984="","",IFERROR(INDEX(Produits!$F$2:$F$1001,MATCH(B984,Produits!$A$2:$A$1001,0)),"⚠ code article inconnu"))</f>
        <v/>
      </c>
      <c r="D984" s="12"/>
      <c r="E984" s="23"/>
      <c r="F984" s="24"/>
      <c r="G984" s="23"/>
      <c r="H984" s="21" t="str">
        <f aca="true">IF(E984="","",ROUND((E984-TODAY())/30.4,1))</f>
        <v/>
      </c>
      <c r="I984" s="17" t="str">
        <f aca="false">IF(E984="","",IF(H984&lt;0,IF(LEFT(A984,1)="Q","Périmé (en quarantaine)","PÉRIMÉ → déplacer en zone Q"),IF(H984&lt;3,"Péremption &lt; 3 mois",IF(H984&lt;6,"Péremption &lt; 6 mois",""))))</f>
        <v/>
      </c>
      <c r="J984" s="17" t="str">
        <f aca="false">IF(A984="","",IF(COUNTIF(Emplacements!$A$2:$A$1001,A984)=0,"⚠ emplacement inconnu","OK"))</f>
        <v/>
      </c>
      <c r="K984" s="22" t="str">
        <f aca="false">IF(AND(B984&lt;&gt;"",ISNUMBER(SEARCH(Recherche!$C$3,C984&amp;" "&amp;B984&amp;" "&amp;A984&amp;" "&amp;D984))),MAX($K$1:K983)+1,"")</f>
        <v/>
      </c>
    </row>
    <row r="985" customFormat="false" ht="15" hidden="false" customHeight="false" outlineLevel="0" collapsed="false">
      <c r="A985" s="12"/>
      <c r="B985" s="12"/>
      <c r="C985" s="17" t="str">
        <f aca="false">IF(B985="","",IFERROR(INDEX(Produits!$F$2:$F$1001,MATCH(B985,Produits!$A$2:$A$1001,0)),"⚠ code article inconnu"))</f>
        <v/>
      </c>
      <c r="D985" s="12"/>
      <c r="E985" s="23"/>
      <c r="F985" s="24"/>
      <c r="G985" s="23"/>
      <c r="H985" s="21" t="str">
        <f aca="true">IF(E985="","",ROUND((E985-TODAY())/30.4,1))</f>
        <v/>
      </c>
      <c r="I985" s="17" t="str">
        <f aca="false">IF(E985="","",IF(H985&lt;0,IF(LEFT(A985,1)="Q","Périmé (en quarantaine)","PÉRIMÉ → déplacer en zone Q"),IF(H985&lt;3,"Péremption &lt; 3 mois",IF(H985&lt;6,"Péremption &lt; 6 mois",""))))</f>
        <v/>
      </c>
      <c r="J985" s="17" t="str">
        <f aca="false">IF(A985="","",IF(COUNTIF(Emplacements!$A$2:$A$1001,A985)=0,"⚠ emplacement inconnu","OK"))</f>
        <v/>
      </c>
      <c r="K985" s="22" t="str">
        <f aca="false">IF(AND(B985&lt;&gt;"",ISNUMBER(SEARCH(Recherche!$C$3,C985&amp;" "&amp;B985&amp;" "&amp;A985&amp;" "&amp;D985))),MAX($K$1:K984)+1,"")</f>
        <v/>
      </c>
    </row>
    <row r="986" customFormat="false" ht="15" hidden="false" customHeight="false" outlineLevel="0" collapsed="false">
      <c r="A986" s="12"/>
      <c r="B986" s="12"/>
      <c r="C986" s="17" t="str">
        <f aca="false">IF(B986="","",IFERROR(INDEX(Produits!$F$2:$F$1001,MATCH(B986,Produits!$A$2:$A$1001,0)),"⚠ code article inconnu"))</f>
        <v/>
      </c>
      <c r="D986" s="12"/>
      <c r="E986" s="23"/>
      <c r="F986" s="24"/>
      <c r="G986" s="23"/>
      <c r="H986" s="21" t="str">
        <f aca="true">IF(E986="","",ROUND((E986-TODAY())/30.4,1))</f>
        <v/>
      </c>
      <c r="I986" s="17" t="str">
        <f aca="false">IF(E986="","",IF(H986&lt;0,IF(LEFT(A986,1)="Q","Périmé (en quarantaine)","PÉRIMÉ → déplacer en zone Q"),IF(H986&lt;3,"Péremption &lt; 3 mois",IF(H986&lt;6,"Péremption &lt; 6 mois",""))))</f>
        <v/>
      </c>
      <c r="J986" s="17" t="str">
        <f aca="false">IF(A986="","",IF(COUNTIF(Emplacements!$A$2:$A$1001,A986)=0,"⚠ emplacement inconnu","OK"))</f>
        <v/>
      </c>
      <c r="K986" s="22" t="str">
        <f aca="false">IF(AND(B986&lt;&gt;"",ISNUMBER(SEARCH(Recherche!$C$3,C986&amp;" "&amp;B986&amp;" "&amp;A986&amp;" "&amp;D986))),MAX($K$1:K985)+1,"")</f>
        <v/>
      </c>
    </row>
    <row r="987" customFormat="false" ht="15" hidden="false" customHeight="false" outlineLevel="0" collapsed="false">
      <c r="A987" s="12"/>
      <c r="B987" s="12"/>
      <c r="C987" s="17" t="str">
        <f aca="false">IF(B987="","",IFERROR(INDEX(Produits!$F$2:$F$1001,MATCH(B987,Produits!$A$2:$A$1001,0)),"⚠ code article inconnu"))</f>
        <v/>
      </c>
      <c r="D987" s="12"/>
      <c r="E987" s="23"/>
      <c r="F987" s="24"/>
      <c r="G987" s="23"/>
      <c r="H987" s="21" t="str">
        <f aca="true">IF(E987="","",ROUND((E987-TODAY())/30.4,1))</f>
        <v/>
      </c>
      <c r="I987" s="17" t="str">
        <f aca="false">IF(E987="","",IF(H987&lt;0,IF(LEFT(A987,1)="Q","Périmé (en quarantaine)","PÉRIMÉ → déplacer en zone Q"),IF(H987&lt;3,"Péremption &lt; 3 mois",IF(H987&lt;6,"Péremption &lt; 6 mois",""))))</f>
        <v/>
      </c>
      <c r="J987" s="17" t="str">
        <f aca="false">IF(A987="","",IF(COUNTIF(Emplacements!$A$2:$A$1001,A987)=0,"⚠ emplacement inconnu","OK"))</f>
        <v/>
      </c>
      <c r="K987" s="22" t="str">
        <f aca="false">IF(AND(B987&lt;&gt;"",ISNUMBER(SEARCH(Recherche!$C$3,C987&amp;" "&amp;B987&amp;" "&amp;A987&amp;" "&amp;D987))),MAX($K$1:K986)+1,"")</f>
        <v/>
      </c>
    </row>
    <row r="988" customFormat="false" ht="15" hidden="false" customHeight="false" outlineLevel="0" collapsed="false">
      <c r="A988" s="12"/>
      <c r="B988" s="12"/>
      <c r="C988" s="17" t="str">
        <f aca="false">IF(B988="","",IFERROR(INDEX(Produits!$F$2:$F$1001,MATCH(B988,Produits!$A$2:$A$1001,0)),"⚠ code article inconnu"))</f>
        <v/>
      </c>
      <c r="D988" s="12"/>
      <c r="E988" s="23"/>
      <c r="F988" s="24"/>
      <c r="G988" s="23"/>
      <c r="H988" s="21" t="str">
        <f aca="true">IF(E988="","",ROUND((E988-TODAY())/30.4,1))</f>
        <v/>
      </c>
      <c r="I988" s="17" t="str">
        <f aca="false">IF(E988="","",IF(H988&lt;0,IF(LEFT(A988,1)="Q","Périmé (en quarantaine)","PÉRIMÉ → déplacer en zone Q"),IF(H988&lt;3,"Péremption &lt; 3 mois",IF(H988&lt;6,"Péremption &lt; 6 mois",""))))</f>
        <v/>
      </c>
      <c r="J988" s="17" t="str">
        <f aca="false">IF(A988="","",IF(COUNTIF(Emplacements!$A$2:$A$1001,A988)=0,"⚠ emplacement inconnu","OK"))</f>
        <v/>
      </c>
      <c r="K988" s="22" t="str">
        <f aca="false">IF(AND(B988&lt;&gt;"",ISNUMBER(SEARCH(Recherche!$C$3,C988&amp;" "&amp;B988&amp;" "&amp;A988&amp;" "&amp;D988))),MAX($K$1:K987)+1,"")</f>
        <v/>
      </c>
    </row>
    <row r="989" customFormat="false" ht="15" hidden="false" customHeight="false" outlineLevel="0" collapsed="false">
      <c r="A989" s="12"/>
      <c r="B989" s="12"/>
      <c r="C989" s="17" t="str">
        <f aca="false">IF(B989="","",IFERROR(INDEX(Produits!$F$2:$F$1001,MATCH(B989,Produits!$A$2:$A$1001,0)),"⚠ code article inconnu"))</f>
        <v/>
      </c>
      <c r="D989" s="12"/>
      <c r="E989" s="23"/>
      <c r="F989" s="24"/>
      <c r="G989" s="23"/>
      <c r="H989" s="21" t="str">
        <f aca="true">IF(E989="","",ROUND((E989-TODAY())/30.4,1))</f>
        <v/>
      </c>
      <c r="I989" s="17" t="str">
        <f aca="false">IF(E989="","",IF(H989&lt;0,IF(LEFT(A989,1)="Q","Périmé (en quarantaine)","PÉRIMÉ → déplacer en zone Q"),IF(H989&lt;3,"Péremption &lt; 3 mois",IF(H989&lt;6,"Péremption &lt; 6 mois",""))))</f>
        <v/>
      </c>
      <c r="J989" s="17" t="str">
        <f aca="false">IF(A989="","",IF(COUNTIF(Emplacements!$A$2:$A$1001,A989)=0,"⚠ emplacement inconnu","OK"))</f>
        <v/>
      </c>
      <c r="K989" s="22" t="str">
        <f aca="false">IF(AND(B989&lt;&gt;"",ISNUMBER(SEARCH(Recherche!$C$3,C989&amp;" "&amp;B989&amp;" "&amp;A989&amp;" "&amp;D989))),MAX($K$1:K988)+1,"")</f>
        <v/>
      </c>
    </row>
    <row r="990" customFormat="false" ht="15" hidden="false" customHeight="false" outlineLevel="0" collapsed="false">
      <c r="A990" s="12"/>
      <c r="B990" s="12"/>
      <c r="C990" s="17" t="str">
        <f aca="false">IF(B990="","",IFERROR(INDEX(Produits!$F$2:$F$1001,MATCH(B990,Produits!$A$2:$A$1001,0)),"⚠ code article inconnu"))</f>
        <v/>
      </c>
      <c r="D990" s="12"/>
      <c r="E990" s="23"/>
      <c r="F990" s="24"/>
      <c r="G990" s="23"/>
      <c r="H990" s="21" t="str">
        <f aca="true">IF(E990="","",ROUND((E990-TODAY())/30.4,1))</f>
        <v/>
      </c>
      <c r="I990" s="17" t="str">
        <f aca="false">IF(E990="","",IF(H990&lt;0,IF(LEFT(A990,1)="Q","Périmé (en quarantaine)","PÉRIMÉ → déplacer en zone Q"),IF(H990&lt;3,"Péremption &lt; 3 mois",IF(H990&lt;6,"Péremption &lt; 6 mois",""))))</f>
        <v/>
      </c>
      <c r="J990" s="17" t="str">
        <f aca="false">IF(A990="","",IF(COUNTIF(Emplacements!$A$2:$A$1001,A990)=0,"⚠ emplacement inconnu","OK"))</f>
        <v/>
      </c>
      <c r="K990" s="22" t="str">
        <f aca="false">IF(AND(B990&lt;&gt;"",ISNUMBER(SEARCH(Recherche!$C$3,C990&amp;" "&amp;B990&amp;" "&amp;A990&amp;" "&amp;D990))),MAX($K$1:K989)+1,"")</f>
        <v/>
      </c>
    </row>
    <row r="991" customFormat="false" ht="15" hidden="false" customHeight="false" outlineLevel="0" collapsed="false">
      <c r="A991" s="12"/>
      <c r="B991" s="12"/>
      <c r="C991" s="17" t="str">
        <f aca="false">IF(B991="","",IFERROR(INDEX(Produits!$F$2:$F$1001,MATCH(B991,Produits!$A$2:$A$1001,0)),"⚠ code article inconnu"))</f>
        <v/>
      </c>
      <c r="D991" s="12"/>
      <c r="E991" s="23"/>
      <c r="F991" s="24"/>
      <c r="G991" s="23"/>
      <c r="H991" s="21" t="str">
        <f aca="true">IF(E991="","",ROUND((E991-TODAY())/30.4,1))</f>
        <v/>
      </c>
      <c r="I991" s="17" t="str">
        <f aca="false">IF(E991="","",IF(H991&lt;0,IF(LEFT(A991,1)="Q","Périmé (en quarantaine)","PÉRIMÉ → déplacer en zone Q"),IF(H991&lt;3,"Péremption &lt; 3 mois",IF(H991&lt;6,"Péremption &lt; 6 mois",""))))</f>
        <v/>
      </c>
      <c r="J991" s="17" t="str">
        <f aca="false">IF(A991="","",IF(COUNTIF(Emplacements!$A$2:$A$1001,A991)=0,"⚠ emplacement inconnu","OK"))</f>
        <v/>
      </c>
      <c r="K991" s="22" t="str">
        <f aca="false">IF(AND(B991&lt;&gt;"",ISNUMBER(SEARCH(Recherche!$C$3,C991&amp;" "&amp;B991&amp;" "&amp;A991&amp;" "&amp;D991))),MAX($K$1:K990)+1,"")</f>
        <v/>
      </c>
    </row>
    <row r="992" customFormat="false" ht="15" hidden="false" customHeight="false" outlineLevel="0" collapsed="false">
      <c r="A992" s="12"/>
      <c r="B992" s="12"/>
      <c r="C992" s="17" t="str">
        <f aca="false">IF(B992="","",IFERROR(INDEX(Produits!$F$2:$F$1001,MATCH(B992,Produits!$A$2:$A$1001,0)),"⚠ code article inconnu"))</f>
        <v/>
      </c>
      <c r="D992" s="12"/>
      <c r="E992" s="23"/>
      <c r="F992" s="24"/>
      <c r="G992" s="23"/>
      <c r="H992" s="21" t="str">
        <f aca="true">IF(E992="","",ROUND((E992-TODAY())/30.4,1))</f>
        <v/>
      </c>
      <c r="I992" s="17" t="str">
        <f aca="false">IF(E992="","",IF(H992&lt;0,IF(LEFT(A992,1)="Q","Périmé (en quarantaine)","PÉRIMÉ → déplacer en zone Q"),IF(H992&lt;3,"Péremption &lt; 3 mois",IF(H992&lt;6,"Péremption &lt; 6 mois",""))))</f>
        <v/>
      </c>
      <c r="J992" s="17" t="str">
        <f aca="false">IF(A992="","",IF(COUNTIF(Emplacements!$A$2:$A$1001,A992)=0,"⚠ emplacement inconnu","OK"))</f>
        <v/>
      </c>
      <c r="K992" s="22" t="str">
        <f aca="false">IF(AND(B992&lt;&gt;"",ISNUMBER(SEARCH(Recherche!$C$3,C992&amp;" "&amp;B992&amp;" "&amp;A992&amp;" "&amp;D992))),MAX($K$1:K991)+1,"")</f>
        <v/>
      </c>
    </row>
    <row r="993" customFormat="false" ht="15" hidden="false" customHeight="false" outlineLevel="0" collapsed="false">
      <c r="A993" s="12"/>
      <c r="B993" s="12"/>
      <c r="C993" s="17" t="str">
        <f aca="false">IF(B993="","",IFERROR(INDEX(Produits!$F$2:$F$1001,MATCH(B993,Produits!$A$2:$A$1001,0)),"⚠ code article inconnu"))</f>
        <v/>
      </c>
      <c r="D993" s="12"/>
      <c r="E993" s="23"/>
      <c r="F993" s="24"/>
      <c r="G993" s="23"/>
      <c r="H993" s="21" t="str">
        <f aca="true">IF(E993="","",ROUND((E993-TODAY())/30.4,1))</f>
        <v/>
      </c>
      <c r="I993" s="17" t="str">
        <f aca="false">IF(E993="","",IF(H993&lt;0,IF(LEFT(A993,1)="Q","Périmé (en quarantaine)","PÉRIMÉ → déplacer en zone Q"),IF(H993&lt;3,"Péremption &lt; 3 mois",IF(H993&lt;6,"Péremption &lt; 6 mois",""))))</f>
        <v/>
      </c>
      <c r="J993" s="17" t="str">
        <f aca="false">IF(A993="","",IF(COUNTIF(Emplacements!$A$2:$A$1001,A993)=0,"⚠ emplacement inconnu","OK"))</f>
        <v/>
      </c>
      <c r="K993" s="22" t="str">
        <f aca="false">IF(AND(B993&lt;&gt;"",ISNUMBER(SEARCH(Recherche!$C$3,C993&amp;" "&amp;B993&amp;" "&amp;A993&amp;" "&amp;D993))),MAX($K$1:K992)+1,"")</f>
        <v/>
      </c>
    </row>
    <row r="994" customFormat="false" ht="15" hidden="false" customHeight="false" outlineLevel="0" collapsed="false">
      <c r="A994" s="12"/>
      <c r="B994" s="12"/>
      <c r="C994" s="17" t="str">
        <f aca="false">IF(B994="","",IFERROR(INDEX(Produits!$F$2:$F$1001,MATCH(B994,Produits!$A$2:$A$1001,0)),"⚠ code article inconnu"))</f>
        <v/>
      </c>
      <c r="D994" s="12"/>
      <c r="E994" s="23"/>
      <c r="F994" s="24"/>
      <c r="G994" s="23"/>
      <c r="H994" s="21" t="str">
        <f aca="true">IF(E994="","",ROUND((E994-TODAY())/30.4,1))</f>
        <v/>
      </c>
      <c r="I994" s="17" t="str">
        <f aca="false">IF(E994="","",IF(H994&lt;0,IF(LEFT(A994,1)="Q","Périmé (en quarantaine)","PÉRIMÉ → déplacer en zone Q"),IF(H994&lt;3,"Péremption &lt; 3 mois",IF(H994&lt;6,"Péremption &lt; 6 mois",""))))</f>
        <v/>
      </c>
      <c r="J994" s="17" t="str">
        <f aca="false">IF(A994="","",IF(COUNTIF(Emplacements!$A$2:$A$1001,A994)=0,"⚠ emplacement inconnu","OK"))</f>
        <v/>
      </c>
      <c r="K994" s="22" t="str">
        <f aca="false">IF(AND(B994&lt;&gt;"",ISNUMBER(SEARCH(Recherche!$C$3,C994&amp;" "&amp;B994&amp;" "&amp;A994&amp;" "&amp;D994))),MAX($K$1:K993)+1,"")</f>
        <v/>
      </c>
    </row>
    <row r="995" customFormat="false" ht="15" hidden="false" customHeight="false" outlineLevel="0" collapsed="false">
      <c r="A995" s="12"/>
      <c r="B995" s="12"/>
      <c r="C995" s="17" t="str">
        <f aca="false">IF(B995="","",IFERROR(INDEX(Produits!$F$2:$F$1001,MATCH(B995,Produits!$A$2:$A$1001,0)),"⚠ code article inconnu"))</f>
        <v/>
      </c>
      <c r="D995" s="12"/>
      <c r="E995" s="23"/>
      <c r="F995" s="24"/>
      <c r="G995" s="23"/>
      <c r="H995" s="21" t="str">
        <f aca="true">IF(E995="","",ROUND((E995-TODAY())/30.4,1))</f>
        <v/>
      </c>
      <c r="I995" s="17" t="str">
        <f aca="false">IF(E995="","",IF(H995&lt;0,IF(LEFT(A995,1)="Q","Périmé (en quarantaine)","PÉRIMÉ → déplacer en zone Q"),IF(H995&lt;3,"Péremption &lt; 3 mois",IF(H995&lt;6,"Péremption &lt; 6 mois",""))))</f>
        <v/>
      </c>
      <c r="J995" s="17" t="str">
        <f aca="false">IF(A995="","",IF(COUNTIF(Emplacements!$A$2:$A$1001,A995)=0,"⚠ emplacement inconnu","OK"))</f>
        <v/>
      </c>
      <c r="K995" s="22" t="str">
        <f aca="false">IF(AND(B995&lt;&gt;"",ISNUMBER(SEARCH(Recherche!$C$3,C995&amp;" "&amp;B995&amp;" "&amp;A995&amp;" "&amp;D995))),MAX($K$1:K994)+1,"")</f>
        <v/>
      </c>
    </row>
    <row r="996" customFormat="false" ht="15" hidden="false" customHeight="false" outlineLevel="0" collapsed="false">
      <c r="A996" s="12"/>
      <c r="B996" s="12"/>
      <c r="C996" s="17" t="str">
        <f aca="false">IF(B996="","",IFERROR(INDEX(Produits!$F$2:$F$1001,MATCH(B996,Produits!$A$2:$A$1001,0)),"⚠ code article inconnu"))</f>
        <v/>
      </c>
      <c r="D996" s="12"/>
      <c r="E996" s="23"/>
      <c r="F996" s="24"/>
      <c r="G996" s="23"/>
      <c r="H996" s="21" t="str">
        <f aca="true">IF(E996="","",ROUND((E996-TODAY())/30.4,1))</f>
        <v/>
      </c>
      <c r="I996" s="17" t="str">
        <f aca="false">IF(E996="","",IF(H996&lt;0,IF(LEFT(A996,1)="Q","Périmé (en quarantaine)","PÉRIMÉ → déplacer en zone Q"),IF(H996&lt;3,"Péremption &lt; 3 mois",IF(H996&lt;6,"Péremption &lt; 6 mois",""))))</f>
        <v/>
      </c>
      <c r="J996" s="17" t="str">
        <f aca="false">IF(A996="","",IF(COUNTIF(Emplacements!$A$2:$A$1001,A996)=0,"⚠ emplacement inconnu","OK"))</f>
        <v/>
      </c>
      <c r="K996" s="22" t="str">
        <f aca="false">IF(AND(B996&lt;&gt;"",ISNUMBER(SEARCH(Recherche!$C$3,C996&amp;" "&amp;B996&amp;" "&amp;A996&amp;" "&amp;D996))),MAX($K$1:K995)+1,"")</f>
        <v/>
      </c>
    </row>
    <row r="997" customFormat="false" ht="15" hidden="false" customHeight="false" outlineLevel="0" collapsed="false">
      <c r="A997" s="12"/>
      <c r="B997" s="12"/>
      <c r="C997" s="17" t="str">
        <f aca="false">IF(B997="","",IFERROR(INDEX(Produits!$F$2:$F$1001,MATCH(B997,Produits!$A$2:$A$1001,0)),"⚠ code article inconnu"))</f>
        <v/>
      </c>
      <c r="D997" s="12"/>
      <c r="E997" s="23"/>
      <c r="F997" s="24"/>
      <c r="G997" s="23"/>
      <c r="H997" s="21" t="str">
        <f aca="true">IF(E997="","",ROUND((E997-TODAY())/30.4,1))</f>
        <v/>
      </c>
      <c r="I997" s="17" t="str">
        <f aca="false">IF(E997="","",IF(H997&lt;0,IF(LEFT(A997,1)="Q","Périmé (en quarantaine)","PÉRIMÉ → déplacer en zone Q"),IF(H997&lt;3,"Péremption &lt; 3 mois",IF(H997&lt;6,"Péremption &lt; 6 mois",""))))</f>
        <v/>
      </c>
      <c r="J997" s="17" t="str">
        <f aca="false">IF(A997="","",IF(COUNTIF(Emplacements!$A$2:$A$1001,A997)=0,"⚠ emplacement inconnu","OK"))</f>
        <v/>
      </c>
      <c r="K997" s="22" t="str">
        <f aca="false">IF(AND(B997&lt;&gt;"",ISNUMBER(SEARCH(Recherche!$C$3,C997&amp;" "&amp;B997&amp;" "&amp;A997&amp;" "&amp;D997))),MAX($K$1:K996)+1,"")</f>
        <v/>
      </c>
    </row>
    <row r="998" customFormat="false" ht="15" hidden="false" customHeight="false" outlineLevel="0" collapsed="false">
      <c r="A998" s="12"/>
      <c r="B998" s="12"/>
      <c r="C998" s="17" t="str">
        <f aca="false">IF(B998="","",IFERROR(INDEX(Produits!$F$2:$F$1001,MATCH(B998,Produits!$A$2:$A$1001,0)),"⚠ code article inconnu"))</f>
        <v/>
      </c>
      <c r="D998" s="12"/>
      <c r="E998" s="23"/>
      <c r="F998" s="24"/>
      <c r="G998" s="23"/>
      <c r="H998" s="21" t="str">
        <f aca="true">IF(E998="","",ROUND((E998-TODAY())/30.4,1))</f>
        <v/>
      </c>
      <c r="I998" s="17" t="str">
        <f aca="false">IF(E998="","",IF(H998&lt;0,IF(LEFT(A998,1)="Q","Périmé (en quarantaine)","PÉRIMÉ → déplacer en zone Q"),IF(H998&lt;3,"Péremption &lt; 3 mois",IF(H998&lt;6,"Péremption &lt; 6 mois",""))))</f>
        <v/>
      </c>
      <c r="J998" s="17" t="str">
        <f aca="false">IF(A998="","",IF(COUNTIF(Emplacements!$A$2:$A$1001,A998)=0,"⚠ emplacement inconnu","OK"))</f>
        <v/>
      </c>
      <c r="K998" s="22" t="str">
        <f aca="false">IF(AND(B998&lt;&gt;"",ISNUMBER(SEARCH(Recherche!$C$3,C998&amp;" "&amp;B998&amp;" "&amp;A998&amp;" "&amp;D998))),MAX($K$1:K997)+1,"")</f>
        <v/>
      </c>
    </row>
    <row r="999" customFormat="false" ht="15" hidden="false" customHeight="false" outlineLevel="0" collapsed="false">
      <c r="A999" s="12"/>
      <c r="B999" s="12"/>
      <c r="C999" s="17" t="str">
        <f aca="false">IF(B999="","",IFERROR(INDEX(Produits!$F$2:$F$1001,MATCH(B999,Produits!$A$2:$A$1001,0)),"⚠ code article inconnu"))</f>
        <v/>
      </c>
      <c r="D999" s="12"/>
      <c r="E999" s="23"/>
      <c r="F999" s="24"/>
      <c r="G999" s="23"/>
      <c r="H999" s="21" t="str">
        <f aca="true">IF(E999="","",ROUND((E999-TODAY())/30.4,1))</f>
        <v/>
      </c>
      <c r="I999" s="17" t="str">
        <f aca="false">IF(E999="","",IF(H999&lt;0,IF(LEFT(A999,1)="Q","Périmé (en quarantaine)","PÉRIMÉ → déplacer en zone Q"),IF(H999&lt;3,"Péremption &lt; 3 mois",IF(H999&lt;6,"Péremption &lt; 6 mois",""))))</f>
        <v/>
      </c>
      <c r="J999" s="17" t="str">
        <f aca="false">IF(A999="","",IF(COUNTIF(Emplacements!$A$2:$A$1001,A999)=0,"⚠ emplacement inconnu","OK"))</f>
        <v/>
      </c>
      <c r="K999" s="22" t="str">
        <f aca="false">IF(AND(B999&lt;&gt;"",ISNUMBER(SEARCH(Recherche!$C$3,C999&amp;" "&amp;B999&amp;" "&amp;A999&amp;" "&amp;D999))),MAX($K$1:K998)+1,"")</f>
        <v/>
      </c>
    </row>
    <row r="1000" customFormat="false" ht="15" hidden="false" customHeight="false" outlineLevel="0" collapsed="false">
      <c r="A1000" s="12"/>
      <c r="B1000" s="12"/>
      <c r="C1000" s="17" t="str">
        <f aca="false">IF(B1000="","",IFERROR(INDEX(Produits!$F$2:$F$1001,MATCH(B1000,Produits!$A$2:$A$1001,0)),"⚠ code article inconnu"))</f>
        <v/>
      </c>
      <c r="D1000" s="12"/>
      <c r="E1000" s="23"/>
      <c r="F1000" s="24"/>
      <c r="G1000" s="23"/>
      <c r="H1000" s="21" t="str">
        <f aca="true">IF(E1000="","",ROUND((E1000-TODAY())/30.4,1))</f>
        <v/>
      </c>
      <c r="I1000" s="17" t="str">
        <f aca="false">IF(E1000="","",IF(H1000&lt;0,IF(LEFT(A1000,1)="Q","Périmé (en quarantaine)","PÉRIMÉ → déplacer en zone Q"),IF(H1000&lt;3,"Péremption &lt; 3 mois",IF(H1000&lt;6,"Péremption &lt; 6 mois",""))))</f>
        <v/>
      </c>
      <c r="J1000" s="17" t="str">
        <f aca="false">IF(A1000="","",IF(COUNTIF(Emplacements!$A$2:$A$1001,A1000)=0,"⚠ emplacement inconnu","OK"))</f>
        <v/>
      </c>
      <c r="K1000" s="22" t="str">
        <f aca="false">IF(AND(B1000&lt;&gt;"",ISNUMBER(SEARCH(Recherche!$C$3,C1000&amp;" "&amp;B1000&amp;" "&amp;A1000&amp;" "&amp;D1000))),MAX($K$1:K999)+1,"")</f>
        <v/>
      </c>
    </row>
    <row r="1001" customFormat="false" ht="15" hidden="false" customHeight="false" outlineLevel="0" collapsed="false">
      <c r="A1001" s="12"/>
      <c r="B1001" s="12"/>
      <c r="C1001" s="17" t="str">
        <f aca="false">IF(B1001="","",IFERROR(INDEX(Produits!$F$2:$F$1001,MATCH(B1001,Produits!$A$2:$A$1001,0)),"⚠ code article inconnu"))</f>
        <v/>
      </c>
      <c r="D1001" s="12"/>
      <c r="E1001" s="23"/>
      <c r="F1001" s="24"/>
      <c r="G1001" s="23"/>
      <c r="H1001" s="21" t="str">
        <f aca="true">IF(E1001="","",ROUND((E1001-TODAY())/30.4,1))</f>
        <v/>
      </c>
      <c r="I1001" s="17" t="str">
        <f aca="false">IF(E1001="","",IF(H1001&lt;0,IF(LEFT(A1001,1)="Q","Périmé (en quarantaine)","PÉRIMÉ → déplacer en zone Q"),IF(H1001&lt;3,"Péremption &lt; 3 mois",IF(H1001&lt;6,"Péremption &lt; 6 mois",""))))</f>
        <v/>
      </c>
      <c r="J1001" s="17" t="str">
        <f aca="false">IF(A1001="","",IF(COUNTIF(Emplacements!$A$2:$A$1001,A1001)=0,"⚠ emplacement inconnu","OK"))</f>
        <v/>
      </c>
      <c r="K1001" s="22" t="str">
        <f aca="false">IF(AND(B1001&lt;&gt;"",ISNUMBER(SEARCH(Recherche!$C$3,C1001&amp;" "&amp;B1001&amp;" "&amp;A1001&amp;" "&amp;D1001))),MAX($K$1:K1000)+1,"")</f>
        <v/>
      </c>
    </row>
    <row r="1002" customFormat="false" ht="15" hidden="false" customHeight="false" outlineLevel="0" collapsed="false">
      <c r="A1002" s="12"/>
      <c r="B1002" s="12"/>
      <c r="C1002" s="17" t="str">
        <f aca="false">IF(B1002="","",IFERROR(INDEX(Produits!$F$2:$F$1001,MATCH(B1002,Produits!$A$2:$A$1001,0)),"⚠ code article inconnu"))</f>
        <v/>
      </c>
      <c r="D1002" s="12"/>
      <c r="E1002" s="23"/>
      <c r="F1002" s="24"/>
      <c r="G1002" s="23"/>
      <c r="H1002" s="21" t="str">
        <f aca="true">IF(E1002="","",ROUND((E1002-TODAY())/30.4,1))</f>
        <v/>
      </c>
      <c r="I1002" s="17" t="str">
        <f aca="false">IF(E1002="","",IF(H1002&lt;0,IF(LEFT(A1002,1)="Q","Périmé (en quarantaine)","PÉRIMÉ → déplacer en zone Q"),IF(H1002&lt;3,"Péremption &lt; 3 mois",IF(H1002&lt;6,"Péremption &lt; 6 mois",""))))</f>
        <v/>
      </c>
      <c r="J1002" s="17" t="str">
        <f aca="false">IF(A1002="","",IF(COUNTIF(Emplacements!$A$2:$A$1001,A1002)=0,"⚠ emplacement inconnu","OK"))</f>
        <v/>
      </c>
      <c r="K1002" s="22" t="str">
        <f aca="false">IF(AND(B1002&lt;&gt;"",ISNUMBER(SEARCH(Recherche!$C$3,C1002&amp;" "&amp;B1002&amp;" "&amp;A1002&amp;" "&amp;D1002))),MAX($K$1:K1001)+1,"")</f>
        <v/>
      </c>
    </row>
    <row r="1003" customFormat="false" ht="15" hidden="false" customHeight="false" outlineLevel="0" collapsed="false">
      <c r="A1003" s="12"/>
      <c r="B1003" s="12"/>
      <c r="C1003" s="17" t="str">
        <f aca="false">IF(B1003="","",IFERROR(INDEX(Produits!$F$2:$F$1001,MATCH(B1003,Produits!$A$2:$A$1001,0)),"⚠ code article inconnu"))</f>
        <v/>
      </c>
      <c r="D1003" s="12"/>
      <c r="E1003" s="23"/>
      <c r="F1003" s="24"/>
      <c r="G1003" s="23"/>
      <c r="H1003" s="21" t="str">
        <f aca="true">IF(E1003="","",ROUND((E1003-TODAY())/30.4,1))</f>
        <v/>
      </c>
      <c r="I1003" s="17" t="str">
        <f aca="false">IF(E1003="","",IF(H1003&lt;0,IF(LEFT(A1003,1)="Q","Périmé (en quarantaine)","PÉRIMÉ → déplacer en zone Q"),IF(H1003&lt;3,"Péremption &lt; 3 mois",IF(H1003&lt;6,"Péremption &lt; 6 mois",""))))</f>
        <v/>
      </c>
      <c r="J1003" s="17" t="str">
        <f aca="false">IF(A1003="","",IF(COUNTIF(Emplacements!$A$2:$A$1001,A1003)=0,"⚠ emplacement inconnu","OK"))</f>
        <v/>
      </c>
      <c r="K1003" s="22" t="str">
        <f aca="false">IF(AND(B1003&lt;&gt;"",ISNUMBER(SEARCH(Recherche!$C$3,C1003&amp;" "&amp;B1003&amp;" "&amp;A1003&amp;" "&amp;D1003))),MAX($K$1:K1002)+1,"")</f>
        <v/>
      </c>
    </row>
    <row r="1004" customFormat="false" ht="15" hidden="false" customHeight="false" outlineLevel="0" collapsed="false">
      <c r="A1004" s="12"/>
      <c r="B1004" s="12"/>
      <c r="C1004" s="17" t="str">
        <f aca="false">IF(B1004="","",IFERROR(INDEX(Produits!$F$2:$F$1001,MATCH(B1004,Produits!$A$2:$A$1001,0)),"⚠ code article inconnu"))</f>
        <v/>
      </c>
      <c r="D1004" s="12"/>
      <c r="E1004" s="23"/>
      <c r="F1004" s="24"/>
      <c r="G1004" s="23"/>
      <c r="H1004" s="21" t="str">
        <f aca="true">IF(E1004="","",ROUND((E1004-TODAY())/30.4,1))</f>
        <v/>
      </c>
      <c r="I1004" s="17" t="str">
        <f aca="false">IF(E1004="","",IF(H1004&lt;0,IF(LEFT(A1004,1)="Q","Périmé (en quarantaine)","PÉRIMÉ → déplacer en zone Q"),IF(H1004&lt;3,"Péremption &lt; 3 mois",IF(H1004&lt;6,"Péremption &lt; 6 mois",""))))</f>
        <v/>
      </c>
      <c r="J1004" s="17" t="str">
        <f aca="false">IF(A1004="","",IF(COUNTIF(Emplacements!$A$2:$A$1001,A1004)=0,"⚠ emplacement inconnu","OK"))</f>
        <v/>
      </c>
      <c r="K1004" s="22" t="str">
        <f aca="false">IF(AND(B1004&lt;&gt;"",ISNUMBER(SEARCH(Recherche!$C$3,C1004&amp;" "&amp;B1004&amp;" "&amp;A1004&amp;" "&amp;D1004))),MAX($K$1:K1003)+1,"")</f>
        <v/>
      </c>
    </row>
    <row r="1005" customFormat="false" ht="15" hidden="false" customHeight="false" outlineLevel="0" collapsed="false">
      <c r="A1005" s="12"/>
      <c r="B1005" s="12"/>
      <c r="C1005" s="17" t="str">
        <f aca="false">IF(B1005="","",IFERROR(INDEX(Produits!$F$2:$F$1001,MATCH(B1005,Produits!$A$2:$A$1001,0)),"⚠ code article inconnu"))</f>
        <v/>
      </c>
      <c r="D1005" s="12"/>
      <c r="E1005" s="23"/>
      <c r="F1005" s="24"/>
      <c r="G1005" s="23"/>
      <c r="H1005" s="21" t="str">
        <f aca="true">IF(E1005="","",ROUND((E1005-TODAY())/30.4,1))</f>
        <v/>
      </c>
      <c r="I1005" s="17" t="str">
        <f aca="false">IF(E1005="","",IF(H1005&lt;0,IF(LEFT(A1005,1)="Q","Périmé (en quarantaine)","PÉRIMÉ → déplacer en zone Q"),IF(H1005&lt;3,"Péremption &lt; 3 mois",IF(H1005&lt;6,"Péremption &lt; 6 mois",""))))</f>
        <v/>
      </c>
      <c r="J1005" s="17" t="str">
        <f aca="false">IF(A1005="","",IF(COUNTIF(Emplacements!$A$2:$A$1001,A1005)=0,"⚠ emplacement inconnu","OK"))</f>
        <v/>
      </c>
      <c r="K1005" s="22" t="str">
        <f aca="false">IF(AND(B1005&lt;&gt;"",ISNUMBER(SEARCH(Recherche!$C$3,C1005&amp;" "&amp;B1005&amp;" "&amp;A1005&amp;" "&amp;D1005))),MAX($K$1:K1004)+1,"")</f>
        <v/>
      </c>
    </row>
    <row r="1006" customFormat="false" ht="15" hidden="false" customHeight="false" outlineLevel="0" collapsed="false">
      <c r="A1006" s="12"/>
      <c r="B1006" s="12"/>
      <c r="C1006" s="17" t="str">
        <f aca="false">IF(B1006="","",IFERROR(INDEX(Produits!$F$2:$F$1001,MATCH(B1006,Produits!$A$2:$A$1001,0)),"⚠ code article inconnu"))</f>
        <v/>
      </c>
      <c r="D1006" s="12"/>
      <c r="E1006" s="23"/>
      <c r="F1006" s="24"/>
      <c r="G1006" s="23"/>
      <c r="H1006" s="21" t="str">
        <f aca="true">IF(E1006="","",ROUND((E1006-TODAY())/30.4,1))</f>
        <v/>
      </c>
      <c r="I1006" s="17" t="str">
        <f aca="false">IF(E1006="","",IF(H1006&lt;0,IF(LEFT(A1006,1)="Q","Périmé (en quarantaine)","PÉRIMÉ → déplacer en zone Q"),IF(H1006&lt;3,"Péremption &lt; 3 mois",IF(H1006&lt;6,"Péremption &lt; 6 mois",""))))</f>
        <v/>
      </c>
      <c r="J1006" s="17" t="str">
        <f aca="false">IF(A1006="","",IF(COUNTIF(Emplacements!$A$2:$A$1001,A1006)=0,"⚠ emplacement inconnu","OK"))</f>
        <v/>
      </c>
      <c r="K1006" s="22" t="str">
        <f aca="false">IF(AND(B1006&lt;&gt;"",ISNUMBER(SEARCH(Recherche!$C$3,C1006&amp;" "&amp;B1006&amp;" "&amp;A1006&amp;" "&amp;D1006))),MAX($K$1:K1005)+1,"")</f>
        <v/>
      </c>
    </row>
    <row r="1007" customFormat="false" ht="15" hidden="false" customHeight="false" outlineLevel="0" collapsed="false">
      <c r="A1007" s="12"/>
      <c r="B1007" s="12"/>
      <c r="C1007" s="17" t="str">
        <f aca="false">IF(B1007="","",IFERROR(INDEX(Produits!$F$2:$F$1001,MATCH(B1007,Produits!$A$2:$A$1001,0)),"⚠ code article inconnu"))</f>
        <v/>
      </c>
      <c r="D1007" s="12"/>
      <c r="E1007" s="23"/>
      <c r="F1007" s="24"/>
      <c r="G1007" s="23"/>
      <c r="H1007" s="21" t="str">
        <f aca="true">IF(E1007="","",ROUND((E1007-TODAY())/30.4,1))</f>
        <v/>
      </c>
      <c r="I1007" s="17" t="str">
        <f aca="false">IF(E1007="","",IF(H1007&lt;0,IF(LEFT(A1007,1)="Q","Périmé (en quarantaine)","PÉRIMÉ → déplacer en zone Q"),IF(H1007&lt;3,"Péremption &lt; 3 mois",IF(H1007&lt;6,"Péremption &lt; 6 mois",""))))</f>
        <v/>
      </c>
      <c r="J1007" s="17" t="str">
        <f aca="false">IF(A1007="","",IF(COUNTIF(Emplacements!$A$2:$A$1001,A1007)=0,"⚠ emplacement inconnu","OK"))</f>
        <v/>
      </c>
      <c r="K1007" s="22" t="str">
        <f aca="false">IF(AND(B1007&lt;&gt;"",ISNUMBER(SEARCH(Recherche!$C$3,C1007&amp;" "&amp;B1007&amp;" "&amp;A1007&amp;" "&amp;D1007))),MAX($K$1:K1006)+1,"")</f>
        <v/>
      </c>
    </row>
    <row r="1008" customFormat="false" ht="15" hidden="false" customHeight="false" outlineLevel="0" collapsed="false">
      <c r="A1008" s="12"/>
      <c r="B1008" s="12"/>
      <c r="C1008" s="17" t="str">
        <f aca="false">IF(B1008="","",IFERROR(INDEX(Produits!$F$2:$F$1001,MATCH(B1008,Produits!$A$2:$A$1001,0)),"⚠ code article inconnu"))</f>
        <v/>
      </c>
      <c r="D1008" s="12"/>
      <c r="E1008" s="23"/>
      <c r="F1008" s="24"/>
      <c r="G1008" s="23"/>
      <c r="H1008" s="21" t="str">
        <f aca="true">IF(E1008="","",ROUND((E1008-TODAY())/30.4,1))</f>
        <v/>
      </c>
      <c r="I1008" s="17" t="str">
        <f aca="false">IF(E1008="","",IF(H1008&lt;0,IF(LEFT(A1008,1)="Q","Périmé (en quarantaine)","PÉRIMÉ → déplacer en zone Q"),IF(H1008&lt;3,"Péremption &lt; 3 mois",IF(H1008&lt;6,"Péremption &lt; 6 mois",""))))</f>
        <v/>
      </c>
      <c r="J1008" s="17" t="str">
        <f aca="false">IF(A1008="","",IF(COUNTIF(Emplacements!$A$2:$A$1001,A1008)=0,"⚠ emplacement inconnu","OK"))</f>
        <v/>
      </c>
      <c r="K1008" s="22" t="str">
        <f aca="false">IF(AND(B1008&lt;&gt;"",ISNUMBER(SEARCH(Recherche!$C$3,C1008&amp;" "&amp;B1008&amp;" "&amp;A1008&amp;" "&amp;D1008))),MAX($K$1:K1007)+1,"")</f>
        <v/>
      </c>
    </row>
    <row r="1009" customFormat="false" ht="15" hidden="false" customHeight="false" outlineLevel="0" collapsed="false">
      <c r="A1009" s="12"/>
      <c r="B1009" s="12"/>
      <c r="C1009" s="17" t="str">
        <f aca="false">IF(B1009="","",IFERROR(INDEX(Produits!$F$2:$F$1001,MATCH(B1009,Produits!$A$2:$A$1001,0)),"⚠ code article inconnu"))</f>
        <v/>
      </c>
      <c r="D1009" s="12"/>
      <c r="E1009" s="23"/>
      <c r="F1009" s="24"/>
      <c r="G1009" s="23"/>
      <c r="H1009" s="21" t="str">
        <f aca="true">IF(E1009="","",ROUND((E1009-TODAY())/30.4,1))</f>
        <v/>
      </c>
      <c r="I1009" s="17" t="str">
        <f aca="false">IF(E1009="","",IF(H1009&lt;0,IF(LEFT(A1009,1)="Q","Périmé (en quarantaine)","PÉRIMÉ → déplacer en zone Q"),IF(H1009&lt;3,"Péremption &lt; 3 mois",IF(H1009&lt;6,"Péremption &lt; 6 mois",""))))</f>
        <v/>
      </c>
      <c r="J1009" s="17" t="str">
        <f aca="false">IF(A1009="","",IF(COUNTIF(Emplacements!$A$2:$A$1001,A1009)=0,"⚠ emplacement inconnu","OK"))</f>
        <v/>
      </c>
      <c r="K1009" s="22" t="str">
        <f aca="false">IF(AND(B1009&lt;&gt;"",ISNUMBER(SEARCH(Recherche!$C$3,C1009&amp;" "&amp;B1009&amp;" "&amp;A1009&amp;" "&amp;D1009))),MAX($K$1:K1008)+1,"")</f>
        <v/>
      </c>
    </row>
    <row r="1010" customFormat="false" ht="15" hidden="false" customHeight="false" outlineLevel="0" collapsed="false">
      <c r="A1010" s="12"/>
      <c r="B1010" s="12"/>
      <c r="C1010" s="17" t="str">
        <f aca="false">IF(B1010="","",IFERROR(INDEX(Produits!$F$2:$F$1001,MATCH(B1010,Produits!$A$2:$A$1001,0)),"⚠ code article inconnu"))</f>
        <v/>
      </c>
      <c r="D1010" s="12"/>
      <c r="E1010" s="23"/>
      <c r="F1010" s="24"/>
      <c r="G1010" s="23"/>
      <c r="H1010" s="21" t="str">
        <f aca="true">IF(E1010="","",ROUND((E1010-TODAY())/30.4,1))</f>
        <v/>
      </c>
      <c r="I1010" s="17" t="str">
        <f aca="false">IF(E1010="","",IF(H1010&lt;0,IF(LEFT(A1010,1)="Q","Périmé (en quarantaine)","PÉRIMÉ → déplacer en zone Q"),IF(H1010&lt;3,"Péremption &lt; 3 mois",IF(H1010&lt;6,"Péremption &lt; 6 mois",""))))</f>
        <v/>
      </c>
      <c r="J1010" s="17" t="str">
        <f aca="false">IF(A1010="","",IF(COUNTIF(Emplacements!$A$2:$A$1001,A1010)=0,"⚠ emplacement inconnu","OK"))</f>
        <v/>
      </c>
      <c r="K1010" s="22" t="str">
        <f aca="false">IF(AND(B1010&lt;&gt;"",ISNUMBER(SEARCH(Recherche!$C$3,C1010&amp;" "&amp;B1010&amp;" "&amp;A1010&amp;" "&amp;D1010))),MAX($K$1:K1009)+1,"")</f>
        <v/>
      </c>
    </row>
    <row r="1011" customFormat="false" ht="15" hidden="false" customHeight="false" outlineLevel="0" collapsed="false">
      <c r="A1011" s="12"/>
      <c r="B1011" s="12"/>
      <c r="C1011" s="17" t="str">
        <f aca="false">IF(B1011="","",IFERROR(INDEX(Produits!$F$2:$F$1001,MATCH(B1011,Produits!$A$2:$A$1001,0)),"⚠ code article inconnu"))</f>
        <v/>
      </c>
      <c r="D1011" s="12"/>
      <c r="E1011" s="23"/>
      <c r="F1011" s="24"/>
      <c r="G1011" s="23"/>
      <c r="H1011" s="21" t="str">
        <f aca="true">IF(E1011="","",ROUND((E1011-TODAY())/30.4,1))</f>
        <v/>
      </c>
      <c r="I1011" s="17" t="str">
        <f aca="false">IF(E1011="","",IF(H1011&lt;0,IF(LEFT(A1011,1)="Q","Périmé (en quarantaine)","PÉRIMÉ → déplacer en zone Q"),IF(H1011&lt;3,"Péremption &lt; 3 mois",IF(H1011&lt;6,"Péremption &lt; 6 mois",""))))</f>
        <v/>
      </c>
      <c r="J1011" s="17" t="str">
        <f aca="false">IF(A1011="","",IF(COUNTIF(Emplacements!$A$2:$A$1001,A1011)=0,"⚠ emplacement inconnu","OK"))</f>
        <v/>
      </c>
      <c r="K1011" s="22" t="str">
        <f aca="false">IF(AND(B1011&lt;&gt;"",ISNUMBER(SEARCH(Recherche!$C$3,C1011&amp;" "&amp;B1011&amp;" "&amp;A1011&amp;" "&amp;D1011))),MAX($K$1:K1010)+1,"")</f>
        <v/>
      </c>
    </row>
    <row r="1012" customFormat="false" ht="15" hidden="false" customHeight="false" outlineLevel="0" collapsed="false">
      <c r="A1012" s="12"/>
      <c r="B1012" s="12"/>
      <c r="C1012" s="17" t="str">
        <f aca="false">IF(B1012="","",IFERROR(INDEX(Produits!$F$2:$F$1001,MATCH(B1012,Produits!$A$2:$A$1001,0)),"⚠ code article inconnu"))</f>
        <v/>
      </c>
      <c r="D1012" s="12"/>
      <c r="E1012" s="23"/>
      <c r="F1012" s="24"/>
      <c r="G1012" s="23"/>
      <c r="H1012" s="21" t="str">
        <f aca="true">IF(E1012="","",ROUND((E1012-TODAY())/30.4,1))</f>
        <v/>
      </c>
      <c r="I1012" s="17" t="str">
        <f aca="false">IF(E1012="","",IF(H1012&lt;0,IF(LEFT(A1012,1)="Q","Périmé (en quarantaine)","PÉRIMÉ → déplacer en zone Q"),IF(H1012&lt;3,"Péremption &lt; 3 mois",IF(H1012&lt;6,"Péremption &lt; 6 mois",""))))</f>
        <v/>
      </c>
      <c r="J1012" s="17" t="str">
        <f aca="false">IF(A1012="","",IF(COUNTIF(Emplacements!$A$2:$A$1001,A1012)=0,"⚠ emplacement inconnu","OK"))</f>
        <v/>
      </c>
      <c r="K1012" s="22" t="str">
        <f aca="false">IF(AND(B1012&lt;&gt;"",ISNUMBER(SEARCH(Recherche!$C$3,C1012&amp;" "&amp;B1012&amp;" "&amp;A1012&amp;" "&amp;D1012))),MAX($K$1:K1011)+1,"")</f>
        <v/>
      </c>
    </row>
    <row r="1013" customFormat="false" ht="15" hidden="false" customHeight="false" outlineLevel="0" collapsed="false">
      <c r="A1013" s="12"/>
      <c r="B1013" s="12"/>
      <c r="C1013" s="17" t="str">
        <f aca="false">IF(B1013="","",IFERROR(INDEX(Produits!$F$2:$F$1001,MATCH(B1013,Produits!$A$2:$A$1001,0)),"⚠ code article inconnu"))</f>
        <v/>
      </c>
      <c r="D1013" s="12"/>
      <c r="E1013" s="23"/>
      <c r="F1013" s="24"/>
      <c r="G1013" s="23"/>
      <c r="H1013" s="21" t="str">
        <f aca="true">IF(E1013="","",ROUND((E1013-TODAY())/30.4,1))</f>
        <v/>
      </c>
      <c r="I1013" s="17" t="str">
        <f aca="false">IF(E1013="","",IF(H1013&lt;0,IF(LEFT(A1013,1)="Q","Périmé (en quarantaine)","PÉRIMÉ → déplacer en zone Q"),IF(H1013&lt;3,"Péremption &lt; 3 mois",IF(H1013&lt;6,"Péremption &lt; 6 mois",""))))</f>
        <v/>
      </c>
      <c r="J1013" s="17" t="str">
        <f aca="false">IF(A1013="","",IF(COUNTIF(Emplacements!$A$2:$A$1001,A1013)=0,"⚠ emplacement inconnu","OK"))</f>
        <v/>
      </c>
      <c r="K1013" s="22" t="str">
        <f aca="false">IF(AND(B1013&lt;&gt;"",ISNUMBER(SEARCH(Recherche!$C$3,C1013&amp;" "&amp;B1013&amp;" "&amp;A1013&amp;" "&amp;D1013))),MAX($K$1:K1012)+1,"")</f>
        <v/>
      </c>
    </row>
    <row r="1014" customFormat="false" ht="15" hidden="false" customHeight="false" outlineLevel="0" collapsed="false">
      <c r="A1014" s="12"/>
      <c r="B1014" s="12"/>
      <c r="C1014" s="17" t="str">
        <f aca="false">IF(B1014="","",IFERROR(INDEX(Produits!$F$2:$F$1001,MATCH(B1014,Produits!$A$2:$A$1001,0)),"⚠ code article inconnu"))</f>
        <v/>
      </c>
      <c r="D1014" s="12"/>
      <c r="E1014" s="23"/>
      <c r="F1014" s="24"/>
      <c r="G1014" s="23"/>
      <c r="H1014" s="21" t="str">
        <f aca="true">IF(E1014="","",ROUND((E1014-TODAY())/30.4,1))</f>
        <v/>
      </c>
      <c r="I1014" s="17" t="str">
        <f aca="false">IF(E1014="","",IF(H1014&lt;0,IF(LEFT(A1014,1)="Q","Périmé (en quarantaine)","PÉRIMÉ → déplacer en zone Q"),IF(H1014&lt;3,"Péremption &lt; 3 mois",IF(H1014&lt;6,"Péremption &lt; 6 mois",""))))</f>
        <v/>
      </c>
      <c r="J1014" s="17" t="str">
        <f aca="false">IF(A1014="","",IF(COUNTIF(Emplacements!$A$2:$A$1001,A1014)=0,"⚠ emplacement inconnu","OK"))</f>
        <v/>
      </c>
      <c r="K1014" s="22" t="str">
        <f aca="false">IF(AND(B1014&lt;&gt;"",ISNUMBER(SEARCH(Recherche!$C$3,C1014&amp;" "&amp;B1014&amp;" "&amp;A1014&amp;" "&amp;D1014))),MAX($K$1:K1013)+1,"")</f>
        <v/>
      </c>
    </row>
    <row r="1015" customFormat="false" ht="15" hidden="false" customHeight="false" outlineLevel="0" collapsed="false">
      <c r="A1015" s="12"/>
      <c r="B1015" s="12"/>
      <c r="C1015" s="17" t="str">
        <f aca="false">IF(B1015="","",IFERROR(INDEX(Produits!$F$2:$F$1001,MATCH(B1015,Produits!$A$2:$A$1001,0)),"⚠ code article inconnu"))</f>
        <v/>
      </c>
      <c r="D1015" s="12"/>
      <c r="E1015" s="23"/>
      <c r="F1015" s="24"/>
      <c r="G1015" s="23"/>
      <c r="H1015" s="21" t="str">
        <f aca="true">IF(E1015="","",ROUND((E1015-TODAY())/30.4,1))</f>
        <v/>
      </c>
      <c r="I1015" s="17" t="str">
        <f aca="false">IF(E1015="","",IF(H1015&lt;0,IF(LEFT(A1015,1)="Q","Périmé (en quarantaine)","PÉRIMÉ → déplacer en zone Q"),IF(H1015&lt;3,"Péremption &lt; 3 mois",IF(H1015&lt;6,"Péremption &lt; 6 mois",""))))</f>
        <v/>
      </c>
      <c r="J1015" s="17" t="str">
        <f aca="false">IF(A1015="","",IF(COUNTIF(Emplacements!$A$2:$A$1001,A1015)=0,"⚠ emplacement inconnu","OK"))</f>
        <v/>
      </c>
      <c r="K1015" s="22" t="str">
        <f aca="false">IF(AND(B1015&lt;&gt;"",ISNUMBER(SEARCH(Recherche!$C$3,C1015&amp;" "&amp;B1015&amp;" "&amp;A1015&amp;" "&amp;D1015))),MAX($K$1:K1014)+1,"")</f>
        <v/>
      </c>
    </row>
    <row r="1016" customFormat="false" ht="15" hidden="false" customHeight="false" outlineLevel="0" collapsed="false">
      <c r="A1016" s="12"/>
      <c r="B1016" s="12"/>
      <c r="C1016" s="17" t="str">
        <f aca="false">IF(B1016="","",IFERROR(INDEX(Produits!$F$2:$F$1001,MATCH(B1016,Produits!$A$2:$A$1001,0)),"⚠ code article inconnu"))</f>
        <v/>
      </c>
      <c r="D1016" s="12"/>
      <c r="E1016" s="23"/>
      <c r="F1016" s="24"/>
      <c r="G1016" s="23"/>
      <c r="H1016" s="21" t="str">
        <f aca="true">IF(E1016="","",ROUND((E1016-TODAY())/30.4,1))</f>
        <v/>
      </c>
      <c r="I1016" s="17" t="str">
        <f aca="false">IF(E1016="","",IF(H1016&lt;0,IF(LEFT(A1016,1)="Q","Périmé (en quarantaine)","PÉRIMÉ → déplacer en zone Q"),IF(H1016&lt;3,"Péremption &lt; 3 mois",IF(H1016&lt;6,"Péremption &lt; 6 mois",""))))</f>
        <v/>
      </c>
      <c r="J1016" s="17" t="str">
        <f aca="false">IF(A1016="","",IF(COUNTIF(Emplacements!$A$2:$A$1001,A1016)=0,"⚠ emplacement inconnu","OK"))</f>
        <v/>
      </c>
      <c r="K1016" s="22" t="str">
        <f aca="false">IF(AND(B1016&lt;&gt;"",ISNUMBER(SEARCH(Recherche!$C$3,C1016&amp;" "&amp;B1016&amp;" "&amp;A1016&amp;" "&amp;D1016))),MAX($K$1:K1015)+1,"")</f>
        <v/>
      </c>
    </row>
    <row r="1017" customFormat="false" ht="15" hidden="false" customHeight="false" outlineLevel="0" collapsed="false">
      <c r="A1017" s="12"/>
      <c r="B1017" s="12"/>
      <c r="C1017" s="17" t="str">
        <f aca="false">IF(B1017="","",IFERROR(INDEX(Produits!$F$2:$F$1001,MATCH(B1017,Produits!$A$2:$A$1001,0)),"⚠ code article inconnu"))</f>
        <v/>
      </c>
      <c r="D1017" s="12"/>
      <c r="E1017" s="23"/>
      <c r="F1017" s="24"/>
      <c r="G1017" s="23"/>
      <c r="H1017" s="21" t="str">
        <f aca="true">IF(E1017="","",ROUND((E1017-TODAY())/30.4,1))</f>
        <v/>
      </c>
      <c r="I1017" s="17" t="str">
        <f aca="false">IF(E1017="","",IF(H1017&lt;0,IF(LEFT(A1017,1)="Q","Périmé (en quarantaine)","PÉRIMÉ → déplacer en zone Q"),IF(H1017&lt;3,"Péremption &lt; 3 mois",IF(H1017&lt;6,"Péremption &lt; 6 mois",""))))</f>
        <v/>
      </c>
      <c r="J1017" s="17" t="str">
        <f aca="false">IF(A1017="","",IF(COUNTIF(Emplacements!$A$2:$A$1001,A1017)=0,"⚠ emplacement inconnu","OK"))</f>
        <v/>
      </c>
      <c r="K1017" s="22" t="str">
        <f aca="false">IF(AND(B1017&lt;&gt;"",ISNUMBER(SEARCH(Recherche!$C$3,C1017&amp;" "&amp;B1017&amp;" "&amp;A1017&amp;" "&amp;D1017))),MAX($K$1:K1016)+1,"")</f>
        <v/>
      </c>
    </row>
    <row r="1018" customFormat="false" ht="15" hidden="false" customHeight="false" outlineLevel="0" collapsed="false">
      <c r="A1018" s="12"/>
      <c r="B1018" s="12"/>
      <c r="C1018" s="17" t="str">
        <f aca="false">IF(B1018="","",IFERROR(INDEX(Produits!$F$2:$F$1001,MATCH(B1018,Produits!$A$2:$A$1001,0)),"⚠ code article inconnu"))</f>
        <v/>
      </c>
      <c r="D1018" s="12"/>
      <c r="E1018" s="23"/>
      <c r="F1018" s="24"/>
      <c r="G1018" s="23"/>
      <c r="H1018" s="21" t="str">
        <f aca="true">IF(E1018="","",ROUND((E1018-TODAY())/30.4,1))</f>
        <v/>
      </c>
      <c r="I1018" s="17" t="str">
        <f aca="false">IF(E1018="","",IF(H1018&lt;0,IF(LEFT(A1018,1)="Q","Périmé (en quarantaine)","PÉRIMÉ → déplacer en zone Q"),IF(H1018&lt;3,"Péremption &lt; 3 mois",IF(H1018&lt;6,"Péremption &lt; 6 mois",""))))</f>
        <v/>
      </c>
      <c r="J1018" s="17" t="str">
        <f aca="false">IF(A1018="","",IF(COUNTIF(Emplacements!$A$2:$A$1001,A1018)=0,"⚠ emplacement inconnu","OK"))</f>
        <v/>
      </c>
      <c r="K1018" s="22" t="str">
        <f aca="false">IF(AND(B1018&lt;&gt;"",ISNUMBER(SEARCH(Recherche!$C$3,C1018&amp;" "&amp;B1018&amp;" "&amp;A1018&amp;" "&amp;D1018))),MAX($K$1:K1017)+1,"")</f>
        <v/>
      </c>
    </row>
    <row r="1019" customFormat="false" ht="15" hidden="false" customHeight="false" outlineLevel="0" collapsed="false">
      <c r="A1019" s="12"/>
      <c r="B1019" s="12"/>
      <c r="C1019" s="17" t="str">
        <f aca="false">IF(B1019="","",IFERROR(INDEX(Produits!$F$2:$F$1001,MATCH(B1019,Produits!$A$2:$A$1001,0)),"⚠ code article inconnu"))</f>
        <v/>
      </c>
      <c r="D1019" s="12"/>
      <c r="E1019" s="23"/>
      <c r="F1019" s="24"/>
      <c r="G1019" s="23"/>
      <c r="H1019" s="21" t="str">
        <f aca="true">IF(E1019="","",ROUND((E1019-TODAY())/30.4,1))</f>
        <v/>
      </c>
      <c r="I1019" s="17" t="str">
        <f aca="false">IF(E1019="","",IF(H1019&lt;0,IF(LEFT(A1019,1)="Q","Périmé (en quarantaine)","PÉRIMÉ → déplacer en zone Q"),IF(H1019&lt;3,"Péremption &lt; 3 mois",IF(H1019&lt;6,"Péremption &lt; 6 mois",""))))</f>
        <v/>
      </c>
      <c r="J1019" s="17" t="str">
        <f aca="false">IF(A1019="","",IF(COUNTIF(Emplacements!$A$2:$A$1001,A1019)=0,"⚠ emplacement inconnu","OK"))</f>
        <v/>
      </c>
      <c r="K1019" s="22" t="str">
        <f aca="false">IF(AND(B1019&lt;&gt;"",ISNUMBER(SEARCH(Recherche!$C$3,C1019&amp;" "&amp;B1019&amp;" "&amp;A1019&amp;" "&amp;D1019))),MAX($K$1:K1018)+1,"")</f>
        <v/>
      </c>
    </row>
    <row r="1020" customFormat="false" ht="15" hidden="false" customHeight="false" outlineLevel="0" collapsed="false">
      <c r="A1020" s="12"/>
      <c r="B1020" s="12"/>
      <c r="C1020" s="17" t="str">
        <f aca="false">IF(B1020="","",IFERROR(INDEX(Produits!$F$2:$F$1001,MATCH(B1020,Produits!$A$2:$A$1001,0)),"⚠ code article inconnu"))</f>
        <v/>
      </c>
      <c r="D1020" s="12"/>
      <c r="E1020" s="23"/>
      <c r="F1020" s="24"/>
      <c r="G1020" s="23"/>
      <c r="H1020" s="21" t="str">
        <f aca="true">IF(E1020="","",ROUND((E1020-TODAY())/30.4,1))</f>
        <v/>
      </c>
      <c r="I1020" s="17" t="str">
        <f aca="false">IF(E1020="","",IF(H1020&lt;0,IF(LEFT(A1020,1)="Q","Périmé (en quarantaine)","PÉRIMÉ → déplacer en zone Q"),IF(H1020&lt;3,"Péremption &lt; 3 mois",IF(H1020&lt;6,"Péremption &lt; 6 mois",""))))</f>
        <v/>
      </c>
      <c r="J1020" s="17" t="str">
        <f aca="false">IF(A1020="","",IF(COUNTIF(Emplacements!$A$2:$A$1001,A1020)=0,"⚠ emplacement inconnu","OK"))</f>
        <v/>
      </c>
      <c r="K1020" s="22" t="str">
        <f aca="false">IF(AND(B1020&lt;&gt;"",ISNUMBER(SEARCH(Recherche!$C$3,C1020&amp;" "&amp;B1020&amp;" "&amp;A1020&amp;" "&amp;D1020))),MAX($K$1:K1019)+1,"")</f>
        <v/>
      </c>
    </row>
    <row r="1021" customFormat="false" ht="15" hidden="false" customHeight="false" outlineLevel="0" collapsed="false">
      <c r="A1021" s="12"/>
      <c r="B1021" s="12"/>
      <c r="C1021" s="17" t="str">
        <f aca="false">IF(B1021="","",IFERROR(INDEX(Produits!$F$2:$F$1001,MATCH(B1021,Produits!$A$2:$A$1001,0)),"⚠ code article inconnu"))</f>
        <v/>
      </c>
      <c r="D1021" s="12"/>
      <c r="E1021" s="23"/>
      <c r="F1021" s="24"/>
      <c r="G1021" s="23"/>
      <c r="H1021" s="21" t="str">
        <f aca="true">IF(E1021="","",ROUND((E1021-TODAY())/30.4,1))</f>
        <v/>
      </c>
      <c r="I1021" s="17" t="str">
        <f aca="false">IF(E1021="","",IF(H1021&lt;0,IF(LEFT(A1021,1)="Q","Périmé (en quarantaine)","PÉRIMÉ → déplacer en zone Q"),IF(H1021&lt;3,"Péremption &lt; 3 mois",IF(H1021&lt;6,"Péremption &lt; 6 mois",""))))</f>
        <v/>
      </c>
      <c r="J1021" s="17" t="str">
        <f aca="false">IF(A1021="","",IF(COUNTIF(Emplacements!$A$2:$A$1001,A1021)=0,"⚠ emplacement inconnu","OK"))</f>
        <v/>
      </c>
      <c r="K1021" s="22" t="str">
        <f aca="false">IF(AND(B1021&lt;&gt;"",ISNUMBER(SEARCH(Recherche!$C$3,C1021&amp;" "&amp;B1021&amp;" "&amp;A1021&amp;" "&amp;D1021))),MAX($K$1:K1020)+1,"")</f>
        <v/>
      </c>
    </row>
    <row r="1022" customFormat="false" ht="15" hidden="false" customHeight="false" outlineLevel="0" collapsed="false">
      <c r="A1022" s="12"/>
      <c r="B1022" s="12"/>
      <c r="C1022" s="17" t="str">
        <f aca="false">IF(B1022="","",IFERROR(INDEX(Produits!$F$2:$F$1001,MATCH(B1022,Produits!$A$2:$A$1001,0)),"⚠ code article inconnu"))</f>
        <v/>
      </c>
      <c r="D1022" s="12"/>
      <c r="E1022" s="23"/>
      <c r="F1022" s="24"/>
      <c r="G1022" s="23"/>
      <c r="H1022" s="21" t="str">
        <f aca="true">IF(E1022="","",ROUND((E1022-TODAY())/30.4,1))</f>
        <v/>
      </c>
      <c r="I1022" s="17" t="str">
        <f aca="false">IF(E1022="","",IF(H1022&lt;0,IF(LEFT(A1022,1)="Q","Périmé (en quarantaine)","PÉRIMÉ → déplacer en zone Q"),IF(H1022&lt;3,"Péremption &lt; 3 mois",IF(H1022&lt;6,"Péremption &lt; 6 mois",""))))</f>
        <v/>
      </c>
      <c r="J1022" s="17" t="str">
        <f aca="false">IF(A1022="","",IF(COUNTIF(Emplacements!$A$2:$A$1001,A1022)=0,"⚠ emplacement inconnu","OK"))</f>
        <v/>
      </c>
      <c r="K1022" s="22" t="str">
        <f aca="false">IF(AND(B1022&lt;&gt;"",ISNUMBER(SEARCH(Recherche!$C$3,C1022&amp;" "&amp;B1022&amp;" "&amp;A1022&amp;" "&amp;D1022))),MAX($K$1:K1021)+1,"")</f>
        <v/>
      </c>
    </row>
    <row r="1023" customFormat="false" ht="15" hidden="false" customHeight="false" outlineLevel="0" collapsed="false">
      <c r="A1023" s="12"/>
      <c r="B1023" s="12"/>
      <c r="C1023" s="17" t="str">
        <f aca="false">IF(B1023="","",IFERROR(INDEX(Produits!$F$2:$F$1001,MATCH(B1023,Produits!$A$2:$A$1001,0)),"⚠ code article inconnu"))</f>
        <v/>
      </c>
      <c r="D1023" s="12"/>
      <c r="E1023" s="23"/>
      <c r="F1023" s="24"/>
      <c r="G1023" s="23"/>
      <c r="H1023" s="21" t="str">
        <f aca="true">IF(E1023="","",ROUND((E1023-TODAY())/30.4,1))</f>
        <v/>
      </c>
      <c r="I1023" s="17" t="str">
        <f aca="false">IF(E1023="","",IF(H1023&lt;0,IF(LEFT(A1023,1)="Q","Périmé (en quarantaine)","PÉRIMÉ → déplacer en zone Q"),IF(H1023&lt;3,"Péremption &lt; 3 mois",IF(H1023&lt;6,"Péremption &lt; 6 mois",""))))</f>
        <v/>
      </c>
      <c r="J1023" s="17" t="str">
        <f aca="false">IF(A1023="","",IF(COUNTIF(Emplacements!$A$2:$A$1001,A1023)=0,"⚠ emplacement inconnu","OK"))</f>
        <v/>
      </c>
      <c r="K1023" s="22" t="str">
        <f aca="false">IF(AND(B1023&lt;&gt;"",ISNUMBER(SEARCH(Recherche!$C$3,C1023&amp;" "&amp;B1023&amp;" "&amp;A1023&amp;" "&amp;D1023))),MAX($K$1:K1022)+1,"")</f>
        <v/>
      </c>
    </row>
    <row r="1024" customFormat="false" ht="15" hidden="false" customHeight="false" outlineLevel="0" collapsed="false">
      <c r="A1024" s="12"/>
      <c r="B1024" s="12"/>
      <c r="C1024" s="17" t="str">
        <f aca="false">IF(B1024="","",IFERROR(INDEX(Produits!$F$2:$F$1001,MATCH(B1024,Produits!$A$2:$A$1001,0)),"⚠ code article inconnu"))</f>
        <v/>
      </c>
      <c r="D1024" s="12"/>
      <c r="E1024" s="23"/>
      <c r="F1024" s="24"/>
      <c r="G1024" s="23"/>
      <c r="H1024" s="21" t="str">
        <f aca="true">IF(E1024="","",ROUND((E1024-TODAY())/30.4,1))</f>
        <v/>
      </c>
      <c r="I1024" s="17" t="str">
        <f aca="false">IF(E1024="","",IF(H1024&lt;0,IF(LEFT(A1024,1)="Q","Périmé (en quarantaine)","PÉRIMÉ → déplacer en zone Q"),IF(H1024&lt;3,"Péremption &lt; 3 mois",IF(H1024&lt;6,"Péremption &lt; 6 mois",""))))</f>
        <v/>
      </c>
      <c r="J1024" s="17" t="str">
        <f aca="false">IF(A1024="","",IF(COUNTIF(Emplacements!$A$2:$A$1001,A1024)=0,"⚠ emplacement inconnu","OK"))</f>
        <v/>
      </c>
      <c r="K1024" s="22" t="str">
        <f aca="false">IF(AND(B1024&lt;&gt;"",ISNUMBER(SEARCH(Recherche!$C$3,C1024&amp;" "&amp;B1024&amp;" "&amp;A1024&amp;" "&amp;D1024))),MAX($K$1:K1023)+1,"")</f>
        <v/>
      </c>
    </row>
    <row r="1025" customFormat="false" ht="15" hidden="false" customHeight="false" outlineLevel="0" collapsed="false">
      <c r="A1025" s="12"/>
      <c r="B1025" s="12"/>
      <c r="C1025" s="17" t="str">
        <f aca="false">IF(B1025="","",IFERROR(INDEX(Produits!$F$2:$F$1001,MATCH(B1025,Produits!$A$2:$A$1001,0)),"⚠ code article inconnu"))</f>
        <v/>
      </c>
      <c r="D1025" s="12"/>
      <c r="E1025" s="23"/>
      <c r="F1025" s="24"/>
      <c r="G1025" s="23"/>
      <c r="H1025" s="21" t="str">
        <f aca="true">IF(E1025="","",ROUND((E1025-TODAY())/30.4,1))</f>
        <v/>
      </c>
      <c r="I1025" s="17" t="str">
        <f aca="false">IF(E1025="","",IF(H1025&lt;0,IF(LEFT(A1025,1)="Q","Périmé (en quarantaine)","PÉRIMÉ → déplacer en zone Q"),IF(H1025&lt;3,"Péremption &lt; 3 mois",IF(H1025&lt;6,"Péremption &lt; 6 mois",""))))</f>
        <v/>
      </c>
      <c r="J1025" s="17" t="str">
        <f aca="false">IF(A1025="","",IF(COUNTIF(Emplacements!$A$2:$A$1001,A1025)=0,"⚠ emplacement inconnu","OK"))</f>
        <v/>
      </c>
      <c r="K1025" s="22" t="str">
        <f aca="false">IF(AND(B1025&lt;&gt;"",ISNUMBER(SEARCH(Recherche!$C$3,C1025&amp;" "&amp;B1025&amp;" "&amp;A1025&amp;" "&amp;D1025))),MAX($K$1:K1024)+1,"")</f>
        <v/>
      </c>
    </row>
    <row r="1026" customFormat="false" ht="15" hidden="false" customHeight="false" outlineLevel="0" collapsed="false">
      <c r="A1026" s="12"/>
      <c r="B1026" s="12"/>
      <c r="C1026" s="17" t="str">
        <f aca="false">IF(B1026="","",IFERROR(INDEX(Produits!$F$2:$F$1001,MATCH(B1026,Produits!$A$2:$A$1001,0)),"⚠ code article inconnu"))</f>
        <v/>
      </c>
      <c r="D1026" s="12"/>
      <c r="E1026" s="23"/>
      <c r="F1026" s="24"/>
      <c r="G1026" s="23"/>
      <c r="H1026" s="21" t="str">
        <f aca="true">IF(E1026="","",ROUND((E1026-TODAY())/30.4,1))</f>
        <v/>
      </c>
      <c r="I1026" s="17" t="str">
        <f aca="false">IF(E1026="","",IF(H1026&lt;0,IF(LEFT(A1026,1)="Q","Périmé (en quarantaine)","PÉRIMÉ → déplacer en zone Q"),IF(H1026&lt;3,"Péremption &lt; 3 mois",IF(H1026&lt;6,"Péremption &lt; 6 mois",""))))</f>
        <v/>
      </c>
      <c r="J1026" s="17" t="str">
        <f aca="false">IF(A1026="","",IF(COUNTIF(Emplacements!$A$2:$A$1001,A1026)=0,"⚠ emplacement inconnu","OK"))</f>
        <v/>
      </c>
      <c r="K1026" s="22" t="str">
        <f aca="false">IF(AND(B1026&lt;&gt;"",ISNUMBER(SEARCH(Recherche!$C$3,C1026&amp;" "&amp;B1026&amp;" "&amp;A1026&amp;" "&amp;D1026))),MAX($K$1:K1025)+1,"")</f>
        <v/>
      </c>
    </row>
    <row r="1027" customFormat="false" ht="15" hidden="false" customHeight="false" outlineLevel="0" collapsed="false">
      <c r="A1027" s="12"/>
      <c r="B1027" s="12"/>
      <c r="C1027" s="17" t="str">
        <f aca="false">IF(B1027="","",IFERROR(INDEX(Produits!$F$2:$F$1001,MATCH(B1027,Produits!$A$2:$A$1001,0)),"⚠ code article inconnu"))</f>
        <v/>
      </c>
      <c r="D1027" s="12"/>
      <c r="E1027" s="23"/>
      <c r="F1027" s="24"/>
      <c r="G1027" s="23"/>
      <c r="H1027" s="21" t="str">
        <f aca="true">IF(E1027="","",ROUND((E1027-TODAY())/30.4,1))</f>
        <v/>
      </c>
      <c r="I1027" s="17" t="str">
        <f aca="false">IF(E1027="","",IF(H1027&lt;0,IF(LEFT(A1027,1)="Q","Périmé (en quarantaine)","PÉRIMÉ → déplacer en zone Q"),IF(H1027&lt;3,"Péremption &lt; 3 mois",IF(H1027&lt;6,"Péremption &lt; 6 mois",""))))</f>
        <v/>
      </c>
      <c r="J1027" s="17" t="str">
        <f aca="false">IF(A1027="","",IF(COUNTIF(Emplacements!$A$2:$A$1001,A1027)=0,"⚠ emplacement inconnu","OK"))</f>
        <v/>
      </c>
      <c r="K1027" s="22" t="str">
        <f aca="false">IF(AND(B1027&lt;&gt;"",ISNUMBER(SEARCH(Recherche!$C$3,C1027&amp;" "&amp;B1027&amp;" "&amp;A1027&amp;" "&amp;D1027))),MAX($K$1:K1026)+1,"")</f>
        <v/>
      </c>
    </row>
    <row r="1028" customFormat="false" ht="15" hidden="false" customHeight="false" outlineLevel="0" collapsed="false">
      <c r="A1028" s="12"/>
      <c r="B1028" s="12"/>
      <c r="C1028" s="17" t="str">
        <f aca="false">IF(B1028="","",IFERROR(INDEX(Produits!$F$2:$F$1001,MATCH(B1028,Produits!$A$2:$A$1001,0)),"⚠ code article inconnu"))</f>
        <v/>
      </c>
      <c r="D1028" s="12"/>
      <c r="E1028" s="23"/>
      <c r="F1028" s="24"/>
      <c r="G1028" s="23"/>
      <c r="H1028" s="21" t="str">
        <f aca="true">IF(E1028="","",ROUND((E1028-TODAY())/30.4,1))</f>
        <v/>
      </c>
      <c r="I1028" s="17" t="str">
        <f aca="false">IF(E1028="","",IF(H1028&lt;0,IF(LEFT(A1028,1)="Q","Périmé (en quarantaine)","PÉRIMÉ → déplacer en zone Q"),IF(H1028&lt;3,"Péremption &lt; 3 mois",IF(H1028&lt;6,"Péremption &lt; 6 mois",""))))</f>
        <v/>
      </c>
      <c r="J1028" s="17" t="str">
        <f aca="false">IF(A1028="","",IF(COUNTIF(Emplacements!$A$2:$A$1001,A1028)=0,"⚠ emplacement inconnu","OK"))</f>
        <v/>
      </c>
      <c r="K1028" s="22" t="str">
        <f aca="false">IF(AND(B1028&lt;&gt;"",ISNUMBER(SEARCH(Recherche!$C$3,C1028&amp;" "&amp;B1028&amp;" "&amp;A1028&amp;" "&amp;D1028))),MAX($K$1:K1027)+1,"")</f>
        <v/>
      </c>
    </row>
    <row r="1029" customFormat="false" ht="15" hidden="false" customHeight="false" outlineLevel="0" collapsed="false">
      <c r="A1029" s="12"/>
      <c r="B1029" s="12"/>
      <c r="C1029" s="17" t="str">
        <f aca="false">IF(B1029="","",IFERROR(INDEX(Produits!$F$2:$F$1001,MATCH(B1029,Produits!$A$2:$A$1001,0)),"⚠ code article inconnu"))</f>
        <v/>
      </c>
      <c r="D1029" s="12"/>
      <c r="E1029" s="23"/>
      <c r="F1029" s="24"/>
      <c r="G1029" s="23"/>
      <c r="H1029" s="21" t="str">
        <f aca="true">IF(E1029="","",ROUND((E1029-TODAY())/30.4,1))</f>
        <v/>
      </c>
      <c r="I1029" s="17" t="str">
        <f aca="false">IF(E1029="","",IF(H1029&lt;0,IF(LEFT(A1029,1)="Q","Périmé (en quarantaine)","PÉRIMÉ → déplacer en zone Q"),IF(H1029&lt;3,"Péremption &lt; 3 mois",IF(H1029&lt;6,"Péremption &lt; 6 mois",""))))</f>
        <v/>
      </c>
      <c r="J1029" s="17" t="str">
        <f aca="false">IF(A1029="","",IF(COUNTIF(Emplacements!$A$2:$A$1001,A1029)=0,"⚠ emplacement inconnu","OK"))</f>
        <v/>
      </c>
      <c r="K1029" s="22" t="str">
        <f aca="false">IF(AND(B1029&lt;&gt;"",ISNUMBER(SEARCH(Recherche!$C$3,C1029&amp;" "&amp;B1029&amp;" "&amp;A1029&amp;" "&amp;D1029))),MAX($K$1:K1028)+1,"")</f>
        <v/>
      </c>
    </row>
    <row r="1030" customFormat="false" ht="15" hidden="false" customHeight="false" outlineLevel="0" collapsed="false">
      <c r="A1030" s="12"/>
      <c r="B1030" s="12"/>
      <c r="C1030" s="17" t="str">
        <f aca="false">IF(B1030="","",IFERROR(INDEX(Produits!$F$2:$F$1001,MATCH(B1030,Produits!$A$2:$A$1001,0)),"⚠ code article inconnu"))</f>
        <v/>
      </c>
      <c r="D1030" s="12"/>
      <c r="E1030" s="23"/>
      <c r="F1030" s="24"/>
      <c r="G1030" s="23"/>
      <c r="H1030" s="21" t="str">
        <f aca="true">IF(E1030="","",ROUND((E1030-TODAY())/30.4,1))</f>
        <v/>
      </c>
      <c r="I1030" s="17" t="str">
        <f aca="false">IF(E1030="","",IF(H1030&lt;0,IF(LEFT(A1030,1)="Q","Périmé (en quarantaine)","PÉRIMÉ → déplacer en zone Q"),IF(H1030&lt;3,"Péremption &lt; 3 mois",IF(H1030&lt;6,"Péremption &lt; 6 mois",""))))</f>
        <v/>
      </c>
      <c r="J1030" s="17" t="str">
        <f aca="false">IF(A1030="","",IF(COUNTIF(Emplacements!$A$2:$A$1001,A1030)=0,"⚠ emplacement inconnu","OK"))</f>
        <v/>
      </c>
      <c r="K1030" s="22" t="str">
        <f aca="false">IF(AND(B1030&lt;&gt;"",ISNUMBER(SEARCH(Recherche!$C$3,C1030&amp;" "&amp;B1030&amp;" "&amp;A1030&amp;" "&amp;D1030))),MAX($K$1:K1029)+1,"")</f>
        <v/>
      </c>
    </row>
    <row r="1031" customFormat="false" ht="15" hidden="false" customHeight="false" outlineLevel="0" collapsed="false">
      <c r="A1031" s="12"/>
      <c r="B1031" s="12"/>
      <c r="C1031" s="17" t="str">
        <f aca="false">IF(B1031="","",IFERROR(INDEX(Produits!$F$2:$F$1001,MATCH(B1031,Produits!$A$2:$A$1001,0)),"⚠ code article inconnu"))</f>
        <v/>
      </c>
      <c r="D1031" s="12"/>
      <c r="E1031" s="23"/>
      <c r="F1031" s="24"/>
      <c r="G1031" s="23"/>
      <c r="H1031" s="21" t="str">
        <f aca="true">IF(E1031="","",ROUND((E1031-TODAY())/30.4,1))</f>
        <v/>
      </c>
      <c r="I1031" s="17" t="str">
        <f aca="false">IF(E1031="","",IF(H1031&lt;0,IF(LEFT(A1031,1)="Q","Périmé (en quarantaine)","PÉRIMÉ → déplacer en zone Q"),IF(H1031&lt;3,"Péremption &lt; 3 mois",IF(H1031&lt;6,"Péremption &lt; 6 mois",""))))</f>
        <v/>
      </c>
      <c r="J1031" s="17" t="str">
        <f aca="false">IF(A1031="","",IF(COUNTIF(Emplacements!$A$2:$A$1001,A1031)=0,"⚠ emplacement inconnu","OK"))</f>
        <v/>
      </c>
      <c r="K1031" s="22" t="str">
        <f aca="false">IF(AND(B1031&lt;&gt;"",ISNUMBER(SEARCH(Recherche!$C$3,C1031&amp;" "&amp;B1031&amp;" "&amp;A1031&amp;" "&amp;D1031))),MAX($K$1:K1030)+1,"")</f>
        <v/>
      </c>
    </row>
    <row r="1032" customFormat="false" ht="15" hidden="false" customHeight="false" outlineLevel="0" collapsed="false">
      <c r="A1032" s="12"/>
      <c r="B1032" s="12"/>
      <c r="C1032" s="17" t="str">
        <f aca="false">IF(B1032="","",IFERROR(INDEX(Produits!$F$2:$F$1001,MATCH(B1032,Produits!$A$2:$A$1001,0)),"⚠ code article inconnu"))</f>
        <v/>
      </c>
      <c r="D1032" s="12"/>
      <c r="E1032" s="23"/>
      <c r="F1032" s="24"/>
      <c r="G1032" s="23"/>
      <c r="H1032" s="21" t="str">
        <f aca="true">IF(E1032="","",ROUND((E1032-TODAY())/30.4,1))</f>
        <v/>
      </c>
      <c r="I1032" s="17" t="str">
        <f aca="false">IF(E1032="","",IF(H1032&lt;0,IF(LEFT(A1032,1)="Q","Périmé (en quarantaine)","PÉRIMÉ → déplacer en zone Q"),IF(H1032&lt;3,"Péremption &lt; 3 mois",IF(H1032&lt;6,"Péremption &lt; 6 mois",""))))</f>
        <v/>
      </c>
      <c r="J1032" s="17" t="str">
        <f aca="false">IF(A1032="","",IF(COUNTIF(Emplacements!$A$2:$A$1001,A1032)=0,"⚠ emplacement inconnu","OK"))</f>
        <v/>
      </c>
      <c r="K1032" s="22" t="str">
        <f aca="false">IF(AND(B1032&lt;&gt;"",ISNUMBER(SEARCH(Recherche!$C$3,C1032&amp;" "&amp;B1032&amp;" "&amp;A1032&amp;" "&amp;D1032))),MAX($K$1:K1031)+1,"")</f>
        <v/>
      </c>
    </row>
    <row r="1033" customFormat="false" ht="15" hidden="false" customHeight="false" outlineLevel="0" collapsed="false">
      <c r="A1033" s="12"/>
      <c r="B1033" s="12"/>
      <c r="C1033" s="17" t="str">
        <f aca="false">IF(B1033="","",IFERROR(INDEX(Produits!$F$2:$F$1001,MATCH(B1033,Produits!$A$2:$A$1001,0)),"⚠ code article inconnu"))</f>
        <v/>
      </c>
      <c r="D1033" s="12"/>
      <c r="E1033" s="23"/>
      <c r="F1033" s="24"/>
      <c r="G1033" s="23"/>
      <c r="H1033" s="21" t="str">
        <f aca="true">IF(E1033="","",ROUND((E1033-TODAY())/30.4,1))</f>
        <v/>
      </c>
      <c r="I1033" s="17" t="str">
        <f aca="false">IF(E1033="","",IF(H1033&lt;0,IF(LEFT(A1033,1)="Q","Périmé (en quarantaine)","PÉRIMÉ → déplacer en zone Q"),IF(H1033&lt;3,"Péremption &lt; 3 mois",IF(H1033&lt;6,"Péremption &lt; 6 mois",""))))</f>
        <v/>
      </c>
      <c r="J1033" s="17" t="str">
        <f aca="false">IF(A1033="","",IF(COUNTIF(Emplacements!$A$2:$A$1001,A1033)=0,"⚠ emplacement inconnu","OK"))</f>
        <v/>
      </c>
      <c r="K1033" s="22" t="str">
        <f aca="false">IF(AND(B1033&lt;&gt;"",ISNUMBER(SEARCH(Recherche!$C$3,C1033&amp;" "&amp;B1033&amp;" "&amp;A1033&amp;" "&amp;D1033))),MAX($K$1:K1032)+1,"")</f>
        <v/>
      </c>
    </row>
    <row r="1034" customFormat="false" ht="15" hidden="false" customHeight="false" outlineLevel="0" collapsed="false">
      <c r="A1034" s="12"/>
      <c r="B1034" s="12"/>
      <c r="C1034" s="17" t="str">
        <f aca="false">IF(B1034="","",IFERROR(INDEX(Produits!$F$2:$F$1001,MATCH(B1034,Produits!$A$2:$A$1001,0)),"⚠ code article inconnu"))</f>
        <v/>
      </c>
      <c r="D1034" s="12"/>
      <c r="E1034" s="23"/>
      <c r="F1034" s="24"/>
      <c r="G1034" s="23"/>
      <c r="H1034" s="21" t="str">
        <f aca="true">IF(E1034="","",ROUND((E1034-TODAY())/30.4,1))</f>
        <v/>
      </c>
      <c r="I1034" s="17" t="str">
        <f aca="false">IF(E1034="","",IF(H1034&lt;0,IF(LEFT(A1034,1)="Q","Périmé (en quarantaine)","PÉRIMÉ → déplacer en zone Q"),IF(H1034&lt;3,"Péremption &lt; 3 mois",IF(H1034&lt;6,"Péremption &lt; 6 mois",""))))</f>
        <v/>
      </c>
      <c r="J1034" s="17" t="str">
        <f aca="false">IF(A1034="","",IF(COUNTIF(Emplacements!$A$2:$A$1001,A1034)=0,"⚠ emplacement inconnu","OK"))</f>
        <v/>
      </c>
      <c r="K1034" s="22" t="str">
        <f aca="false">IF(AND(B1034&lt;&gt;"",ISNUMBER(SEARCH(Recherche!$C$3,C1034&amp;" "&amp;B1034&amp;" "&amp;A1034&amp;" "&amp;D1034))),MAX($K$1:K1033)+1,"")</f>
        <v/>
      </c>
    </row>
    <row r="1035" customFormat="false" ht="15" hidden="false" customHeight="false" outlineLevel="0" collapsed="false">
      <c r="A1035" s="12"/>
      <c r="B1035" s="12"/>
      <c r="C1035" s="17" t="str">
        <f aca="false">IF(B1035="","",IFERROR(INDEX(Produits!$F$2:$F$1001,MATCH(B1035,Produits!$A$2:$A$1001,0)),"⚠ code article inconnu"))</f>
        <v/>
      </c>
      <c r="D1035" s="12"/>
      <c r="E1035" s="23"/>
      <c r="F1035" s="24"/>
      <c r="G1035" s="23"/>
      <c r="H1035" s="21" t="str">
        <f aca="true">IF(E1035="","",ROUND((E1035-TODAY())/30.4,1))</f>
        <v/>
      </c>
      <c r="I1035" s="17" t="str">
        <f aca="false">IF(E1035="","",IF(H1035&lt;0,IF(LEFT(A1035,1)="Q","Périmé (en quarantaine)","PÉRIMÉ → déplacer en zone Q"),IF(H1035&lt;3,"Péremption &lt; 3 mois",IF(H1035&lt;6,"Péremption &lt; 6 mois",""))))</f>
        <v/>
      </c>
      <c r="J1035" s="17" t="str">
        <f aca="false">IF(A1035="","",IF(COUNTIF(Emplacements!$A$2:$A$1001,A1035)=0,"⚠ emplacement inconnu","OK"))</f>
        <v/>
      </c>
      <c r="K1035" s="22" t="str">
        <f aca="false">IF(AND(B1035&lt;&gt;"",ISNUMBER(SEARCH(Recherche!$C$3,C1035&amp;" "&amp;B1035&amp;" "&amp;A1035&amp;" "&amp;D1035))),MAX($K$1:K1034)+1,"")</f>
        <v/>
      </c>
    </row>
    <row r="1036" customFormat="false" ht="15" hidden="false" customHeight="false" outlineLevel="0" collapsed="false">
      <c r="A1036" s="12"/>
      <c r="B1036" s="12"/>
      <c r="C1036" s="17" t="str">
        <f aca="false">IF(B1036="","",IFERROR(INDEX(Produits!$F$2:$F$1001,MATCH(B1036,Produits!$A$2:$A$1001,0)),"⚠ code article inconnu"))</f>
        <v/>
      </c>
      <c r="D1036" s="12"/>
      <c r="E1036" s="23"/>
      <c r="F1036" s="24"/>
      <c r="G1036" s="23"/>
      <c r="H1036" s="21" t="str">
        <f aca="true">IF(E1036="","",ROUND((E1036-TODAY())/30.4,1))</f>
        <v/>
      </c>
      <c r="I1036" s="17" t="str">
        <f aca="false">IF(E1036="","",IF(H1036&lt;0,IF(LEFT(A1036,1)="Q","Périmé (en quarantaine)","PÉRIMÉ → déplacer en zone Q"),IF(H1036&lt;3,"Péremption &lt; 3 mois",IF(H1036&lt;6,"Péremption &lt; 6 mois",""))))</f>
        <v/>
      </c>
      <c r="J1036" s="17" t="str">
        <f aca="false">IF(A1036="","",IF(COUNTIF(Emplacements!$A$2:$A$1001,A1036)=0,"⚠ emplacement inconnu","OK"))</f>
        <v/>
      </c>
      <c r="K1036" s="22" t="str">
        <f aca="false">IF(AND(B1036&lt;&gt;"",ISNUMBER(SEARCH(Recherche!$C$3,C1036&amp;" "&amp;B1036&amp;" "&amp;A1036&amp;" "&amp;D1036))),MAX($K$1:K1035)+1,"")</f>
        <v/>
      </c>
    </row>
    <row r="1037" customFormat="false" ht="15" hidden="false" customHeight="false" outlineLevel="0" collapsed="false">
      <c r="A1037" s="12"/>
      <c r="B1037" s="12"/>
      <c r="C1037" s="17" t="str">
        <f aca="false">IF(B1037="","",IFERROR(INDEX(Produits!$F$2:$F$1001,MATCH(B1037,Produits!$A$2:$A$1001,0)),"⚠ code article inconnu"))</f>
        <v/>
      </c>
      <c r="D1037" s="12"/>
      <c r="E1037" s="23"/>
      <c r="F1037" s="24"/>
      <c r="G1037" s="23"/>
      <c r="H1037" s="21" t="str">
        <f aca="true">IF(E1037="","",ROUND((E1037-TODAY())/30.4,1))</f>
        <v/>
      </c>
      <c r="I1037" s="17" t="str">
        <f aca="false">IF(E1037="","",IF(H1037&lt;0,IF(LEFT(A1037,1)="Q","Périmé (en quarantaine)","PÉRIMÉ → déplacer en zone Q"),IF(H1037&lt;3,"Péremption &lt; 3 mois",IF(H1037&lt;6,"Péremption &lt; 6 mois",""))))</f>
        <v/>
      </c>
      <c r="J1037" s="17" t="str">
        <f aca="false">IF(A1037="","",IF(COUNTIF(Emplacements!$A$2:$A$1001,A1037)=0,"⚠ emplacement inconnu","OK"))</f>
        <v/>
      </c>
      <c r="K1037" s="22" t="str">
        <f aca="false">IF(AND(B1037&lt;&gt;"",ISNUMBER(SEARCH(Recherche!$C$3,C1037&amp;" "&amp;B1037&amp;" "&amp;A1037&amp;" "&amp;D1037))),MAX($K$1:K1036)+1,"")</f>
        <v/>
      </c>
    </row>
    <row r="1038" customFormat="false" ht="15" hidden="false" customHeight="false" outlineLevel="0" collapsed="false">
      <c r="A1038" s="12"/>
      <c r="B1038" s="12"/>
      <c r="C1038" s="17" t="str">
        <f aca="false">IF(B1038="","",IFERROR(INDEX(Produits!$F$2:$F$1001,MATCH(B1038,Produits!$A$2:$A$1001,0)),"⚠ code article inconnu"))</f>
        <v/>
      </c>
      <c r="D1038" s="12"/>
      <c r="E1038" s="23"/>
      <c r="F1038" s="24"/>
      <c r="G1038" s="23"/>
      <c r="H1038" s="21" t="str">
        <f aca="true">IF(E1038="","",ROUND((E1038-TODAY())/30.4,1))</f>
        <v/>
      </c>
      <c r="I1038" s="17" t="str">
        <f aca="false">IF(E1038="","",IF(H1038&lt;0,IF(LEFT(A1038,1)="Q","Périmé (en quarantaine)","PÉRIMÉ → déplacer en zone Q"),IF(H1038&lt;3,"Péremption &lt; 3 mois",IF(H1038&lt;6,"Péremption &lt; 6 mois",""))))</f>
        <v/>
      </c>
      <c r="J1038" s="17" t="str">
        <f aca="false">IF(A1038="","",IF(COUNTIF(Emplacements!$A$2:$A$1001,A1038)=0,"⚠ emplacement inconnu","OK"))</f>
        <v/>
      </c>
      <c r="K1038" s="22" t="str">
        <f aca="false">IF(AND(B1038&lt;&gt;"",ISNUMBER(SEARCH(Recherche!$C$3,C1038&amp;" "&amp;B1038&amp;" "&amp;A1038&amp;" "&amp;D1038))),MAX($K$1:K1037)+1,"")</f>
        <v/>
      </c>
    </row>
    <row r="1039" customFormat="false" ht="15" hidden="false" customHeight="false" outlineLevel="0" collapsed="false">
      <c r="A1039" s="12"/>
      <c r="B1039" s="12"/>
      <c r="C1039" s="17" t="str">
        <f aca="false">IF(B1039="","",IFERROR(INDEX(Produits!$F$2:$F$1001,MATCH(B1039,Produits!$A$2:$A$1001,0)),"⚠ code article inconnu"))</f>
        <v/>
      </c>
      <c r="D1039" s="12"/>
      <c r="E1039" s="23"/>
      <c r="F1039" s="24"/>
      <c r="G1039" s="23"/>
      <c r="H1039" s="21" t="str">
        <f aca="true">IF(E1039="","",ROUND((E1039-TODAY())/30.4,1))</f>
        <v/>
      </c>
      <c r="I1039" s="17" t="str">
        <f aca="false">IF(E1039="","",IF(H1039&lt;0,IF(LEFT(A1039,1)="Q","Périmé (en quarantaine)","PÉRIMÉ → déplacer en zone Q"),IF(H1039&lt;3,"Péremption &lt; 3 mois",IF(H1039&lt;6,"Péremption &lt; 6 mois",""))))</f>
        <v/>
      </c>
      <c r="J1039" s="17" t="str">
        <f aca="false">IF(A1039="","",IF(COUNTIF(Emplacements!$A$2:$A$1001,A1039)=0,"⚠ emplacement inconnu","OK"))</f>
        <v/>
      </c>
      <c r="K1039" s="22" t="str">
        <f aca="false">IF(AND(B1039&lt;&gt;"",ISNUMBER(SEARCH(Recherche!$C$3,C1039&amp;" "&amp;B1039&amp;" "&amp;A1039&amp;" "&amp;D1039))),MAX($K$1:K1038)+1,"")</f>
        <v/>
      </c>
    </row>
    <row r="1040" customFormat="false" ht="15" hidden="false" customHeight="false" outlineLevel="0" collapsed="false">
      <c r="A1040" s="12"/>
      <c r="B1040" s="12"/>
      <c r="C1040" s="17" t="str">
        <f aca="false">IF(B1040="","",IFERROR(INDEX(Produits!$F$2:$F$1001,MATCH(B1040,Produits!$A$2:$A$1001,0)),"⚠ code article inconnu"))</f>
        <v/>
      </c>
      <c r="D1040" s="12"/>
      <c r="E1040" s="23"/>
      <c r="F1040" s="24"/>
      <c r="G1040" s="23"/>
      <c r="H1040" s="21" t="str">
        <f aca="true">IF(E1040="","",ROUND((E1040-TODAY())/30.4,1))</f>
        <v/>
      </c>
      <c r="I1040" s="17" t="str">
        <f aca="false">IF(E1040="","",IF(H1040&lt;0,IF(LEFT(A1040,1)="Q","Périmé (en quarantaine)","PÉRIMÉ → déplacer en zone Q"),IF(H1040&lt;3,"Péremption &lt; 3 mois",IF(H1040&lt;6,"Péremption &lt; 6 mois",""))))</f>
        <v/>
      </c>
      <c r="J1040" s="17" t="str">
        <f aca="false">IF(A1040="","",IF(COUNTIF(Emplacements!$A$2:$A$1001,A1040)=0,"⚠ emplacement inconnu","OK"))</f>
        <v/>
      </c>
      <c r="K1040" s="22" t="str">
        <f aca="false">IF(AND(B1040&lt;&gt;"",ISNUMBER(SEARCH(Recherche!$C$3,C1040&amp;" "&amp;B1040&amp;" "&amp;A1040&amp;" "&amp;D1040))),MAX($K$1:K1039)+1,"")</f>
        <v/>
      </c>
    </row>
    <row r="1041" customFormat="false" ht="15" hidden="false" customHeight="false" outlineLevel="0" collapsed="false">
      <c r="A1041" s="12"/>
      <c r="B1041" s="12"/>
      <c r="C1041" s="17" t="str">
        <f aca="false">IF(B1041="","",IFERROR(INDEX(Produits!$F$2:$F$1001,MATCH(B1041,Produits!$A$2:$A$1001,0)),"⚠ code article inconnu"))</f>
        <v/>
      </c>
      <c r="D1041" s="12"/>
      <c r="E1041" s="23"/>
      <c r="F1041" s="24"/>
      <c r="G1041" s="23"/>
      <c r="H1041" s="21" t="str">
        <f aca="true">IF(E1041="","",ROUND((E1041-TODAY())/30.4,1))</f>
        <v/>
      </c>
      <c r="I1041" s="17" t="str">
        <f aca="false">IF(E1041="","",IF(H1041&lt;0,IF(LEFT(A1041,1)="Q","Périmé (en quarantaine)","PÉRIMÉ → déplacer en zone Q"),IF(H1041&lt;3,"Péremption &lt; 3 mois",IF(H1041&lt;6,"Péremption &lt; 6 mois",""))))</f>
        <v/>
      </c>
      <c r="J1041" s="17" t="str">
        <f aca="false">IF(A1041="","",IF(COUNTIF(Emplacements!$A$2:$A$1001,A1041)=0,"⚠ emplacement inconnu","OK"))</f>
        <v/>
      </c>
      <c r="K1041" s="22" t="str">
        <f aca="false">IF(AND(B1041&lt;&gt;"",ISNUMBER(SEARCH(Recherche!$C$3,C1041&amp;" "&amp;B1041&amp;" "&amp;A1041&amp;" "&amp;D1041))),MAX($K$1:K1040)+1,"")</f>
        <v/>
      </c>
    </row>
    <row r="1042" customFormat="false" ht="15" hidden="false" customHeight="false" outlineLevel="0" collapsed="false">
      <c r="A1042" s="12"/>
      <c r="B1042" s="12"/>
      <c r="C1042" s="17" t="str">
        <f aca="false">IF(B1042="","",IFERROR(INDEX(Produits!$F$2:$F$1001,MATCH(B1042,Produits!$A$2:$A$1001,0)),"⚠ code article inconnu"))</f>
        <v/>
      </c>
      <c r="D1042" s="12"/>
      <c r="E1042" s="23"/>
      <c r="F1042" s="24"/>
      <c r="G1042" s="23"/>
      <c r="H1042" s="21" t="str">
        <f aca="true">IF(E1042="","",ROUND((E1042-TODAY())/30.4,1))</f>
        <v/>
      </c>
      <c r="I1042" s="17" t="str">
        <f aca="false">IF(E1042="","",IF(H1042&lt;0,IF(LEFT(A1042,1)="Q","Périmé (en quarantaine)","PÉRIMÉ → déplacer en zone Q"),IF(H1042&lt;3,"Péremption &lt; 3 mois",IF(H1042&lt;6,"Péremption &lt; 6 mois",""))))</f>
        <v/>
      </c>
      <c r="J1042" s="17" t="str">
        <f aca="false">IF(A1042="","",IF(COUNTIF(Emplacements!$A$2:$A$1001,A1042)=0,"⚠ emplacement inconnu","OK"))</f>
        <v/>
      </c>
      <c r="K1042" s="22" t="str">
        <f aca="false">IF(AND(B1042&lt;&gt;"",ISNUMBER(SEARCH(Recherche!$C$3,C1042&amp;" "&amp;B1042&amp;" "&amp;A1042&amp;" "&amp;D1042))),MAX($K$1:K1041)+1,"")</f>
        <v/>
      </c>
    </row>
    <row r="1043" customFormat="false" ht="15" hidden="false" customHeight="false" outlineLevel="0" collapsed="false">
      <c r="A1043" s="12"/>
      <c r="B1043" s="12"/>
      <c r="C1043" s="17" t="str">
        <f aca="false">IF(B1043="","",IFERROR(INDEX(Produits!$F$2:$F$1001,MATCH(B1043,Produits!$A$2:$A$1001,0)),"⚠ code article inconnu"))</f>
        <v/>
      </c>
      <c r="D1043" s="12"/>
      <c r="E1043" s="23"/>
      <c r="F1043" s="24"/>
      <c r="G1043" s="23"/>
      <c r="H1043" s="21" t="str">
        <f aca="true">IF(E1043="","",ROUND((E1043-TODAY())/30.4,1))</f>
        <v/>
      </c>
      <c r="I1043" s="17" t="str">
        <f aca="false">IF(E1043="","",IF(H1043&lt;0,IF(LEFT(A1043,1)="Q","Périmé (en quarantaine)","PÉRIMÉ → déplacer en zone Q"),IF(H1043&lt;3,"Péremption &lt; 3 mois",IF(H1043&lt;6,"Péremption &lt; 6 mois",""))))</f>
        <v/>
      </c>
      <c r="J1043" s="17" t="str">
        <f aca="false">IF(A1043="","",IF(COUNTIF(Emplacements!$A$2:$A$1001,A1043)=0,"⚠ emplacement inconnu","OK"))</f>
        <v/>
      </c>
      <c r="K1043" s="22" t="str">
        <f aca="false">IF(AND(B1043&lt;&gt;"",ISNUMBER(SEARCH(Recherche!$C$3,C1043&amp;" "&amp;B1043&amp;" "&amp;A1043&amp;" "&amp;D1043))),MAX($K$1:K1042)+1,"")</f>
        <v/>
      </c>
    </row>
    <row r="1044" customFormat="false" ht="15" hidden="false" customHeight="false" outlineLevel="0" collapsed="false">
      <c r="A1044" s="12"/>
      <c r="B1044" s="12"/>
      <c r="C1044" s="17" t="str">
        <f aca="false">IF(B1044="","",IFERROR(INDEX(Produits!$F$2:$F$1001,MATCH(B1044,Produits!$A$2:$A$1001,0)),"⚠ code article inconnu"))</f>
        <v/>
      </c>
      <c r="D1044" s="12"/>
      <c r="E1044" s="23"/>
      <c r="F1044" s="24"/>
      <c r="G1044" s="23"/>
      <c r="H1044" s="21" t="str">
        <f aca="true">IF(E1044="","",ROUND((E1044-TODAY())/30.4,1))</f>
        <v/>
      </c>
      <c r="I1044" s="17" t="str">
        <f aca="false">IF(E1044="","",IF(H1044&lt;0,IF(LEFT(A1044,1)="Q","Périmé (en quarantaine)","PÉRIMÉ → déplacer en zone Q"),IF(H1044&lt;3,"Péremption &lt; 3 mois",IF(H1044&lt;6,"Péremption &lt; 6 mois",""))))</f>
        <v/>
      </c>
      <c r="J1044" s="17" t="str">
        <f aca="false">IF(A1044="","",IF(COUNTIF(Emplacements!$A$2:$A$1001,A1044)=0,"⚠ emplacement inconnu","OK"))</f>
        <v/>
      </c>
      <c r="K1044" s="22" t="str">
        <f aca="false">IF(AND(B1044&lt;&gt;"",ISNUMBER(SEARCH(Recherche!$C$3,C1044&amp;" "&amp;B1044&amp;" "&amp;A1044&amp;" "&amp;D1044))),MAX($K$1:K1043)+1,"")</f>
        <v/>
      </c>
    </row>
    <row r="1045" customFormat="false" ht="15" hidden="false" customHeight="false" outlineLevel="0" collapsed="false">
      <c r="A1045" s="12"/>
      <c r="B1045" s="12"/>
      <c r="C1045" s="17" t="str">
        <f aca="false">IF(B1045="","",IFERROR(INDEX(Produits!$F$2:$F$1001,MATCH(B1045,Produits!$A$2:$A$1001,0)),"⚠ code article inconnu"))</f>
        <v/>
      </c>
      <c r="D1045" s="12"/>
      <c r="E1045" s="23"/>
      <c r="F1045" s="24"/>
      <c r="G1045" s="23"/>
      <c r="H1045" s="21" t="str">
        <f aca="true">IF(E1045="","",ROUND((E1045-TODAY())/30.4,1))</f>
        <v/>
      </c>
      <c r="I1045" s="17" t="str">
        <f aca="false">IF(E1045="","",IF(H1045&lt;0,IF(LEFT(A1045,1)="Q","Périmé (en quarantaine)","PÉRIMÉ → déplacer en zone Q"),IF(H1045&lt;3,"Péremption &lt; 3 mois",IF(H1045&lt;6,"Péremption &lt; 6 mois",""))))</f>
        <v/>
      </c>
      <c r="J1045" s="17" t="str">
        <f aca="false">IF(A1045="","",IF(COUNTIF(Emplacements!$A$2:$A$1001,A1045)=0,"⚠ emplacement inconnu","OK"))</f>
        <v/>
      </c>
      <c r="K1045" s="22" t="str">
        <f aca="false">IF(AND(B1045&lt;&gt;"",ISNUMBER(SEARCH(Recherche!$C$3,C1045&amp;" "&amp;B1045&amp;" "&amp;A1045&amp;" "&amp;D1045))),MAX($K$1:K1044)+1,"")</f>
        <v/>
      </c>
    </row>
    <row r="1046" customFormat="false" ht="15" hidden="false" customHeight="false" outlineLevel="0" collapsed="false">
      <c r="A1046" s="12"/>
      <c r="B1046" s="12"/>
      <c r="C1046" s="17" t="str">
        <f aca="false">IF(B1046="","",IFERROR(INDEX(Produits!$F$2:$F$1001,MATCH(B1046,Produits!$A$2:$A$1001,0)),"⚠ code article inconnu"))</f>
        <v/>
      </c>
      <c r="D1046" s="12"/>
      <c r="E1046" s="23"/>
      <c r="F1046" s="24"/>
      <c r="G1046" s="23"/>
      <c r="H1046" s="21" t="str">
        <f aca="true">IF(E1046="","",ROUND((E1046-TODAY())/30.4,1))</f>
        <v/>
      </c>
      <c r="I1046" s="17" t="str">
        <f aca="false">IF(E1046="","",IF(H1046&lt;0,IF(LEFT(A1046,1)="Q","Périmé (en quarantaine)","PÉRIMÉ → déplacer en zone Q"),IF(H1046&lt;3,"Péremption &lt; 3 mois",IF(H1046&lt;6,"Péremption &lt; 6 mois",""))))</f>
        <v/>
      </c>
      <c r="J1046" s="17" t="str">
        <f aca="false">IF(A1046="","",IF(COUNTIF(Emplacements!$A$2:$A$1001,A1046)=0,"⚠ emplacement inconnu","OK"))</f>
        <v/>
      </c>
      <c r="K1046" s="22" t="str">
        <f aca="false">IF(AND(B1046&lt;&gt;"",ISNUMBER(SEARCH(Recherche!$C$3,C1046&amp;" "&amp;B1046&amp;" "&amp;A1046&amp;" "&amp;D1046))),MAX($K$1:K1045)+1,"")</f>
        <v/>
      </c>
    </row>
    <row r="1047" customFormat="false" ht="15" hidden="false" customHeight="false" outlineLevel="0" collapsed="false">
      <c r="A1047" s="12"/>
      <c r="B1047" s="12"/>
      <c r="C1047" s="17" t="str">
        <f aca="false">IF(B1047="","",IFERROR(INDEX(Produits!$F$2:$F$1001,MATCH(B1047,Produits!$A$2:$A$1001,0)),"⚠ code article inconnu"))</f>
        <v/>
      </c>
      <c r="D1047" s="12"/>
      <c r="E1047" s="23"/>
      <c r="F1047" s="24"/>
      <c r="G1047" s="23"/>
      <c r="H1047" s="21" t="str">
        <f aca="true">IF(E1047="","",ROUND((E1047-TODAY())/30.4,1))</f>
        <v/>
      </c>
      <c r="I1047" s="17" t="str">
        <f aca="false">IF(E1047="","",IF(H1047&lt;0,IF(LEFT(A1047,1)="Q","Périmé (en quarantaine)","PÉRIMÉ → déplacer en zone Q"),IF(H1047&lt;3,"Péremption &lt; 3 mois",IF(H1047&lt;6,"Péremption &lt; 6 mois",""))))</f>
        <v/>
      </c>
      <c r="J1047" s="17" t="str">
        <f aca="false">IF(A1047="","",IF(COUNTIF(Emplacements!$A$2:$A$1001,A1047)=0,"⚠ emplacement inconnu","OK"))</f>
        <v/>
      </c>
      <c r="K1047" s="22" t="str">
        <f aca="false">IF(AND(B1047&lt;&gt;"",ISNUMBER(SEARCH(Recherche!$C$3,C1047&amp;" "&amp;B1047&amp;" "&amp;A1047&amp;" "&amp;D1047))),MAX($K$1:K1046)+1,"")</f>
        <v/>
      </c>
    </row>
    <row r="1048" customFormat="false" ht="15" hidden="false" customHeight="false" outlineLevel="0" collapsed="false">
      <c r="A1048" s="12"/>
      <c r="B1048" s="12"/>
      <c r="C1048" s="17" t="str">
        <f aca="false">IF(B1048="","",IFERROR(INDEX(Produits!$F$2:$F$1001,MATCH(B1048,Produits!$A$2:$A$1001,0)),"⚠ code article inconnu"))</f>
        <v/>
      </c>
      <c r="D1048" s="12"/>
      <c r="E1048" s="23"/>
      <c r="F1048" s="24"/>
      <c r="G1048" s="23"/>
      <c r="H1048" s="21" t="str">
        <f aca="true">IF(E1048="","",ROUND((E1048-TODAY())/30.4,1))</f>
        <v/>
      </c>
      <c r="I1048" s="17" t="str">
        <f aca="false">IF(E1048="","",IF(H1048&lt;0,IF(LEFT(A1048,1)="Q","Périmé (en quarantaine)","PÉRIMÉ → déplacer en zone Q"),IF(H1048&lt;3,"Péremption &lt; 3 mois",IF(H1048&lt;6,"Péremption &lt; 6 mois",""))))</f>
        <v/>
      </c>
      <c r="J1048" s="17" t="str">
        <f aca="false">IF(A1048="","",IF(COUNTIF(Emplacements!$A$2:$A$1001,A1048)=0,"⚠ emplacement inconnu","OK"))</f>
        <v/>
      </c>
      <c r="K1048" s="22" t="str">
        <f aca="false">IF(AND(B1048&lt;&gt;"",ISNUMBER(SEARCH(Recherche!$C$3,C1048&amp;" "&amp;B1048&amp;" "&amp;A1048&amp;" "&amp;D1048))),MAX($K$1:K1047)+1,"")</f>
        <v/>
      </c>
    </row>
    <row r="1049" customFormat="false" ht="15" hidden="false" customHeight="false" outlineLevel="0" collapsed="false">
      <c r="A1049" s="12"/>
      <c r="B1049" s="12"/>
      <c r="C1049" s="17" t="str">
        <f aca="false">IF(B1049="","",IFERROR(INDEX(Produits!$F$2:$F$1001,MATCH(B1049,Produits!$A$2:$A$1001,0)),"⚠ code article inconnu"))</f>
        <v/>
      </c>
      <c r="D1049" s="12"/>
      <c r="E1049" s="23"/>
      <c r="F1049" s="24"/>
      <c r="G1049" s="23"/>
      <c r="H1049" s="21" t="str">
        <f aca="true">IF(E1049="","",ROUND((E1049-TODAY())/30.4,1))</f>
        <v/>
      </c>
      <c r="I1049" s="17" t="str">
        <f aca="false">IF(E1049="","",IF(H1049&lt;0,IF(LEFT(A1049,1)="Q","Périmé (en quarantaine)","PÉRIMÉ → déplacer en zone Q"),IF(H1049&lt;3,"Péremption &lt; 3 mois",IF(H1049&lt;6,"Péremption &lt; 6 mois",""))))</f>
        <v/>
      </c>
      <c r="J1049" s="17" t="str">
        <f aca="false">IF(A1049="","",IF(COUNTIF(Emplacements!$A$2:$A$1001,A1049)=0,"⚠ emplacement inconnu","OK"))</f>
        <v/>
      </c>
      <c r="K1049" s="22" t="str">
        <f aca="false">IF(AND(B1049&lt;&gt;"",ISNUMBER(SEARCH(Recherche!$C$3,C1049&amp;" "&amp;B1049&amp;" "&amp;A1049&amp;" "&amp;D1049))),MAX($K$1:K1048)+1,"")</f>
        <v/>
      </c>
    </row>
    <row r="1050" customFormat="false" ht="15" hidden="false" customHeight="false" outlineLevel="0" collapsed="false">
      <c r="A1050" s="12"/>
      <c r="B1050" s="12"/>
      <c r="C1050" s="17" t="str">
        <f aca="false">IF(B1050="","",IFERROR(INDEX(Produits!$F$2:$F$1001,MATCH(B1050,Produits!$A$2:$A$1001,0)),"⚠ code article inconnu"))</f>
        <v/>
      </c>
      <c r="D1050" s="12"/>
      <c r="E1050" s="23"/>
      <c r="F1050" s="24"/>
      <c r="G1050" s="23"/>
      <c r="H1050" s="21" t="str">
        <f aca="true">IF(E1050="","",ROUND((E1050-TODAY())/30.4,1))</f>
        <v/>
      </c>
      <c r="I1050" s="17" t="str">
        <f aca="false">IF(E1050="","",IF(H1050&lt;0,IF(LEFT(A1050,1)="Q","Périmé (en quarantaine)","PÉRIMÉ → déplacer en zone Q"),IF(H1050&lt;3,"Péremption &lt; 3 mois",IF(H1050&lt;6,"Péremption &lt; 6 mois",""))))</f>
        <v/>
      </c>
      <c r="J1050" s="17" t="str">
        <f aca="false">IF(A1050="","",IF(COUNTIF(Emplacements!$A$2:$A$1001,A1050)=0,"⚠ emplacement inconnu","OK"))</f>
        <v/>
      </c>
      <c r="K1050" s="22" t="str">
        <f aca="false">IF(AND(B1050&lt;&gt;"",ISNUMBER(SEARCH(Recherche!$C$3,C1050&amp;" "&amp;B1050&amp;" "&amp;A1050&amp;" "&amp;D1050))),MAX($K$1:K1049)+1,"")</f>
        <v/>
      </c>
    </row>
    <row r="1051" customFormat="false" ht="15" hidden="false" customHeight="false" outlineLevel="0" collapsed="false">
      <c r="A1051" s="12"/>
      <c r="B1051" s="12"/>
      <c r="C1051" s="17" t="str">
        <f aca="false">IF(B1051="","",IFERROR(INDEX(Produits!$F$2:$F$1001,MATCH(B1051,Produits!$A$2:$A$1001,0)),"⚠ code article inconnu"))</f>
        <v/>
      </c>
      <c r="D1051" s="12"/>
      <c r="E1051" s="23"/>
      <c r="F1051" s="24"/>
      <c r="G1051" s="23"/>
      <c r="H1051" s="21" t="str">
        <f aca="true">IF(E1051="","",ROUND((E1051-TODAY())/30.4,1))</f>
        <v/>
      </c>
      <c r="I1051" s="17" t="str">
        <f aca="false">IF(E1051="","",IF(H1051&lt;0,IF(LEFT(A1051,1)="Q","Périmé (en quarantaine)","PÉRIMÉ → déplacer en zone Q"),IF(H1051&lt;3,"Péremption &lt; 3 mois",IF(H1051&lt;6,"Péremption &lt; 6 mois",""))))</f>
        <v/>
      </c>
      <c r="J1051" s="17" t="str">
        <f aca="false">IF(A1051="","",IF(COUNTIF(Emplacements!$A$2:$A$1001,A1051)=0,"⚠ emplacement inconnu","OK"))</f>
        <v/>
      </c>
      <c r="K1051" s="22" t="str">
        <f aca="false">IF(AND(B1051&lt;&gt;"",ISNUMBER(SEARCH(Recherche!$C$3,C1051&amp;" "&amp;B1051&amp;" "&amp;A1051&amp;" "&amp;D1051))),MAX($K$1:K1050)+1,"")</f>
        <v/>
      </c>
    </row>
    <row r="1052" customFormat="false" ht="15" hidden="false" customHeight="false" outlineLevel="0" collapsed="false">
      <c r="A1052" s="12"/>
      <c r="B1052" s="12"/>
      <c r="C1052" s="17" t="str">
        <f aca="false">IF(B1052="","",IFERROR(INDEX(Produits!$F$2:$F$1001,MATCH(B1052,Produits!$A$2:$A$1001,0)),"⚠ code article inconnu"))</f>
        <v/>
      </c>
      <c r="D1052" s="12"/>
      <c r="E1052" s="23"/>
      <c r="F1052" s="24"/>
      <c r="G1052" s="23"/>
      <c r="H1052" s="21" t="str">
        <f aca="true">IF(E1052="","",ROUND((E1052-TODAY())/30.4,1))</f>
        <v/>
      </c>
      <c r="I1052" s="17" t="str">
        <f aca="false">IF(E1052="","",IF(H1052&lt;0,IF(LEFT(A1052,1)="Q","Périmé (en quarantaine)","PÉRIMÉ → déplacer en zone Q"),IF(H1052&lt;3,"Péremption &lt; 3 mois",IF(H1052&lt;6,"Péremption &lt; 6 mois",""))))</f>
        <v/>
      </c>
      <c r="J1052" s="17" t="str">
        <f aca="false">IF(A1052="","",IF(COUNTIF(Emplacements!$A$2:$A$1001,A1052)=0,"⚠ emplacement inconnu","OK"))</f>
        <v/>
      </c>
      <c r="K1052" s="22" t="str">
        <f aca="false">IF(AND(B1052&lt;&gt;"",ISNUMBER(SEARCH(Recherche!$C$3,C1052&amp;" "&amp;B1052&amp;" "&amp;A1052&amp;" "&amp;D1052))),MAX($K$1:K1051)+1,"")</f>
        <v/>
      </c>
    </row>
    <row r="1053" customFormat="false" ht="15" hidden="false" customHeight="false" outlineLevel="0" collapsed="false">
      <c r="A1053" s="12"/>
      <c r="B1053" s="12"/>
      <c r="C1053" s="17" t="str">
        <f aca="false">IF(B1053="","",IFERROR(INDEX(Produits!$F$2:$F$1001,MATCH(B1053,Produits!$A$2:$A$1001,0)),"⚠ code article inconnu"))</f>
        <v/>
      </c>
      <c r="D1053" s="12"/>
      <c r="E1053" s="23"/>
      <c r="F1053" s="24"/>
      <c r="G1053" s="23"/>
      <c r="H1053" s="21" t="str">
        <f aca="true">IF(E1053="","",ROUND((E1053-TODAY())/30.4,1))</f>
        <v/>
      </c>
      <c r="I1053" s="17" t="str">
        <f aca="false">IF(E1053="","",IF(H1053&lt;0,IF(LEFT(A1053,1)="Q","Périmé (en quarantaine)","PÉRIMÉ → déplacer en zone Q"),IF(H1053&lt;3,"Péremption &lt; 3 mois",IF(H1053&lt;6,"Péremption &lt; 6 mois",""))))</f>
        <v/>
      </c>
      <c r="J1053" s="17" t="str">
        <f aca="false">IF(A1053="","",IF(COUNTIF(Emplacements!$A$2:$A$1001,A1053)=0,"⚠ emplacement inconnu","OK"))</f>
        <v/>
      </c>
      <c r="K1053" s="22" t="str">
        <f aca="false">IF(AND(B1053&lt;&gt;"",ISNUMBER(SEARCH(Recherche!$C$3,C1053&amp;" "&amp;B1053&amp;" "&amp;A1053&amp;" "&amp;D1053))),MAX($K$1:K1052)+1,"")</f>
        <v/>
      </c>
    </row>
    <row r="1054" customFormat="false" ht="15" hidden="false" customHeight="false" outlineLevel="0" collapsed="false">
      <c r="A1054" s="12"/>
      <c r="B1054" s="12"/>
      <c r="C1054" s="17" t="str">
        <f aca="false">IF(B1054="","",IFERROR(INDEX(Produits!$F$2:$F$1001,MATCH(B1054,Produits!$A$2:$A$1001,0)),"⚠ code article inconnu"))</f>
        <v/>
      </c>
      <c r="D1054" s="12"/>
      <c r="E1054" s="23"/>
      <c r="F1054" s="24"/>
      <c r="G1054" s="23"/>
      <c r="H1054" s="21" t="str">
        <f aca="true">IF(E1054="","",ROUND((E1054-TODAY())/30.4,1))</f>
        <v/>
      </c>
      <c r="I1054" s="17" t="str">
        <f aca="false">IF(E1054="","",IF(H1054&lt;0,IF(LEFT(A1054,1)="Q","Périmé (en quarantaine)","PÉRIMÉ → déplacer en zone Q"),IF(H1054&lt;3,"Péremption &lt; 3 mois",IF(H1054&lt;6,"Péremption &lt; 6 mois",""))))</f>
        <v/>
      </c>
      <c r="J1054" s="17" t="str">
        <f aca="false">IF(A1054="","",IF(COUNTIF(Emplacements!$A$2:$A$1001,A1054)=0,"⚠ emplacement inconnu","OK"))</f>
        <v/>
      </c>
      <c r="K1054" s="22" t="str">
        <f aca="false">IF(AND(B1054&lt;&gt;"",ISNUMBER(SEARCH(Recherche!$C$3,C1054&amp;" "&amp;B1054&amp;" "&amp;A1054&amp;" "&amp;D1054))),MAX($K$1:K1053)+1,"")</f>
        <v/>
      </c>
    </row>
    <row r="1055" customFormat="false" ht="15" hidden="false" customHeight="false" outlineLevel="0" collapsed="false">
      <c r="A1055" s="12"/>
      <c r="B1055" s="12"/>
      <c r="C1055" s="17" t="str">
        <f aca="false">IF(B1055="","",IFERROR(INDEX(Produits!$F$2:$F$1001,MATCH(B1055,Produits!$A$2:$A$1001,0)),"⚠ code article inconnu"))</f>
        <v/>
      </c>
      <c r="D1055" s="12"/>
      <c r="E1055" s="23"/>
      <c r="F1055" s="24"/>
      <c r="G1055" s="23"/>
      <c r="H1055" s="21" t="str">
        <f aca="true">IF(E1055="","",ROUND((E1055-TODAY())/30.4,1))</f>
        <v/>
      </c>
      <c r="I1055" s="17" t="str">
        <f aca="false">IF(E1055="","",IF(H1055&lt;0,IF(LEFT(A1055,1)="Q","Périmé (en quarantaine)","PÉRIMÉ → déplacer en zone Q"),IF(H1055&lt;3,"Péremption &lt; 3 mois",IF(H1055&lt;6,"Péremption &lt; 6 mois",""))))</f>
        <v/>
      </c>
      <c r="J1055" s="17" t="str">
        <f aca="false">IF(A1055="","",IF(COUNTIF(Emplacements!$A$2:$A$1001,A1055)=0,"⚠ emplacement inconnu","OK"))</f>
        <v/>
      </c>
      <c r="K1055" s="22" t="str">
        <f aca="false">IF(AND(B1055&lt;&gt;"",ISNUMBER(SEARCH(Recherche!$C$3,C1055&amp;" "&amp;B1055&amp;" "&amp;A1055&amp;" "&amp;D1055))),MAX($K$1:K1054)+1,"")</f>
        <v/>
      </c>
    </row>
    <row r="1056" customFormat="false" ht="15" hidden="false" customHeight="false" outlineLevel="0" collapsed="false">
      <c r="A1056" s="12"/>
      <c r="B1056" s="12"/>
      <c r="C1056" s="17" t="str">
        <f aca="false">IF(B1056="","",IFERROR(INDEX(Produits!$F$2:$F$1001,MATCH(B1056,Produits!$A$2:$A$1001,0)),"⚠ code article inconnu"))</f>
        <v/>
      </c>
      <c r="D1056" s="12"/>
      <c r="E1056" s="23"/>
      <c r="F1056" s="24"/>
      <c r="G1056" s="23"/>
      <c r="H1056" s="21" t="str">
        <f aca="true">IF(E1056="","",ROUND((E1056-TODAY())/30.4,1))</f>
        <v/>
      </c>
      <c r="I1056" s="17" t="str">
        <f aca="false">IF(E1056="","",IF(H1056&lt;0,IF(LEFT(A1056,1)="Q","Périmé (en quarantaine)","PÉRIMÉ → déplacer en zone Q"),IF(H1056&lt;3,"Péremption &lt; 3 mois",IF(H1056&lt;6,"Péremption &lt; 6 mois",""))))</f>
        <v/>
      </c>
      <c r="J1056" s="17" t="str">
        <f aca="false">IF(A1056="","",IF(COUNTIF(Emplacements!$A$2:$A$1001,A1056)=0,"⚠ emplacement inconnu","OK"))</f>
        <v/>
      </c>
      <c r="K1056" s="22" t="str">
        <f aca="false">IF(AND(B1056&lt;&gt;"",ISNUMBER(SEARCH(Recherche!$C$3,C1056&amp;" "&amp;B1056&amp;" "&amp;A1056&amp;" "&amp;D1056))),MAX($K$1:K1055)+1,"")</f>
        <v/>
      </c>
    </row>
    <row r="1057" customFormat="false" ht="15" hidden="false" customHeight="false" outlineLevel="0" collapsed="false">
      <c r="A1057" s="12"/>
      <c r="B1057" s="12"/>
      <c r="C1057" s="17" t="str">
        <f aca="false">IF(B1057="","",IFERROR(INDEX(Produits!$F$2:$F$1001,MATCH(B1057,Produits!$A$2:$A$1001,0)),"⚠ code article inconnu"))</f>
        <v/>
      </c>
      <c r="D1057" s="12"/>
      <c r="E1057" s="23"/>
      <c r="F1057" s="24"/>
      <c r="G1057" s="23"/>
      <c r="H1057" s="21" t="str">
        <f aca="true">IF(E1057="","",ROUND((E1057-TODAY())/30.4,1))</f>
        <v/>
      </c>
      <c r="I1057" s="17" t="str">
        <f aca="false">IF(E1057="","",IF(H1057&lt;0,IF(LEFT(A1057,1)="Q","Périmé (en quarantaine)","PÉRIMÉ → déplacer en zone Q"),IF(H1057&lt;3,"Péremption &lt; 3 mois",IF(H1057&lt;6,"Péremption &lt; 6 mois",""))))</f>
        <v/>
      </c>
      <c r="J1057" s="17" t="str">
        <f aca="false">IF(A1057="","",IF(COUNTIF(Emplacements!$A$2:$A$1001,A1057)=0,"⚠ emplacement inconnu","OK"))</f>
        <v/>
      </c>
      <c r="K1057" s="22" t="str">
        <f aca="false">IF(AND(B1057&lt;&gt;"",ISNUMBER(SEARCH(Recherche!$C$3,C1057&amp;" "&amp;B1057&amp;" "&amp;A1057&amp;" "&amp;D1057))),MAX($K$1:K1056)+1,"")</f>
        <v/>
      </c>
    </row>
    <row r="1058" customFormat="false" ht="15" hidden="false" customHeight="false" outlineLevel="0" collapsed="false">
      <c r="A1058" s="12"/>
      <c r="B1058" s="12"/>
      <c r="C1058" s="17" t="str">
        <f aca="false">IF(B1058="","",IFERROR(INDEX(Produits!$F$2:$F$1001,MATCH(B1058,Produits!$A$2:$A$1001,0)),"⚠ code article inconnu"))</f>
        <v/>
      </c>
      <c r="D1058" s="12"/>
      <c r="E1058" s="23"/>
      <c r="F1058" s="24"/>
      <c r="G1058" s="23"/>
      <c r="H1058" s="21" t="str">
        <f aca="true">IF(E1058="","",ROUND((E1058-TODAY())/30.4,1))</f>
        <v/>
      </c>
      <c r="I1058" s="17" t="str">
        <f aca="false">IF(E1058="","",IF(H1058&lt;0,IF(LEFT(A1058,1)="Q","Périmé (en quarantaine)","PÉRIMÉ → déplacer en zone Q"),IF(H1058&lt;3,"Péremption &lt; 3 mois",IF(H1058&lt;6,"Péremption &lt; 6 mois",""))))</f>
        <v/>
      </c>
      <c r="J1058" s="17" t="str">
        <f aca="false">IF(A1058="","",IF(COUNTIF(Emplacements!$A$2:$A$1001,A1058)=0,"⚠ emplacement inconnu","OK"))</f>
        <v/>
      </c>
      <c r="K1058" s="22" t="str">
        <f aca="false">IF(AND(B1058&lt;&gt;"",ISNUMBER(SEARCH(Recherche!$C$3,C1058&amp;" "&amp;B1058&amp;" "&amp;A1058&amp;" "&amp;D1058))),MAX($K$1:K1057)+1,"")</f>
        <v/>
      </c>
    </row>
    <row r="1059" customFormat="false" ht="15" hidden="false" customHeight="false" outlineLevel="0" collapsed="false">
      <c r="A1059" s="12"/>
      <c r="B1059" s="12"/>
      <c r="C1059" s="17" t="str">
        <f aca="false">IF(B1059="","",IFERROR(INDEX(Produits!$F$2:$F$1001,MATCH(B1059,Produits!$A$2:$A$1001,0)),"⚠ code article inconnu"))</f>
        <v/>
      </c>
      <c r="D1059" s="12"/>
      <c r="E1059" s="23"/>
      <c r="F1059" s="24"/>
      <c r="G1059" s="23"/>
      <c r="H1059" s="21" t="str">
        <f aca="true">IF(E1059="","",ROUND((E1059-TODAY())/30.4,1))</f>
        <v/>
      </c>
      <c r="I1059" s="17" t="str">
        <f aca="false">IF(E1059="","",IF(H1059&lt;0,IF(LEFT(A1059,1)="Q","Périmé (en quarantaine)","PÉRIMÉ → déplacer en zone Q"),IF(H1059&lt;3,"Péremption &lt; 3 mois",IF(H1059&lt;6,"Péremption &lt; 6 mois",""))))</f>
        <v/>
      </c>
      <c r="J1059" s="17" t="str">
        <f aca="false">IF(A1059="","",IF(COUNTIF(Emplacements!$A$2:$A$1001,A1059)=0,"⚠ emplacement inconnu","OK"))</f>
        <v/>
      </c>
      <c r="K1059" s="22" t="str">
        <f aca="false">IF(AND(B1059&lt;&gt;"",ISNUMBER(SEARCH(Recherche!$C$3,C1059&amp;" "&amp;B1059&amp;" "&amp;A1059&amp;" "&amp;D1059))),MAX($K$1:K1058)+1,"")</f>
        <v/>
      </c>
    </row>
    <row r="1060" customFormat="false" ht="15" hidden="false" customHeight="false" outlineLevel="0" collapsed="false">
      <c r="A1060" s="12"/>
      <c r="B1060" s="12"/>
      <c r="C1060" s="17" t="str">
        <f aca="false">IF(B1060="","",IFERROR(INDEX(Produits!$F$2:$F$1001,MATCH(B1060,Produits!$A$2:$A$1001,0)),"⚠ code article inconnu"))</f>
        <v/>
      </c>
      <c r="D1060" s="12"/>
      <c r="E1060" s="23"/>
      <c r="F1060" s="24"/>
      <c r="G1060" s="23"/>
      <c r="H1060" s="21" t="str">
        <f aca="true">IF(E1060="","",ROUND((E1060-TODAY())/30.4,1))</f>
        <v/>
      </c>
      <c r="I1060" s="17" t="str">
        <f aca="false">IF(E1060="","",IF(H1060&lt;0,IF(LEFT(A1060,1)="Q","Périmé (en quarantaine)","PÉRIMÉ → déplacer en zone Q"),IF(H1060&lt;3,"Péremption &lt; 3 mois",IF(H1060&lt;6,"Péremption &lt; 6 mois",""))))</f>
        <v/>
      </c>
      <c r="J1060" s="17" t="str">
        <f aca="false">IF(A1060="","",IF(COUNTIF(Emplacements!$A$2:$A$1001,A1060)=0,"⚠ emplacement inconnu","OK"))</f>
        <v/>
      </c>
      <c r="K1060" s="22" t="str">
        <f aca="false">IF(AND(B1060&lt;&gt;"",ISNUMBER(SEARCH(Recherche!$C$3,C1060&amp;" "&amp;B1060&amp;" "&amp;A1060&amp;" "&amp;D1060))),MAX($K$1:K1059)+1,"")</f>
        <v/>
      </c>
    </row>
    <row r="1061" customFormat="false" ht="15" hidden="false" customHeight="false" outlineLevel="0" collapsed="false">
      <c r="A1061" s="12"/>
      <c r="B1061" s="12"/>
      <c r="C1061" s="17" t="str">
        <f aca="false">IF(B1061="","",IFERROR(INDEX(Produits!$F$2:$F$1001,MATCH(B1061,Produits!$A$2:$A$1001,0)),"⚠ code article inconnu"))</f>
        <v/>
      </c>
      <c r="D1061" s="12"/>
      <c r="E1061" s="23"/>
      <c r="F1061" s="24"/>
      <c r="G1061" s="23"/>
      <c r="H1061" s="21" t="str">
        <f aca="true">IF(E1061="","",ROUND((E1061-TODAY())/30.4,1))</f>
        <v/>
      </c>
      <c r="I1061" s="17" t="str">
        <f aca="false">IF(E1061="","",IF(H1061&lt;0,IF(LEFT(A1061,1)="Q","Périmé (en quarantaine)","PÉRIMÉ → déplacer en zone Q"),IF(H1061&lt;3,"Péremption &lt; 3 mois",IF(H1061&lt;6,"Péremption &lt; 6 mois",""))))</f>
        <v/>
      </c>
      <c r="J1061" s="17" t="str">
        <f aca="false">IF(A1061="","",IF(COUNTIF(Emplacements!$A$2:$A$1001,A1061)=0,"⚠ emplacement inconnu","OK"))</f>
        <v/>
      </c>
      <c r="K1061" s="22" t="str">
        <f aca="false">IF(AND(B1061&lt;&gt;"",ISNUMBER(SEARCH(Recherche!$C$3,C1061&amp;" "&amp;B1061&amp;" "&amp;A1061&amp;" "&amp;D1061))),MAX($K$1:K1060)+1,"")</f>
        <v/>
      </c>
    </row>
    <row r="1062" customFormat="false" ht="15" hidden="false" customHeight="false" outlineLevel="0" collapsed="false">
      <c r="A1062" s="12"/>
      <c r="B1062" s="12"/>
      <c r="C1062" s="17" t="str">
        <f aca="false">IF(B1062="","",IFERROR(INDEX(Produits!$F$2:$F$1001,MATCH(B1062,Produits!$A$2:$A$1001,0)),"⚠ code article inconnu"))</f>
        <v/>
      </c>
      <c r="D1062" s="12"/>
      <c r="E1062" s="23"/>
      <c r="F1062" s="24"/>
      <c r="G1062" s="23"/>
      <c r="H1062" s="21" t="str">
        <f aca="true">IF(E1062="","",ROUND((E1062-TODAY())/30.4,1))</f>
        <v/>
      </c>
      <c r="I1062" s="17" t="str">
        <f aca="false">IF(E1062="","",IF(H1062&lt;0,IF(LEFT(A1062,1)="Q","Périmé (en quarantaine)","PÉRIMÉ → déplacer en zone Q"),IF(H1062&lt;3,"Péremption &lt; 3 mois",IF(H1062&lt;6,"Péremption &lt; 6 mois",""))))</f>
        <v/>
      </c>
      <c r="J1062" s="17" t="str">
        <f aca="false">IF(A1062="","",IF(COUNTIF(Emplacements!$A$2:$A$1001,A1062)=0,"⚠ emplacement inconnu","OK"))</f>
        <v/>
      </c>
      <c r="K1062" s="22" t="str">
        <f aca="false">IF(AND(B1062&lt;&gt;"",ISNUMBER(SEARCH(Recherche!$C$3,C1062&amp;" "&amp;B1062&amp;" "&amp;A1062&amp;" "&amp;D1062))),MAX($K$1:K1061)+1,"")</f>
        <v/>
      </c>
    </row>
    <row r="1063" customFormat="false" ht="15" hidden="false" customHeight="false" outlineLevel="0" collapsed="false">
      <c r="A1063" s="12"/>
      <c r="B1063" s="12"/>
      <c r="C1063" s="17" t="str">
        <f aca="false">IF(B1063="","",IFERROR(INDEX(Produits!$F$2:$F$1001,MATCH(B1063,Produits!$A$2:$A$1001,0)),"⚠ code article inconnu"))</f>
        <v/>
      </c>
      <c r="D1063" s="12"/>
      <c r="E1063" s="23"/>
      <c r="F1063" s="24"/>
      <c r="G1063" s="23"/>
      <c r="H1063" s="21" t="str">
        <f aca="true">IF(E1063="","",ROUND((E1063-TODAY())/30.4,1))</f>
        <v/>
      </c>
      <c r="I1063" s="17" t="str">
        <f aca="false">IF(E1063="","",IF(H1063&lt;0,IF(LEFT(A1063,1)="Q","Périmé (en quarantaine)","PÉRIMÉ → déplacer en zone Q"),IF(H1063&lt;3,"Péremption &lt; 3 mois",IF(H1063&lt;6,"Péremption &lt; 6 mois",""))))</f>
        <v/>
      </c>
      <c r="J1063" s="17" t="str">
        <f aca="false">IF(A1063="","",IF(COUNTIF(Emplacements!$A$2:$A$1001,A1063)=0,"⚠ emplacement inconnu","OK"))</f>
        <v/>
      </c>
      <c r="K1063" s="22" t="str">
        <f aca="false">IF(AND(B1063&lt;&gt;"",ISNUMBER(SEARCH(Recherche!$C$3,C1063&amp;" "&amp;B1063&amp;" "&amp;A1063&amp;" "&amp;D1063))),MAX($K$1:K1062)+1,"")</f>
        <v/>
      </c>
    </row>
    <row r="1064" customFormat="false" ht="15" hidden="false" customHeight="false" outlineLevel="0" collapsed="false">
      <c r="A1064" s="12"/>
      <c r="B1064" s="12"/>
      <c r="C1064" s="17" t="str">
        <f aca="false">IF(B1064="","",IFERROR(INDEX(Produits!$F$2:$F$1001,MATCH(B1064,Produits!$A$2:$A$1001,0)),"⚠ code article inconnu"))</f>
        <v/>
      </c>
      <c r="D1064" s="12"/>
      <c r="E1064" s="23"/>
      <c r="F1064" s="24"/>
      <c r="G1064" s="23"/>
      <c r="H1064" s="21" t="str">
        <f aca="true">IF(E1064="","",ROUND((E1064-TODAY())/30.4,1))</f>
        <v/>
      </c>
      <c r="I1064" s="17" t="str">
        <f aca="false">IF(E1064="","",IF(H1064&lt;0,IF(LEFT(A1064,1)="Q","Périmé (en quarantaine)","PÉRIMÉ → déplacer en zone Q"),IF(H1064&lt;3,"Péremption &lt; 3 mois",IF(H1064&lt;6,"Péremption &lt; 6 mois",""))))</f>
        <v/>
      </c>
      <c r="J1064" s="17" t="str">
        <f aca="false">IF(A1064="","",IF(COUNTIF(Emplacements!$A$2:$A$1001,A1064)=0,"⚠ emplacement inconnu","OK"))</f>
        <v/>
      </c>
      <c r="K1064" s="22" t="str">
        <f aca="false">IF(AND(B1064&lt;&gt;"",ISNUMBER(SEARCH(Recherche!$C$3,C1064&amp;" "&amp;B1064&amp;" "&amp;A1064&amp;" "&amp;D1064))),MAX($K$1:K1063)+1,"")</f>
        <v/>
      </c>
    </row>
    <row r="1065" customFormat="false" ht="15" hidden="false" customHeight="false" outlineLevel="0" collapsed="false">
      <c r="A1065" s="12"/>
      <c r="B1065" s="12"/>
      <c r="C1065" s="17" t="str">
        <f aca="false">IF(B1065="","",IFERROR(INDEX(Produits!$F$2:$F$1001,MATCH(B1065,Produits!$A$2:$A$1001,0)),"⚠ code article inconnu"))</f>
        <v/>
      </c>
      <c r="D1065" s="12"/>
      <c r="E1065" s="23"/>
      <c r="F1065" s="24"/>
      <c r="G1065" s="23"/>
      <c r="H1065" s="21" t="str">
        <f aca="true">IF(E1065="","",ROUND((E1065-TODAY())/30.4,1))</f>
        <v/>
      </c>
      <c r="I1065" s="17" t="str">
        <f aca="false">IF(E1065="","",IF(H1065&lt;0,IF(LEFT(A1065,1)="Q","Périmé (en quarantaine)","PÉRIMÉ → déplacer en zone Q"),IF(H1065&lt;3,"Péremption &lt; 3 mois",IF(H1065&lt;6,"Péremption &lt; 6 mois",""))))</f>
        <v/>
      </c>
      <c r="J1065" s="17" t="str">
        <f aca="false">IF(A1065="","",IF(COUNTIF(Emplacements!$A$2:$A$1001,A1065)=0,"⚠ emplacement inconnu","OK"))</f>
        <v/>
      </c>
      <c r="K1065" s="22" t="str">
        <f aca="false">IF(AND(B1065&lt;&gt;"",ISNUMBER(SEARCH(Recherche!$C$3,C1065&amp;" "&amp;B1065&amp;" "&amp;A1065&amp;" "&amp;D1065))),MAX($K$1:K1064)+1,"")</f>
        <v/>
      </c>
    </row>
    <row r="1066" customFormat="false" ht="15" hidden="false" customHeight="false" outlineLevel="0" collapsed="false">
      <c r="A1066" s="12"/>
      <c r="B1066" s="12"/>
      <c r="C1066" s="17" t="str">
        <f aca="false">IF(B1066="","",IFERROR(INDEX(Produits!$F$2:$F$1001,MATCH(B1066,Produits!$A$2:$A$1001,0)),"⚠ code article inconnu"))</f>
        <v/>
      </c>
      <c r="D1066" s="12"/>
      <c r="E1066" s="23"/>
      <c r="F1066" s="24"/>
      <c r="G1066" s="23"/>
      <c r="H1066" s="21" t="str">
        <f aca="true">IF(E1066="","",ROUND((E1066-TODAY())/30.4,1))</f>
        <v/>
      </c>
      <c r="I1066" s="17" t="str">
        <f aca="false">IF(E1066="","",IF(H1066&lt;0,IF(LEFT(A1066,1)="Q","Périmé (en quarantaine)","PÉRIMÉ → déplacer en zone Q"),IF(H1066&lt;3,"Péremption &lt; 3 mois",IF(H1066&lt;6,"Péremption &lt; 6 mois",""))))</f>
        <v/>
      </c>
      <c r="J1066" s="17" t="str">
        <f aca="false">IF(A1066="","",IF(COUNTIF(Emplacements!$A$2:$A$1001,A1066)=0,"⚠ emplacement inconnu","OK"))</f>
        <v/>
      </c>
      <c r="K1066" s="22" t="str">
        <f aca="false">IF(AND(B1066&lt;&gt;"",ISNUMBER(SEARCH(Recherche!$C$3,C1066&amp;" "&amp;B1066&amp;" "&amp;A1066&amp;" "&amp;D1066))),MAX($K$1:K1065)+1,"")</f>
        <v/>
      </c>
    </row>
    <row r="1067" customFormat="false" ht="15" hidden="false" customHeight="false" outlineLevel="0" collapsed="false">
      <c r="A1067" s="12"/>
      <c r="B1067" s="12"/>
      <c r="C1067" s="17" t="str">
        <f aca="false">IF(B1067="","",IFERROR(INDEX(Produits!$F$2:$F$1001,MATCH(B1067,Produits!$A$2:$A$1001,0)),"⚠ code article inconnu"))</f>
        <v/>
      </c>
      <c r="D1067" s="12"/>
      <c r="E1067" s="23"/>
      <c r="F1067" s="24"/>
      <c r="G1067" s="23"/>
      <c r="H1067" s="21" t="str">
        <f aca="true">IF(E1067="","",ROUND((E1067-TODAY())/30.4,1))</f>
        <v/>
      </c>
      <c r="I1067" s="17" t="str">
        <f aca="false">IF(E1067="","",IF(H1067&lt;0,IF(LEFT(A1067,1)="Q","Périmé (en quarantaine)","PÉRIMÉ → déplacer en zone Q"),IF(H1067&lt;3,"Péremption &lt; 3 mois",IF(H1067&lt;6,"Péremption &lt; 6 mois",""))))</f>
        <v/>
      </c>
      <c r="J1067" s="17" t="str">
        <f aca="false">IF(A1067="","",IF(COUNTIF(Emplacements!$A$2:$A$1001,A1067)=0,"⚠ emplacement inconnu","OK"))</f>
        <v/>
      </c>
      <c r="K1067" s="22" t="str">
        <f aca="false">IF(AND(B1067&lt;&gt;"",ISNUMBER(SEARCH(Recherche!$C$3,C1067&amp;" "&amp;B1067&amp;" "&amp;A1067&amp;" "&amp;D1067))),MAX($K$1:K1066)+1,"")</f>
        <v/>
      </c>
    </row>
    <row r="1068" customFormat="false" ht="15" hidden="false" customHeight="false" outlineLevel="0" collapsed="false">
      <c r="A1068" s="12"/>
      <c r="B1068" s="12"/>
      <c r="C1068" s="17" t="str">
        <f aca="false">IF(B1068="","",IFERROR(INDEX(Produits!$F$2:$F$1001,MATCH(B1068,Produits!$A$2:$A$1001,0)),"⚠ code article inconnu"))</f>
        <v/>
      </c>
      <c r="D1068" s="12"/>
      <c r="E1068" s="23"/>
      <c r="F1068" s="24"/>
      <c r="G1068" s="23"/>
      <c r="H1068" s="21" t="str">
        <f aca="true">IF(E1068="","",ROUND((E1068-TODAY())/30.4,1))</f>
        <v/>
      </c>
      <c r="I1068" s="17" t="str">
        <f aca="false">IF(E1068="","",IF(H1068&lt;0,IF(LEFT(A1068,1)="Q","Périmé (en quarantaine)","PÉRIMÉ → déplacer en zone Q"),IF(H1068&lt;3,"Péremption &lt; 3 mois",IF(H1068&lt;6,"Péremption &lt; 6 mois",""))))</f>
        <v/>
      </c>
      <c r="J1068" s="17" t="str">
        <f aca="false">IF(A1068="","",IF(COUNTIF(Emplacements!$A$2:$A$1001,A1068)=0,"⚠ emplacement inconnu","OK"))</f>
        <v/>
      </c>
      <c r="K1068" s="22" t="str">
        <f aca="false">IF(AND(B1068&lt;&gt;"",ISNUMBER(SEARCH(Recherche!$C$3,C1068&amp;" "&amp;B1068&amp;" "&amp;A1068&amp;" "&amp;D1068))),MAX($K$1:K1067)+1,"")</f>
        <v/>
      </c>
    </row>
    <row r="1069" customFormat="false" ht="15" hidden="false" customHeight="false" outlineLevel="0" collapsed="false">
      <c r="A1069" s="12"/>
      <c r="B1069" s="12"/>
      <c r="C1069" s="17" t="str">
        <f aca="false">IF(B1069="","",IFERROR(INDEX(Produits!$F$2:$F$1001,MATCH(B1069,Produits!$A$2:$A$1001,0)),"⚠ code article inconnu"))</f>
        <v/>
      </c>
      <c r="D1069" s="12"/>
      <c r="E1069" s="23"/>
      <c r="F1069" s="24"/>
      <c r="G1069" s="23"/>
      <c r="H1069" s="21" t="str">
        <f aca="true">IF(E1069="","",ROUND((E1069-TODAY())/30.4,1))</f>
        <v/>
      </c>
      <c r="I1069" s="17" t="str">
        <f aca="false">IF(E1069="","",IF(H1069&lt;0,IF(LEFT(A1069,1)="Q","Périmé (en quarantaine)","PÉRIMÉ → déplacer en zone Q"),IF(H1069&lt;3,"Péremption &lt; 3 mois",IF(H1069&lt;6,"Péremption &lt; 6 mois",""))))</f>
        <v/>
      </c>
      <c r="J1069" s="17" t="str">
        <f aca="false">IF(A1069="","",IF(COUNTIF(Emplacements!$A$2:$A$1001,A1069)=0,"⚠ emplacement inconnu","OK"))</f>
        <v/>
      </c>
      <c r="K1069" s="22" t="str">
        <f aca="false">IF(AND(B1069&lt;&gt;"",ISNUMBER(SEARCH(Recherche!$C$3,C1069&amp;" "&amp;B1069&amp;" "&amp;A1069&amp;" "&amp;D1069))),MAX($K$1:K1068)+1,"")</f>
        <v/>
      </c>
    </row>
    <row r="1070" customFormat="false" ht="15" hidden="false" customHeight="false" outlineLevel="0" collapsed="false">
      <c r="A1070" s="12"/>
      <c r="B1070" s="12"/>
      <c r="C1070" s="17" t="str">
        <f aca="false">IF(B1070="","",IFERROR(INDEX(Produits!$F$2:$F$1001,MATCH(B1070,Produits!$A$2:$A$1001,0)),"⚠ code article inconnu"))</f>
        <v/>
      </c>
      <c r="D1070" s="12"/>
      <c r="E1070" s="23"/>
      <c r="F1070" s="24"/>
      <c r="G1070" s="23"/>
      <c r="H1070" s="21" t="str">
        <f aca="true">IF(E1070="","",ROUND((E1070-TODAY())/30.4,1))</f>
        <v/>
      </c>
      <c r="I1070" s="17" t="str">
        <f aca="false">IF(E1070="","",IF(H1070&lt;0,IF(LEFT(A1070,1)="Q","Périmé (en quarantaine)","PÉRIMÉ → déplacer en zone Q"),IF(H1070&lt;3,"Péremption &lt; 3 mois",IF(H1070&lt;6,"Péremption &lt; 6 mois",""))))</f>
        <v/>
      </c>
      <c r="J1070" s="17" t="str">
        <f aca="false">IF(A1070="","",IF(COUNTIF(Emplacements!$A$2:$A$1001,A1070)=0,"⚠ emplacement inconnu","OK"))</f>
        <v/>
      </c>
      <c r="K1070" s="22" t="str">
        <f aca="false">IF(AND(B1070&lt;&gt;"",ISNUMBER(SEARCH(Recherche!$C$3,C1070&amp;" "&amp;B1070&amp;" "&amp;A1070&amp;" "&amp;D1070))),MAX($K$1:K1069)+1,"")</f>
        <v/>
      </c>
    </row>
    <row r="1071" customFormat="false" ht="15" hidden="false" customHeight="false" outlineLevel="0" collapsed="false">
      <c r="A1071" s="12"/>
      <c r="B1071" s="12"/>
      <c r="C1071" s="17" t="str">
        <f aca="false">IF(B1071="","",IFERROR(INDEX(Produits!$F$2:$F$1001,MATCH(B1071,Produits!$A$2:$A$1001,0)),"⚠ code article inconnu"))</f>
        <v/>
      </c>
      <c r="D1071" s="12"/>
      <c r="E1071" s="23"/>
      <c r="F1071" s="24"/>
      <c r="G1071" s="23"/>
      <c r="H1071" s="21" t="str">
        <f aca="true">IF(E1071="","",ROUND((E1071-TODAY())/30.4,1))</f>
        <v/>
      </c>
      <c r="I1071" s="17" t="str">
        <f aca="false">IF(E1071="","",IF(H1071&lt;0,IF(LEFT(A1071,1)="Q","Périmé (en quarantaine)","PÉRIMÉ → déplacer en zone Q"),IF(H1071&lt;3,"Péremption &lt; 3 mois",IF(H1071&lt;6,"Péremption &lt; 6 mois",""))))</f>
        <v/>
      </c>
      <c r="J1071" s="17" t="str">
        <f aca="false">IF(A1071="","",IF(COUNTIF(Emplacements!$A$2:$A$1001,A1071)=0,"⚠ emplacement inconnu","OK"))</f>
        <v/>
      </c>
      <c r="K1071" s="22" t="str">
        <f aca="false">IF(AND(B1071&lt;&gt;"",ISNUMBER(SEARCH(Recherche!$C$3,C1071&amp;" "&amp;B1071&amp;" "&amp;A1071&amp;" "&amp;D1071))),MAX($K$1:K1070)+1,"")</f>
        <v/>
      </c>
    </row>
    <row r="1072" customFormat="false" ht="15" hidden="false" customHeight="false" outlineLevel="0" collapsed="false">
      <c r="A1072" s="12"/>
      <c r="B1072" s="12"/>
      <c r="C1072" s="17" t="str">
        <f aca="false">IF(B1072="","",IFERROR(INDEX(Produits!$F$2:$F$1001,MATCH(B1072,Produits!$A$2:$A$1001,0)),"⚠ code article inconnu"))</f>
        <v/>
      </c>
      <c r="D1072" s="12"/>
      <c r="E1072" s="23"/>
      <c r="F1072" s="24"/>
      <c r="G1072" s="23"/>
      <c r="H1072" s="21" t="str">
        <f aca="true">IF(E1072="","",ROUND((E1072-TODAY())/30.4,1))</f>
        <v/>
      </c>
      <c r="I1072" s="17" t="str">
        <f aca="false">IF(E1072="","",IF(H1072&lt;0,IF(LEFT(A1072,1)="Q","Périmé (en quarantaine)","PÉRIMÉ → déplacer en zone Q"),IF(H1072&lt;3,"Péremption &lt; 3 mois",IF(H1072&lt;6,"Péremption &lt; 6 mois",""))))</f>
        <v/>
      </c>
      <c r="J1072" s="17" t="str">
        <f aca="false">IF(A1072="","",IF(COUNTIF(Emplacements!$A$2:$A$1001,A1072)=0,"⚠ emplacement inconnu","OK"))</f>
        <v/>
      </c>
      <c r="K1072" s="22" t="str">
        <f aca="false">IF(AND(B1072&lt;&gt;"",ISNUMBER(SEARCH(Recherche!$C$3,C1072&amp;" "&amp;B1072&amp;" "&amp;A1072&amp;" "&amp;D1072))),MAX($K$1:K1071)+1,"")</f>
        <v/>
      </c>
    </row>
    <row r="1073" customFormat="false" ht="15" hidden="false" customHeight="false" outlineLevel="0" collapsed="false">
      <c r="A1073" s="12"/>
      <c r="B1073" s="12"/>
      <c r="C1073" s="17" t="str">
        <f aca="false">IF(B1073="","",IFERROR(INDEX(Produits!$F$2:$F$1001,MATCH(B1073,Produits!$A$2:$A$1001,0)),"⚠ code article inconnu"))</f>
        <v/>
      </c>
      <c r="D1073" s="12"/>
      <c r="E1073" s="23"/>
      <c r="F1073" s="24"/>
      <c r="G1073" s="23"/>
      <c r="H1073" s="21" t="str">
        <f aca="true">IF(E1073="","",ROUND((E1073-TODAY())/30.4,1))</f>
        <v/>
      </c>
      <c r="I1073" s="17" t="str">
        <f aca="false">IF(E1073="","",IF(H1073&lt;0,IF(LEFT(A1073,1)="Q","Périmé (en quarantaine)","PÉRIMÉ → déplacer en zone Q"),IF(H1073&lt;3,"Péremption &lt; 3 mois",IF(H1073&lt;6,"Péremption &lt; 6 mois",""))))</f>
        <v/>
      </c>
      <c r="J1073" s="17" t="str">
        <f aca="false">IF(A1073="","",IF(COUNTIF(Emplacements!$A$2:$A$1001,A1073)=0,"⚠ emplacement inconnu","OK"))</f>
        <v/>
      </c>
      <c r="K1073" s="22" t="str">
        <f aca="false">IF(AND(B1073&lt;&gt;"",ISNUMBER(SEARCH(Recherche!$C$3,C1073&amp;" "&amp;B1073&amp;" "&amp;A1073&amp;" "&amp;D1073))),MAX($K$1:K1072)+1,"")</f>
        <v/>
      </c>
    </row>
    <row r="1074" customFormat="false" ht="15" hidden="false" customHeight="false" outlineLevel="0" collapsed="false">
      <c r="A1074" s="12"/>
      <c r="B1074" s="12"/>
      <c r="C1074" s="17" t="str">
        <f aca="false">IF(B1074="","",IFERROR(INDEX(Produits!$F$2:$F$1001,MATCH(B1074,Produits!$A$2:$A$1001,0)),"⚠ code article inconnu"))</f>
        <v/>
      </c>
      <c r="D1074" s="12"/>
      <c r="E1074" s="23"/>
      <c r="F1074" s="24"/>
      <c r="G1074" s="23"/>
      <c r="H1074" s="21" t="str">
        <f aca="true">IF(E1074="","",ROUND((E1074-TODAY())/30.4,1))</f>
        <v/>
      </c>
      <c r="I1074" s="17" t="str">
        <f aca="false">IF(E1074="","",IF(H1074&lt;0,IF(LEFT(A1074,1)="Q","Périmé (en quarantaine)","PÉRIMÉ → déplacer en zone Q"),IF(H1074&lt;3,"Péremption &lt; 3 mois",IF(H1074&lt;6,"Péremption &lt; 6 mois",""))))</f>
        <v/>
      </c>
      <c r="J1074" s="17" t="str">
        <f aca="false">IF(A1074="","",IF(COUNTIF(Emplacements!$A$2:$A$1001,A1074)=0,"⚠ emplacement inconnu","OK"))</f>
        <v/>
      </c>
      <c r="K1074" s="22" t="str">
        <f aca="false">IF(AND(B1074&lt;&gt;"",ISNUMBER(SEARCH(Recherche!$C$3,C1074&amp;" "&amp;B1074&amp;" "&amp;A1074&amp;" "&amp;D1074))),MAX($K$1:K1073)+1,"")</f>
        <v/>
      </c>
    </row>
    <row r="1075" customFormat="false" ht="15" hidden="false" customHeight="false" outlineLevel="0" collapsed="false">
      <c r="A1075" s="12"/>
      <c r="B1075" s="12"/>
      <c r="C1075" s="17" t="str">
        <f aca="false">IF(B1075="","",IFERROR(INDEX(Produits!$F$2:$F$1001,MATCH(B1075,Produits!$A$2:$A$1001,0)),"⚠ code article inconnu"))</f>
        <v/>
      </c>
      <c r="D1075" s="12"/>
      <c r="E1075" s="23"/>
      <c r="F1075" s="24"/>
      <c r="G1075" s="23"/>
      <c r="H1075" s="21" t="str">
        <f aca="true">IF(E1075="","",ROUND((E1075-TODAY())/30.4,1))</f>
        <v/>
      </c>
      <c r="I1075" s="17" t="str">
        <f aca="false">IF(E1075="","",IF(H1075&lt;0,IF(LEFT(A1075,1)="Q","Périmé (en quarantaine)","PÉRIMÉ → déplacer en zone Q"),IF(H1075&lt;3,"Péremption &lt; 3 mois",IF(H1075&lt;6,"Péremption &lt; 6 mois",""))))</f>
        <v/>
      </c>
      <c r="J1075" s="17" t="str">
        <f aca="false">IF(A1075="","",IF(COUNTIF(Emplacements!$A$2:$A$1001,A1075)=0,"⚠ emplacement inconnu","OK"))</f>
        <v/>
      </c>
      <c r="K1075" s="22" t="str">
        <f aca="false">IF(AND(B1075&lt;&gt;"",ISNUMBER(SEARCH(Recherche!$C$3,C1075&amp;" "&amp;B1075&amp;" "&amp;A1075&amp;" "&amp;D1075))),MAX($K$1:K1074)+1,"")</f>
        <v/>
      </c>
    </row>
    <row r="1076" customFormat="false" ht="15" hidden="false" customHeight="false" outlineLevel="0" collapsed="false">
      <c r="A1076" s="12"/>
      <c r="B1076" s="12"/>
      <c r="C1076" s="17" t="str">
        <f aca="false">IF(B1076="","",IFERROR(INDEX(Produits!$F$2:$F$1001,MATCH(B1076,Produits!$A$2:$A$1001,0)),"⚠ code article inconnu"))</f>
        <v/>
      </c>
      <c r="D1076" s="12"/>
      <c r="E1076" s="23"/>
      <c r="F1076" s="24"/>
      <c r="G1076" s="23"/>
      <c r="H1076" s="21" t="str">
        <f aca="true">IF(E1076="","",ROUND((E1076-TODAY())/30.4,1))</f>
        <v/>
      </c>
      <c r="I1076" s="17" t="str">
        <f aca="false">IF(E1076="","",IF(H1076&lt;0,IF(LEFT(A1076,1)="Q","Périmé (en quarantaine)","PÉRIMÉ → déplacer en zone Q"),IF(H1076&lt;3,"Péremption &lt; 3 mois",IF(H1076&lt;6,"Péremption &lt; 6 mois",""))))</f>
        <v/>
      </c>
      <c r="J1076" s="17" t="str">
        <f aca="false">IF(A1076="","",IF(COUNTIF(Emplacements!$A$2:$A$1001,A1076)=0,"⚠ emplacement inconnu","OK"))</f>
        <v/>
      </c>
      <c r="K1076" s="22" t="str">
        <f aca="false">IF(AND(B1076&lt;&gt;"",ISNUMBER(SEARCH(Recherche!$C$3,C1076&amp;" "&amp;B1076&amp;" "&amp;A1076&amp;" "&amp;D1076))),MAX($K$1:K1075)+1,"")</f>
        <v/>
      </c>
    </row>
    <row r="1077" customFormat="false" ht="15" hidden="false" customHeight="false" outlineLevel="0" collapsed="false">
      <c r="A1077" s="12"/>
      <c r="B1077" s="12"/>
      <c r="C1077" s="17" t="str">
        <f aca="false">IF(B1077="","",IFERROR(INDEX(Produits!$F$2:$F$1001,MATCH(B1077,Produits!$A$2:$A$1001,0)),"⚠ code article inconnu"))</f>
        <v/>
      </c>
      <c r="D1077" s="12"/>
      <c r="E1077" s="23"/>
      <c r="F1077" s="24"/>
      <c r="G1077" s="23"/>
      <c r="H1077" s="21" t="str">
        <f aca="true">IF(E1077="","",ROUND((E1077-TODAY())/30.4,1))</f>
        <v/>
      </c>
      <c r="I1077" s="17" t="str">
        <f aca="false">IF(E1077="","",IF(H1077&lt;0,IF(LEFT(A1077,1)="Q","Périmé (en quarantaine)","PÉRIMÉ → déplacer en zone Q"),IF(H1077&lt;3,"Péremption &lt; 3 mois",IF(H1077&lt;6,"Péremption &lt; 6 mois",""))))</f>
        <v/>
      </c>
      <c r="J1077" s="17" t="str">
        <f aca="false">IF(A1077="","",IF(COUNTIF(Emplacements!$A$2:$A$1001,A1077)=0,"⚠ emplacement inconnu","OK"))</f>
        <v/>
      </c>
      <c r="K1077" s="22" t="str">
        <f aca="false">IF(AND(B1077&lt;&gt;"",ISNUMBER(SEARCH(Recherche!$C$3,C1077&amp;" "&amp;B1077&amp;" "&amp;A1077&amp;" "&amp;D1077))),MAX($K$1:K1076)+1,"")</f>
        <v/>
      </c>
    </row>
    <row r="1078" customFormat="false" ht="15" hidden="false" customHeight="false" outlineLevel="0" collapsed="false">
      <c r="A1078" s="12"/>
      <c r="B1078" s="12"/>
      <c r="C1078" s="17" t="str">
        <f aca="false">IF(B1078="","",IFERROR(INDEX(Produits!$F$2:$F$1001,MATCH(B1078,Produits!$A$2:$A$1001,0)),"⚠ code article inconnu"))</f>
        <v/>
      </c>
      <c r="D1078" s="12"/>
      <c r="E1078" s="23"/>
      <c r="F1078" s="24"/>
      <c r="G1078" s="23"/>
      <c r="H1078" s="21" t="str">
        <f aca="true">IF(E1078="","",ROUND((E1078-TODAY())/30.4,1))</f>
        <v/>
      </c>
      <c r="I1078" s="17" t="str">
        <f aca="false">IF(E1078="","",IF(H1078&lt;0,IF(LEFT(A1078,1)="Q","Périmé (en quarantaine)","PÉRIMÉ → déplacer en zone Q"),IF(H1078&lt;3,"Péremption &lt; 3 mois",IF(H1078&lt;6,"Péremption &lt; 6 mois",""))))</f>
        <v/>
      </c>
      <c r="J1078" s="17" t="str">
        <f aca="false">IF(A1078="","",IF(COUNTIF(Emplacements!$A$2:$A$1001,A1078)=0,"⚠ emplacement inconnu","OK"))</f>
        <v/>
      </c>
      <c r="K1078" s="22" t="str">
        <f aca="false">IF(AND(B1078&lt;&gt;"",ISNUMBER(SEARCH(Recherche!$C$3,C1078&amp;" "&amp;B1078&amp;" "&amp;A1078&amp;" "&amp;D1078))),MAX($K$1:K1077)+1,"")</f>
        <v/>
      </c>
    </row>
    <row r="1079" customFormat="false" ht="15" hidden="false" customHeight="false" outlineLevel="0" collapsed="false">
      <c r="A1079" s="12"/>
      <c r="B1079" s="12"/>
      <c r="C1079" s="17" t="str">
        <f aca="false">IF(B1079="","",IFERROR(INDEX(Produits!$F$2:$F$1001,MATCH(B1079,Produits!$A$2:$A$1001,0)),"⚠ code article inconnu"))</f>
        <v/>
      </c>
      <c r="D1079" s="12"/>
      <c r="E1079" s="23"/>
      <c r="F1079" s="24"/>
      <c r="G1079" s="23"/>
      <c r="H1079" s="21" t="str">
        <f aca="true">IF(E1079="","",ROUND((E1079-TODAY())/30.4,1))</f>
        <v/>
      </c>
      <c r="I1079" s="17" t="str">
        <f aca="false">IF(E1079="","",IF(H1079&lt;0,IF(LEFT(A1079,1)="Q","Périmé (en quarantaine)","PÉRIMÉ → déplacer en zone Q"),IF(H1079&lt;3,"Péremption &lt; 3 mois",IF(H1079&lt;6,"Péremption &lt; 6 mois",""))))</f>
        <v/>
      </c>
      <c r="J1079" s="17" t="str">
        <f aca="false">IF(A1079="","",IF(COUNTIF(Emplacements!$A$2:$A$1001,A1079)=0,"⚠ emplacement inconnu","OK"))</f>
        <v/>
      </c>
      <c r="K1079" s="22" t="str">
        <f aca="false">IF(AND(B1079&lt;&gt;"",ISNUMBER(SEARCH(Recherche!$C$3,C1079&amp;" "&amp;B1079&amp;" "&amp;A1079&amp;" "&amp;D1079))),MAX($K$1:K1078)+1,"")</f>
        <v/>
      </c>
    </row>
    <row r="1080" customFormat="false" ht="15" hidden="false" customHeight="false" outlineLevel="0" collapsed="false">
      <c r="A1080" s="12"/>
      <c r="B1080" s="12"/>
      <c r="C1080" s="17" t="str">
        <f aca="false">IF(B1080="","",IFERROR(INDEX(Produits!$F$2:$F$1001,MATCH(B1080,Produits!$A$2:$A$1001,0)),"⚠ code article inconnu"))</f>
        <v/>
      </c>
      <c r="D1080" s="12"/>
      <c r="E1080" s="23"/>
      <c r="F1080" s="24"/>
      <c r="G1080" s="23"/>
      <c r="H1080" s="21" t="str">
        <f aca="true">IF(E1080="","",ROUND((E1080-TODAY())/30.4,1))</f>
        <v/>
      </c>
      <c r="I1080" s="17" t="str">
        <f aca="false">IF(E1080="","",IF(H1080&lt;0,IF(LEFT(A1080,1)="Q","Périmé (en quarantaine)","PÉRIMÉ → déplacer en zone Q"),IF(H1080&lt;3,"Péremption &lt; 3 mois",IF(H1080&lt;6,"Péremption &lt; 6 mois",""))))</f>
        <v/>
      </c>
      <c r="J1080" s="17" t="str">
        <f aca="false">IF(A1080="","",IF(COUNTIF(Emplacements!$A$2:$A$1001,A1080)=0,"⚠ emplacement inconnu","OK"))</f>
        <v/>
      </c>
      <c r="K1080" s="22" t="str">
        <f aca="false">IF(AND(B1080&lt;&gt;"",ISNUMBER(SEARCH(Recherche!$C$3,C1080&amp;" "&amp;B1080&amp;" "&amp;A1080&amp;" "&amp;D1080))),MAX($K$1:K1079)+1,"")</f>
        <v/>
      </c>
    </row>
    <row r="1081" customFormat="false" ht="15" hidden="false" customHeight="false" outlineLevel="0" collapsed="false">
      <c r="A1081" s="12"/>
      <c r="B1081" s="12"/>
      <c r="C1081" s="17" t="str">
        <f aca="false">IF(B1081="","",IFERROR(INDEX(Produits!$F$2:$F$1001,MATCH(B1081,Produits!$A$2:$A$1001,0)),"⚠ code article inconnu"))</f>
        <v/>
      </c>
      <c r="D1081" s="12"/>
      <c r="E1081" s="23"/>
      <c r="F1081" s="24"/>
      <c r="G1081" s="23"/>
      <c r="H1081" s="21" t="str">
        <f aca="true">IF(E1081="","",ROUND((E1081-TODAY())/30.4,1))</f>
        <v/>
      </c>
      <c r="I1081" s="17" t="str">
        <f aca="false">IF(E1081="","",IF(H1081&lt;0,IF(LEFT(A1081,1)="Q","Périmé (en quarantaine)","PÉRIMÉ → déplacer en zone Q"),IF(H1081&lt;3,"Péremption &lt; 3 mois",IF(H1081&lt;6,"Péremption &lt; 6 mois",""))))</f>
        <v/>
      </c>
      <c r="J1081" s="17" t="str">
        <f aca="false">IF(A1081="","",IF(COUNTIF(Emplacements!$A$2:$A$1001,A1081)=0,"⚠ emplacement inconnu","OK"))</f>
        <v/>
      </c>
      <c r="K1081" s="22" t="str">
        <f aca="false">IF(AND(B1081&lt;&gt;"",ISNUMBER(SEARCH(Recherche!$C$3,C1081&amp;" "&amp;B1081&amp;" "&amp;A1081&amp;" "&amp;D1081))),MAX($K$1:K1080)+1,"")</f>
        <v/>
      </c>
    </row>
    <row r="1082" customFormat="false" ht="15" hidden="false" customHeight="false" outlineLevel="0" collapsed="false">
      <c r="A1082" s="12"/>
      <c r="B1082" s="12"/>
      <c r="C1082" s="17" t="str">
        <f aca="false">IF(B1082="","",IFERROR(INDEX(Produits!$F$2:$F$1001,MATCH(B1082,Produits!$A$2:$A$1001,0)),"⚠ code article inconnu"))</f>
        <v/>
      </c>
      <c r="D1082" s="12"/>
      <c r="E1082" s="23"/>
      <c r="F1082" s="24"/>
      <c r="G1082" s="23"/>
      <c r="H1082" s="21" t="str">
        <f aca="true">IF(E1082="","",ROUND((E1082-TODAY())/30.4,1))</f>
        <v/>
      </c>
      <c r="I1082" s="17" t="str">
        <f aca="false">IF(E1082="","",IF(H1082&lt;0,IF(LEFT(A1082,1)="Q","Périmé (en quarantaine)","PÉRIMÉ → déplacer en zone Q"),IF(H1082&lt;3,"Péremption &lt; 3 mois",IF(H1082&lt;6,"Péremption &lt; 6 mois",""))))</f>
        <v/>
      </c>
      <c r="J1082" s="17" t="str">
        <f aca="false">IF(A1082="","",IF(COUNTIF(Emplacements!$A$2:$A$1001,A1082)=0,"⚠ emplacement inconnu","OK"))</f>
        <v/>
      </c>
      <c r="K1082" s="22" t="str">
        <f aca="false">IF(AND(B1082&lt;&gt;"",ISNUMBER(SEARCH(Recherche!$C$3,C1082&amp;" "&amp;B1082&amp;" "&amp;A1082&amp;" "&amp;D1082))),MAX($K$1:K1081)+1,"")</f>
        <v/>
      </c>
    </row>
    <row r="1083" customFormat="false" ht="15" hidden="false" customHeight="false" outlineLevel="0" collapsed="false">
      <c r="A1083" s="12"/>
      <c r="B1083" s="12"/>
      <c r="C1083" s="17" t="str">
        <f aca="false">IF(B1083="","",IFERROR(INDEX(Produits!$F$2:$F$1001,MATCH(B1083,Produits!$A$2:$A$1001,0)),"⚠ code article inconnu"))</f>
        <v/>
      </c>
      <c r="D1083" s="12"/>
      <c r="E1083" s="23"/>
      <c r="F1083" s="24"/>
      <c r="G1083" s="23"/>
      <c r="H1083" s="21" t="str">
        <f aca="true">IF(E1083="","",ROUND((E1083-TODAY())/30.4,1))</f>
        <v/>
      </c>
      <c r="I1083" s="17" t="str">
        <f aca="false">IF(E1083="","",IF(H1083&lt;0,IF(LEFT(A1083,1)="Q","Périmé (en quarantaine)","PÉRIMÉ → déplacer en zone Q"),IF(H1083&lt;3,"Péremption &lt; 3 mois",IF(H1083&lt;6,"Péremption &lt; 6 mois",""))))</f>
        <v/>
      </c>
      <c r="J1083" s="17" t="str">
        <f aca="false">IF(A1083="","",IF(COUNTIF(Emplacements!$A$2:$A$1001,A1083)=0,"⚠ emplacement inconnu","OK"))</f>
        <v/>
      </c>
      <c r="K1083" s="22" t="str">
        <f aca="false">IF(AND(B1083&lt;&gt;"",ISNUMBER(SEARCH(Recherche!$C$3,C1083&amp;" "&amp;B1083&amp;" "&amp;A1083&amp;" "&amp;D1083))),MAX($K$1:K1082)+1,"")</f>
        <v/>
      </c>
    </row>
    <row r="1084" customFormat="false" ht="15" hidden="false" customHeight="false" outlineLevel="0" collapsed="false">
      <c r="A1084" s="12"/>
      <c r="B1084" s="12"/>
      <c r="C1084" s="17" t="str">
        <f aca="false">IF(B1084="","",IFERROR(INDEX(Produits!$F$2:$F$1001,MATCH(B1084,Produits!$A$2:$A$1001,0)),"⚠ code article inconnu"))</f>
        <v/>
      </c>
      <c r="D1084" s="12"/>
      <c r="E1084" s="23"/>
      <c r="F1084" s="24"/>
      <c r="G1084" s="23"/>
      <c r="H1084" s="21" t="str">
        <f aca="true">IF(E1084="","",ROUND((E1084-TODAY())/30.4,1))</f>
        <v/>
      </c>
      <c r="I1084" s="17" t="str">
        <f aca="false">IF(E1084="","",IF(H1084&lt;0,IF(LEFT(A1084,1)="Q","Périmé (en quarantaine)","PÉRIMÉ → déplacer en zone Q"),IF(H1084&lt;3,"Péremption &lt; 3 mois",IF(H1084&lt;6,"Péremption &lt; 6 mois",""))))</f>
        <v/>
      </c>
      <c r="J1084" s="17" t="str">
        <f aca="false">IF(A1084="","",IF(COUNTIF(Emplacements!$A$2:$A$1001,A1084)=0,"⚠ emplacement inconnu","OK"))</f>
        <v/>
      </c>
      <c r="K1084" s="22" t="str">
        <f aca="false">IF(AND(B1084&lt;&gt;"",ISNUMBER(SEARCH(Recherche!$C$3,C1084&amp;" "&amp;B1084&amp;" "&amp;A1084&amp;" "&amp;D1084))),MAX($K$1:K1083)+1,"")</f>
        <v/>
      </c>
    </row>
    <row r="1085" customFormat="false" ht="15" hidden="false" customHeight="false" outlineLevel="0" collapsed="false">
      <c r="A1085" s="12"/>
      <c r="B1085" s="12"/>
      <c r="C1085" s="17" t="str">
        <f aca="false">IF(B1085="","",IFERROR(INDEX(Produits!$F$2:$F$1001,MATCH(B1085,Produits!$A$2:$A$1001,0)),"⚠ code article inconnu"))</f>
        <v/>
      </c>
      <c r="D1085" s="12"/>
      <c r="E1085" s="23"/>
      <c r="F1085" s="24"/>
      <c r="G1085" s="23"/>
      <c r="H1085" s="21" t="str">
        <f aca="true">IF(E1085="","",ROUND((E1085-TODAY())/30.4,1))</f>
        <v/>
      </c>
      <c r="I1085" s="17" t="str">
        <f aca="false">IF(E1085="","",IF(H1085&lt;0,IF(LEFT(A1085,1)="Q","Périmé (en quarantaine)","PÉRIMÉ → déplacer en zone Q"),IF(H1085&lt;3,"Péremption &lt; 3 mois",IF(H1085&lt;6,"Péremption &lt; 6 mois",""))))</f>
        <v/>
      </c>
      <c r="J1085" s="17" t="str">
        <f aca="false">IF(A1085="","",IF(COUNTIF(Emplacements!$A$2:$A$1001,A1085)=0,"⚠ emplacement inconnu","OK"))</f>
        <v/>
      </c>
      <c r="K1085" s="22" t="str">
        <f aca="false">IF(AND(B1085&lt;&gt;"",ISNUMBER(SEARCH(Recherche!$C$3,C1085&amp;" "&amp;B1085&amp;" "&amp;A1085&amp;" "&amp;D1085))),MAX($K$1:K1084)+1,"")</f>
        <v/>
      </c>
    </row>
    <row r="1086" customFormat="false" ht="15" hidden="false" customHeight="false" outlineLevel="0" collapsed="false">
      <c r="A1086" s="12"/>
      <c r="B1086" s="12"/>
      <c r="C1086" s="17" t="str">
        <f aca="false">IF(B1086="","",IFERROR(INDEX(Produits!$F$2:$F$1001,MATCH(B1086,Produits!$A$2:$A$1001,0)),"⚠ code article inconnu"))</f>
        <v/>
      </c>
      <c r="D1086" s="12"/>
      <c r="E1086" s="23"/>
      <c r="F1086" s="24"/>
      <c r="G1086" s="23"/>
      <c r="H1086" s="21" t="str">
        <f aca="true">IF(E1086="","",ROUND((E1086-TODAY())/30.4,1))</f>
        <v/>
      </c>
      <c r="I1086" s="17" t="str">
        <f aca="false">IF(E1086="","",IF(H1086&lt;0,IF(LEFT(A1086,1)="Q","Périmé (en quarantaine)","PÉRIMÉ → déplacer en zone Q"),IF(H1086&lt;3,"Péremption &lt; 3 mois",IF(H1086&lt;6,"Péremption &lt; 6 mois",""))))</f>
        <v/>
      </c>
      <c r="J1086" s="17" t="str">
        <f aca="false">IF(A1086="","",IF(COUNTIF(Emplacements!$A$2:$A$1001,A1086)=0,"⚠ emplacement inconnu","OK"))</f>
        <v/>
      </c>
      <c r="K1086" s="22" t="str">
        <f aca="false">IF(AND(B1086&lt;&gt;"",ISNUMBER(SEARCH(Recherche!$C$3,C1086&amp;" "&amp;B1086&amp;" "&amp;A1086&amp;" "&amp;D1086))),MAX($K$1:K1085)+1,"")</f>
        <v/>
      </c>
    </row>
    <row r="1087" customFormat="false" ht="15" hidden="false" customHeight="false" outlineLevel="0" collapsed="false">
      <c r="A1087" s="12"/>
      <c r="B1087" s="12"/>
      <c r="C1087" s="17" t="str">
        <f aca="false">IF(B1087="","",IFERROR(INDEX(Produits!$F$2:$F$1001,MATCH(B1087,Produits!$A$2:$A$1001,0)),"⚠ code article inconnu"))</f>
        <v/>
      </c>
      <c r="D1087" s="12"/>
      <c r="E1087" s="23"/>
      <c r="F1087" s="24"/>
      <c r="G1087" s="23"/>
      <c r="H1087" s="21" t="str">
        <f aca="true">IF(E1087="","",ROUND((E1087-TODAY())/30.4,1))</f>
        <v/>
      </c>
      <c r="I1087" s="17" t="str">
        <f aca="false">IF(E1087="","",IF(H1087&lt;0,IF(LEFT(A1087,1)="Q","Périmé (en quarantaine)","PÉRIMÉ → déplacer en zone Q"),IF(H1087&lt;3,"Péremption &lt; 3 mois",IF(H1087&lt;6,"Péremption &lt; 6 mois",""))))</f>
        <v/>
      </c>
      <c r="J1087" s="17" t="str">
        <f aca="false">IF(A1087="","",IF(COUNTIF(Emplacements!$A$2:$A$1001,A1087)=0,"⚠ emplacement inconnu","OK"))</f>
        <v/>
      </c>
      <c r="K1087" s="22" t="str">
        <f aca="false">IF(AND(B1087&lt;&gt;"",ISNUMBER(SEARCH(Recherche!$C$3,C1087&amp;" "&amp;B1087&amp;" "&amp;A1087&amp;" "&amp;D1087))),MAX($K$1:K1086)+1,"")</f>
        <v/>
      </c>
    </row>
    <row r="1088" customFormat="false" ht="15" hidden="false" customHeight="false" outlineLevel="0" collapsed="false">
      <c r="A1088" s="12"/>
      <c r="B1088" s="12"/>
      <c r="C1088" s="17" t="str">
        <f aca="false">IF(B1088="","",IFERROR(INDEX(Produits!$F$2:$F$1001,MATCH(B1088,Produits!$A$2:$A$1001,0)),"⚠ code article inconnu"))</f>
        <v/>
      </c>
      <c r="D1088" s="12"/>
      <c r="E1088" s="23"/>
      <c r="F1088" s="24"/>
      <c r="G1088" s="23"/>
      <c r="H1088" s="21" t="str">
        <f aca="true">IF(E1088="","",ROUND((E1088-TODAY())/30.4,1))</f>
        <v/>
      </c>
      <c r="I1088" s="17" t="str">
        <f aca="false">IF(E1088="","",IF(H1088&lt;0,IF(LEFT(A1088,1)="Q","Périmé (en quarantaine)","PÉRIMÉ → déplacer en zone Q"),IF(H1088&lt;3,"Péremption &lt; 3 mois",IF(H1088&lt;6,"Péremption &lt; 6 mois",""))))</f>
        <v/>
      </c>
      <c r="J1088" s="17" t="str">
        <f aca="false">IF(A1088="","",IF(COUNTIF(Emplacements!$A$2:$A$1001,A1088)=0,"⚠ emplacement inconnu","OK"))</f>
        <v/>
      </c>
      <c r="K1088" s="22" t="str">
        <f aca="false">IF(AND(B1088&lt;&gt;"",ISNUMBER(SEARCH(Recherche!$C$3,C1088&amp;" "&amp;B1088&amp;" "&amp;A1088&amp;" "&amp;D1088))),MAX($K$1:K1087)+1,"")</f>
        <v/>
      </c>
    </row>
    <row r="1089" customFormat="false" ht="15" hidden="false" customHeight="false" outlineLevel="0" collapsed="false">
      <c r="A1089" s="12"/>
      <c r="B1089" s="12"/>
      <c r="C1089" s="17" t="str">
        <f aca="false">IF(B1089="","",IFERROR(INDEX(Produits!$F$2:$F$1001,MATCH(B1089,Produits!$A$2:$A$1001,0)),"⚠ code article inconnu"))</f>
        <v/>
      </c>
      <c r="D1089" s="12"/>
      <c r="E1089" s="23"/>
      <c r="F1089" s="24"/>
      <c r="G1089" s="23"/>
      <c r="H1089" s="21" t="str">
        <f aca="true">IF(E1089="","",ROUND((E1089-TODAY())/30.4,1))</f>
        <v/>
      </c>
      <c r="I1089" s="17" t="str">
        <f aca="false">IF(E1089="","",IF(H1089&lt;0,IF(LEFT(A1089,1)="Q","Périmé (en quarantaine)","PÉRIMÉ → déplacer en zone Q"),IF(H1089&lt;3,"Péremption &lt; 3 mois",IF(H1089&lt;6,"Péremption &lt; 6 mois",""))))</f>
        <v/>
      </c>
      <c r="J1089" s="17" t="str">
        <f aca="false">IF(A1089="","",IF(COUNTIF(Emplacements!$A$2:$A$1001,A1089)=0,"⚠ emplacement inconnu","OK"))</f>
        <v/>
      </c>
      <c r="K1089" s="22" t="str">
        <f aca="false">IF(AND(B1089&lt;&gt;"",ISNUMBER(SEARCH(Recherche!$C$3,C1089&amp;" "&amp;B1089&amp;" "&amp;A1089&amp;" "&amp;D1089))),MAX($K$1:K1088)+1,"")</f>
        <v/>
      </c>
    </row>
    <row r="1090" customFormat="false" ht="15" hidden="false" customHeight="false" outlineLevel="0" collapsed="false">
      <c r="A1090" s="12"/>
      <c r="B1090" s="12"/>
      <c r="C1090" s="17" t="str">
        <f aca="false">IF(B1090="","",IFERROR(INDEX(Produits!$F$2:$F$1001,MATCH(B1090,Produits!$A$2:$A$1001,0)),"⚠ code article inconnu"))</f>
        <v/>
      </c>
      <c r="D1090" s="12"/>
      <c r="E1090" s="23"/>
      <c r="F1090" s="24"/>
      <c r="G1090" s="23"/>
      <c r="H1090" s="21" t="str">
        <f aca="true">IF(E1090="","",ROUND((E1090-TODAY())/30.4,1))</f>
        <v/>
      </c>
      <c r="I1090" s="17" t="str">
        <f aca="false">IF(E1090="","",IF(H1090&lt;0,IF(LEFT(A1090,1)="Q","Périmé (en quarantaine)","PÉRIMÉ → déplacer en zone Q"),IF(H1090&lt;3,"Péremption &lt; 3 mois",IF(H1090&lt;6,"Péremption &lt; 6 mois",""))))</f>
        <v/>
      </c>
      <c r="J1090" s="17" t="str">
        <f aca="false">IF(A1090="","",IF(COUNTIF(Emplacements!$A$2:$A$1001,A1090)=0,"⚠ emplacement inconnu","OK"))</f>
        <v/>
      </c>
      <c r="K1090" s="22" t="str">
        <f aca="false">IF(AND(B1090&lt;&gt;"",ISNUMBER(SEARCH(Recherche!$C$3,C1090&amp;" "&amp;B1090&amp;" "&amp;A1090&amp;" "&amp;D1090))),MAX($K$1:K1089)+1,"")</f>
        <v/>
      </c>
    </row>
    <row r="1091" customFormat="false" ht="15" hidden="false" customHeight="false" outlineLevel="0" collapsed="false">
      <c r="A1091" s="12"/>
      <c r="B1091" s="12"/>
      <c r="C1091" s="17" t="str">
        <f aca="false">IF(B1091="","",IFERROR(INDEX(Produits!$F$2:$F$1001,MATCH(B1091,Produits!$A$2:$A$1001,0)),"⚠ code article inconnu"))</f>
        <v/>
      </c>
      <c r="D1091" s="12"/>
      <c r="E1091" s="23"/>
      <c r="F1091" s="24"/>
      <c r="G1091" s="23"/>
      <c r="H1091" s="21" t="str">
        <f aca="true">IF(E1091="","",ROUND((E1091-TODAY())/30.4,1))</f>
        <v/>
      </c>
      <c r="I1091" s="17" t="str">
        <f aca="false">IF(E1091="","",IF(H1091&lt;0,IF(LEFT(A1091,1)="Q","Périmé (en quarantaine)","PÉRIMÉ → déplacer en zone Q"),IF(H1091&lt;3,"Péremption &lt; 3 mois",IF(H1091&lt;6,"Péremption &lt; 6 mois",""))))</f>
        <v/>
      </c>
      <c r="J1091" s="17" t="str">
        <f aca="false">IF(A1091="","",IF(COUNTIF(Emplacements!$A$2:$A$1001,A1091)=0,"⚠ emplacement inconnu","OK"))</f>
        <v/>
      </c>
      <c r="K1091" s="22" t="str">
        <f aca="false">IF(AND(B1091&lt;&gt;"",ISNUMBER(SEARCH(Recherche!$C$3,C1091&amp;" "&amp;B1091&amp;" "&amp;A1091&amp;" "&amp;D1091))),MAX($K$1:K1090)+1,"")</f>
        <v/>
      </c>
    </row>
    <row r="1092" customFormat="false" ht="15" hidden="false" customHeight="false" outlineLevel="0" collapsed="false">
      <c r="A1092" s="12"/>
      <c r="B1092" s="12"/>
      <c r="C1092" s="17" t="str">
        <f aca="false">IF(B1092="","",IFERROR(INDEX(Produits!$F$2:$F$1001,MATCH(B1092,Produits!$A$2:$A$1001,0)),"⚠ code article inconnu"))</f>
        <v/>
      </c>
      <c r="D1092" s="12"/>
      <c r="E1092" s="23"/>
      <c r="F1092" s="24"/>
      <c r="G1092" s="23"/>
      <c r="H1092" s="21" t="str">
        <f aca="true">IF(E1092="","",ROUND((E1092-TODAY())/30.4,1))</f>
        <v/>
      </c>
      <c r="I1092" s="17" t="str">
        <f aca="false">IF(E1092="","",IF(H1092&lt;0,IF(LEFT(A1092,1)="Q","Périmé (en quarantaine)","PÉRIMÉ → déplacer en zone Q"),IF(H1092&lt;3,"Péremption &lt; 3 mois",IF(H1092&lt;6,"Péremption &lt; 6 mois",""))))</f>
        <v/>
      </c>
      <c r="J1092" s="17" t="str">
        <f aca="false">IF(A1092="","",IF(COUNTIF(Emplacements!$A$2:$A$1001,A1092)=0,"⚠ emplacement inconnu","OK"))</f>
        <v/>
      </c>
      <c r="K1092" s="22" t="str">
        <f aca="false">IF(AND(B1092&lt;&gt;"",ISNUMBER(SEARCH(Recherche!$C$3,C1092&amp;" "&amp;B1092&amp;" "&amp;A1092&amp;" "&amp;D1092))),MAX($K$1:K1091)+1,"")</f>
        <v/>
      </c>
    </row>
    <row r="1093" customFormat="false" ht="15" hidden="false" customHeight="false" outlineLevel="0" collapsed="false">
      <c r="A1093" s="12"/>
      <c r="B1093" s="12"/>
      <c r="C1093" s="17" t="str">
        <f aca="false">IF(B1093="","",IFERROR(INDEX(Produits!$F$2:$F$1001,MATCH(B1093,Produits!$A$2:$A$1001,0)),"⚠ code article inconnu"))</f>
        <v/>
      </c>
      <c r="D1093" s="12"/>
      <c r="E1093" s="23"/>
      <c r="F1093" s="24"/>
      <c r="G1093" s="23"/>
      <c r="H1093" s="21" t="str">
        <f aca="true">IF(E1093="","",ROUND((E1093-TODAY())/30.4,1))</f>
        <v/>
      </c>
      <c r="I1093" s="17" t="str">
        <f aca="false">IF(E1093="","",IF(H1093&lt;0,IF(LEFT(A1093,1)="Q","Périmé (en quarantaine)","PÉRIMÉ → déplacer en zone Q"),IF(H1093&lt;3,"Péremption &lt; 3 mois",IF(H1093&lt;6,"Péremption &lt; 6 mois",""))))</f>
        <v/>
      </c>
      <c r="J1093" s="17" t="str">
        <f aca="false">IF(A1093="","",IF(COUNTIF(Emplacements!$A$2:$A$1001,A1093)=0,"⚠ emplacement inconnu","OK"))</f>
        <v/>
      </c>
      <c r="K1093" s="22" t="str">
        <f aca="false">IF(AND(B1093&lt;&gt;"",ISNUMBER(SEARCH(Recherche!$C$3,C1093&amp;" "&amp;B1093&amp;" "&amp;A1093&amp;" "&amp;D1093))),MAX($K$1:K1092)+1,"")</f>
        <v/>
      </c>
    </row>
    <row r="1094" customFormat="false" ht="15" hidden="false" customHeight="false" outlineLevel="0" collapsed="false">
      <c r="A1094" s="12"/>
      <c r="B1094" s="12"/>
      <c r="C1094" s="17" t="str">
        <f aca="false">IF(B1094="","",IFERROR(INDEX(Produits!$F$2:$F$1001,MATCH(B1094,Produits!$A$2:$A$1001,0)),"⚠ code article inconnu"))</f>
        <v/>
      </c>
      <c r="D1094" s="12"/>
      <c r="E1094" s="23"/>
      <c r="F1094" s="24"/>
      <c r="G1094" s="23"/>
      <c r="H1094" s="21" t="str">
        <f aca="true">IF(E1094="","",ROUND((E1094-TODAY())/30.4,1))</f>
        <v/>
      </c>
      <c r="I1094" s="17" t="str">
        <f aca="false">IF(E1094="","",IF(H1094&lt;0,IF(LEFT(A1094,1)="Q","Périmé (en quarantaine)","PÉRIMÉ → déplacer en zone Q"),IF(H1094&lt;3,"Péremption &lt; 3 mois",IF(H1094&lt;6,"Péremption &lt; 6 mois",""))))</f>
        <v/>
      </c>
      <c r="J1094" s="17" t="str">
        <f aca="false">IF(A1094="","",IF(COUNTIF(Emplacements!$A$2:$A$1001,A1094)=0,"⚠ emplacement inconnu","OK"))</f>
        <v/>
      </c>
      <c r="K1094" s="22" t="str">
        <f aca="false">IF(AND(B1094&lt;&gt;"",ISNUMBER(SEARCH(Recherche!$C$3,C1094&amp;" "&amp;B1094&amp;" "&amp;A1094&amp;" "&amp;D1094))),MAX($K$1:K1093)+1,"")</f>
        <v/>
      </c>
    </row>
    <row r="1095" customFormat="false" ht="15" hidden="false" customHeight="false" outlineLevel="0" collapsed="false">
      <c r="A1095" s="12"/>
      <c r="B1095" s="12"/>
      <c r="C1095" s="17" t="str">
        <f aca="false">IF(B1095="","",IFERROR(INDEX(Produits!$F$2:$F$1001,MATCH(B1095,Produits!$A$2:$A$1001,0)),"⚠ code article inconnu"))</f>
        <v/>
      </c>
      <c r="D1095" s="12"/>
      <c r="E1095" s="23"/>
      <c r="F1095" s="24"/>
      <c r="G1095" s="23"/>
      <c r="H1095" s="21" t="str">
        <f aca="true">IF(E1095="","",ROUND((E1095-TODAY())/30.4,1))</f>
        <v/>
      </c>
      <c r="I1095" s="17" t="str">
        <f aca="false">IF(E1095="","",IF(H1095&lt;0,IF(LEFT(A1095,1)="Q","Périmé (en quarantaine)","PÉRIMÉ → déplacer en zone Q"),IF(H1095&lt;3,"Péremption &lt; 3 mois",IF(H1095&lt;6,"Péremption &lt; 6 mois",""))))</f>
        <v/>
      </c>
      <c r="J1095" s="17" t="str">
        <f aca="false">IF(A1095="","",IF(COUNTIF(Emplacements!$A$2:$A$1001,A1095)=0,"⚠ emplacement inconnu","OK"))</f>
        <v/>
      </c>
      <c r="K1095" s="22" t="str">
        <f aca="false">IF(AND(B1095&lt;&gt;"",ISNUMBER(SEARCH(Recherche!$C$3,C1095&amp;" "&amp;B1095&amp;" "&amp;A1095&amp;" "&amp;D1095))),MAX($K$1:K1094)+1,"")</f>
        <v/>
      </c>
    </row>
    <row r="1096" customFormat="false" ht="15" hidden="false" customHeight="false" outlineLevel="0" collapsed="false">
      <c r="A1096" s="12"/>
      <c r="B1096" s="12"/>
      <c r="C1096" s="17" t="str">
        <f aca="false">IF(B1096="","",IFERROR(INDEX(Produits!$F$2:$F$1001,MATCH(B1096,Produits!$A$2:$A$1001,0)),"⚠ code article inconnu"))</f>
        <v/>
      </c>
      <c r="D1096" s="12"/>
      <c r="E1096" s="23"/>
      <c r="F1096" s="24"/>
      <c r="G1096" s="23"/>
      <c r="H1096" s="21" t="str">
        <f aca="true">IF(E1096="","",ROUND((E1096-TODAY())/30.4,1))</f>
        <v/>
      </c>
      <c r="I1096" s="17" t="str">
        <f aca="false">IF(E1096="","",IF(H1096&lt;0,IF(LEFT(A1096,1)="Q","Périmé (en quarantaine)","PÉRIMÉ → déplacer en zone Q"),IF(H1096&lt;3,"Péremption &lt; 3 mois",IF(H1096&lt;6,"Péremption &lt; 6 mois",""))))</f>
        <v/>
      </c>
      <c r="J1096" s="17" t="str">
        <f aca="false">IF(A1096="","",IF(COUNTIF(Emplacements!$A$2:$A$1001,A1096)=0,"⚠ emplacement inconnu","OK"))</f>
        <v/>
      </c>
      <c r="K1096" s="22" t="str">
        <f aca="false">IF(AND(B1096&lt;&gt;"",ISNUMBER(SEARCH(Recherche!$C$3,C1096&amp;" "&amp;B1096&amp;" "&amp;A1096&amp;" "&amp;D1096))),MAX($K$1:K1095)+1,"")</f>
        <v/>
      </c>
    </row>
    <row r="1097" customFormat="false" ht="15" hidden="false" customHeight="false" outlineLevel="0" collapsed="false">
      <c r="A1097" s="12"/>
      <c r="B1097" s="12"/>
      <c r="C1097" s="17" t="str">
        <f aca="false">IF(B1097="","",IFERROR(INDEX(Produits!$F$2:$F$1001,MATCH(B1097,Produits!$A$2:$A$1001,0)),"⚠ code article inconnu"))</f>
        <v/>
      </c>
      <c r="D1097" s="12"/>
      <c r="E1097" s="23"/>
      <c r="F1097" s="24"/>
      <c r="G1097" s="23"/>
      <c r="H1097" s="21" t="str">
        <f aca="true">IF(E1097="","",ROUND((E1097-TODAY())/30.4,1))</f>
        <v/>
      </c>
      <c r="I1097" s="17" t="str">
        <f aca="false">IF(E1097="","",IF(H1097&lt;0,IF(LEFT(A1097,1)="Q","Périmé (en quarantaine)","PÉRIMÉ → déplacer en zone Q"),IF(H1097&lt;3,"Péremption &lt; 3 mois",IF(H1097&lt;6,"Péremption &lt; 6 mois",""))))</f>
        <v/>
      </c>
      <c r="J1097" s="17" t="str">
        <f aca="false">IF(A1097="","",IF(COUNTIF(Emplacements!$A$2:$A$1001,A1097)=0,"⚠ emplacement inconnu","OK"))</f>
        <v/>
      </c>
      <c r="K1097" s="22" t="str">
        <f aca="false">IF(AND(B1097&lt;&gt;"",ISNUMBER(SEARCH(Recherche!$C$3,C1097&amp;" "&amp;B1097&amp;" "&amp;A1097&amp;" "&amp;D1097))),MAX($K$1:K1096)+1,"")</f>
        <v/>
      </c>
    </row>
    <row r="1098" customFormat="false" ht="15" hidden="false" customHeight="false" outlineLevel="0" collapsed="false">
      <c r="A1098" s="12"/>
      <c r="B1098" s="12"/>
      <c r="C1098" s="17" t="str">
        <f aca="false">IF(B1098="","",IFERROR(INDEX(Produits!$F$2:$F$1001,MATCH(B1098,Produits!$A$2:$A$1001,0)),"⚠ code article inconnu"))</f>
        <v/>
      </c>
      <c r="D1098" s="12"/>
      <c r="E1098" s="23"/>
      <c r="F1098" s="24"/>
      <c r="G1098" s="23"/>
      <c r="H1098" s="21" t="str">
        <f aca="true">IF(E1098="","",ROUND((E1098-TODAY())/30.4,1))</f>
        <v/>
      </c>
      <c r="I1098" s="17" t="str">
        <f aca="false">IF(E1098="","",IF(H1098&lt;0,IF(LEFT(A1098,1)="Q","Périmé (en quarantaine)","PÉRIMÉ → déplacer en zone Q"),IF(H1098&lt;3,"Péremption &lt; 3 mois",IF(H1098&lt;6,"Péremption &lt; 6 mois",""))))</f>
        <v/>
      </c>
      <c r="J1098" s="17" t="str">
        <f aca="false">IF(A1098="","",IF(COUNTIF(Emplacements!$A$2:$A$1001,A1098)=0,"⚠ emplacement inconnu","OK"))</f>
        <v/>
      </c>
      <c r="K1098" s="22" t="str">
        <f aca="false">IF(AND(B1098&lt;&gt;"",ISNUMBER(SEARCH(Recherche!$C$3,C1098&amp;" "&amp;B1098&amp;" "&amp;A1098&amp;" "&amp;D1098))),MAX($K$1:K1097)+1,"")</f>
        <v/>
      </c>
    </row>
    <row r="1099" customFormat="false" ht="15" hidden="false" customHeight="false" outlineLevel="0" collapsed="false">
      <c r="A1099" s="12"/>
      <c r="B1099" s="12"/>
      <c r="C1099" s="17" t="str">
        <f aca="false">IF(B1099="","",IFERROR(INDEX(Produits!$F$2:$F$1001,MATCH(B1099,Produits!$A$2:$A$1001,0)),"⚠ code article inconnu"))</f>
        <v/>
      </c>
      <c r="D1099" s="12"/>
      <c r="E1099" s="23"/>
      <c r="F1099" s="24"/>
      <c r="G1099" s="23"/>
      <c r="H1099" s="21" t="str">
        <f aca="true">IF(E1099="","",ROUND((E1099-TODAY())/30.4,1))</f>
        <v/>
      </c>
      <c r="I1099" s="17" t="str">
        <f aca="false">IF(E1099="","",IF(H1099&lt;0,IF(LEFT(A1099,1)="Q","Périmé (en quarantaine)","PÉRIMÉ → déplacer en zone Q"),IF(H1099&lt;3,"Péremption &lt; 3 mois",IF(H1099&lt;6,"Péremption &lt; 6 mois",""))))</f>
        <v/>
      </c>
      <c r="J1099" s="17" t="str">
        <f aca="false">IF(A1099="","",IF(COUNTIF(Emplacements!$A$2:$A$1001,A1099)=0,"⚠ emplacement inconnu","OK"))</f>
        <v/>
      </c>
      <c r="K1099" s="22" t="str">
        <f aca="false">IF(AND(B1099&lt;&gt;"",ISNUMBER(SEARCH(Recherche!$C$3,C1099&amp;" "&amp;B1099&amp;" "&amp;A1099&amp;" "&amp;D1099))),MAX($K$1:K1098)+1,"")</f>
        <v/>
      </c>
    </row>
    <row r="1100" customFormat="false" ht="15" hidden="false" customHeight="false" outlineLevel="0" collapsed="false">
      <c r="A1100" s="12"/>
      <c r="B1100" s="12"/>
      <c r="C1100" s="17" t="str">
        <f aca="false">IF(B1100="","",IFERROR(INDEX(Produits!$F$2:$F$1001,MATCH(B1100,Produits!$A$2:$A$1001,0)),"⚠ code article inconnu"))</f>
        <v/>
      </c>
      <c r="D1100" s="12"/>
      <c r="E1100" s="23"/>
      <c r="F1100" s="24"/>
      <c r="G1100" s="23"/>
      <c r="H1100" s="21" t="str">
        <f aca="true">IF(E1100="","",ROUND((E1100-TODAY())/30.4,1))</f>
        <v/>
      </c>
      <c r="I1100" s="17" t="str">
        <f aca="false">IF(E1100="","",IF(H1100&lt;0,IF(LEFT(A1100,1)="Q","Périmé (en quarantaine)","PÉRIMÉ → déplacer en zone Q"),IF(H1100&lt;3,"Péremption &lt; 3 mois",IF(H1100&lt;6,"Péremption &lt; 6 mois",""))))</f>
        <v/>
      </c>
      <c r="J1100" s="17" t="str">
        <f aca="false">IF(A1100="","",IF(COUNTIF(Emplacements!$A$2:$A$1001,A1100)=0,"⚠ emplacement inconnu","OK"))</f>
        <v/>
      </c>
      <c r="K1100" s="22" t="str">
        <f aca="false">IF(AND(B1100&lt;&gt;"",ISNUMBER(SEARCH(Recherche!$C$3,C1100&amp;" "&amp;B1100&amp;" "&amp;A1100&amp;" "&amp;D1100))),MAX($K$1:K1099)+1,"")</f>
        <v/>
      </c>
    </row>
    <row r="1101" customFormat="false" ht="15" hidden="false" customHeight="false" outlineLevel="0" collapsed="false">
      <c r="A1101" s="12"/>
      <c r="B1101" s="12"/>
      <c r="C1101" s="17" t="str">
        <f aca="false">IF(B1101="","",IFERROR(INDEX(Produits!$F$2:$F$1001,MATCH(B1101,Produits!$A$2:$A$1001,0)),"⚠ code article inconnu"))</f>
        <v/>
      </c>
      <c r="D1101" s="12"/>
      <c r="E1101" s="23"/>
      <c r="F1101" s="24"/>
      <c r="G1101" s="23"/>
      <c r="H1101" s="21" t="str">
        <f aca="true">IF(E1101="","",ROUND((E1101-TODAY())/30.4,1))</f>
        <v/>
      </c>
      <c r="I1101" s="17" t="str">
        <f aca="false">IF(E1101="","",IF(H1101&lt;0,IF(LEFT(A1101,1)="Q","Périmé (en quarantaine)","PÉRIMÉ → déplacer en zone Q"),IF(H1101&lt;3,"Péremption &lt; 3 mois",IF(H1101&lt;6,"Péremption &lt; 6 mois",""))))</f>
        <v/>
      </c>
      <c r="J1101" s="17" t="str">
        <f aca="false">IF(A1101="","",IF(COUNTIF(Emplacements!$A$2:$A$1001,A1101)=0,"⚠ emplacement inconnu","OK"))</f>
        <v/>
      </c>
      <c r="K1101" s="22" t="str">
        <f aca="false">IF(AND(B1101&lt;&gt;"",ISNUMBER(SEARCH(Recherche!$C$3,C1101&amp;" "&amp;B1101&amp;" "&amp;A1101&amp;" "&amp;D1101))),MAX($K$1:K1100)+1,"")</f>
        <v/>
      </c>
    </row>
    <row r="1102" customFormat="false" ht="15" hidden="false" customHeight="false" outlineLevel="0" collapsed="false">
      <c r="A1102" s="12"/>
      <c r="B1102" s="12"/>
      <c r="C1102" s="17" t="str">
        <f aca="false">IF(B1102="","",IFERROR(INDEX(Produits!$F$2:$F$1001,MATCH(B1102,Produits!$A$2:$A$1001,0)),"⚠ code article inconnu"))</f>
        <v/>
      </c>
      <c r="D1102" s="12"/>
      <c r="E1102" s="23"/>
      <c r="F1102" s="24"/>
      <c r="G1102" s="23"/>
      <c r="H1102" s="21" t="str">
        <f aca="true">IF(E1102="","",ROUND((E1102-TODAY())/30.4,1))</f>
        <v/>
      </c>
      <c r="I1102" s="17" t="str">
        <f aca="false">IF(E1102="","",IF(H1102&lt;0,IF(LEFT(A1102,1)="Q","Périmé (en quarantaine)","PÉRIMÉ → déplacer en zone Q"),IF(H1102&lt;3,"Péremption &lt; 3 mois",IF(H1102&lt;6,"Péremption &lt; 6 mois",""))))</f>
        <v/>
      </c>
      <c r="J1102" s="17" t="str">
        <f aca="false">IF(A1102="","",IF(COUNTIF(Emplacements!$A$2:$A$1001,A1102)=0,"⚠ emplacement inconnu","OK"))</f>
        <v/>
      </c>
      <c r="K1102" s="22" t="str">
        <f aca="false">IF(AND(B1102&lt;&gt;"",ISNUMBER(SEARCH(Recherche!$C$3,C1102&amp;" "&amp;B1102&amp;" "&amp;A1102&amp;" "&amp;D1102))),MAX($K$1:K1101)+1,"")</f>
        <v/>
      </c>
    </row>
    <row r="1103" customFormat="false" ht="15" hidden="false" customHeight="false" outlineLevel="0" collapsed="false">
      <c r="A1103" s="12"/>
      <c r="B1103" s="12"/>
      <c r="C1103" s="17" t="str">
        <f aca="false">IF(B1103="","",IFERROR(INDEX(Produits!$F$2:$F$1001,MATCH(B1103,Produits!$A$2:$A$1001,0)),"⚠ code article inconnu"))</f>
        <v/>
      </c>
      <c r="D1103" s="12"/>
      <c r="E1103" s="23"/>
      <c r="F1103" s="24"/>
      <c r="G1103" s="23"/>
      <c r="H1103" s="21" t="str">
        <f aca="true">IF(E1103="","",ROUND((E1103-TODAY())/30.4,1))</f>
        <v/>
      </c>
      <c r="I1103" s="17" t="str">
        <f aca="false">IF(E1103="","",IF(H1103&lt;0,IF(LEFT(A1103,1)="Q","Périmé (en quarantaine)","PÉRIMÉ → déplacer en zone Q"),IF(H1103&lt;3,"Péremption &lt; 3 mois",IF(H1103&lt;6,"Péremption &lt; 6 mois",""))))</f>
        <v/>
      </c>
      <c r="J1103" s="17" t="str">
        <f aca="false">IF(A1103="","",IF(COUNTIF(Emplacements!$A$2:$A$1001,A1103)=0,"⚠ emplacement inconnu","OK"))</f>
        <v/>
      </c>
      <c r="K1103" s="22" t="str">
        <f aca="false">IF(AND(B1103&lt;&gt;"",ISNUMBER(SEARCH(Recherche!$C$3,C1103&amp;" "&amp;B1103&amp;" "&amp;A1103&amp;" "&amp;D1103))),MAX($K$1:K1102)+1,"")</f>
        <v/>
      </c>
    </row>
    <row r="1104" customFormat="false" ht="15" hidden="false" customHeight="false" outlineLevel="0" collapsed="false">
      <c r="A1104" s="12"/>
      <c r="B1104" s="12"/>
      <c r="C1104" s="17" t="str">
        <f aca="false">IF(B1104="","",IFERROR(INDEX(Produits!$F$2:$F$1001,MATCH(B1104,Produits!$A$2:$A$1001,0)),"⚠ code article inconnu"))</f>
        <v/>
      </c>
      <c r="D1104" s="12"/>
      <c r="E1104" s="23"/>
      <c r="F1104" s="24"/>
      <c r="G1104" s="23"/>
      <c r="H1104" s="21" t="str">
        <f aca="true">IF(E1104="","",ROUND((E1104-TODAY())/30.4,1))</f>
        <v/>
      </c>
      <c r="I1104" s="17" t="str">
        <f aca="false">IF(E1104="","",IF(H1104&lt;0,IF(LEFT(A1104,1)="Q","Périmé (en quarantaine)","PÉRIMÉ → déplacer en zone Q"),IF(H1104&lt;3,"Péremption &lt; 3 mois",IF(H1104&lt;6,"Péremption &lt; 6 mois",""))))</f>
        <v/>
      </c>
      <c r="J1104" s="17" t="str">
        <f aca="false">IF(A1104="","",IF(COUNTIF(Emplacements!$A$2:$A$1001,A1104)=0,"⚠ emplacement inconnu","OK"))</f>
        <v/>
      </c>
      <c r="K1104" s="22" t="str">
        <f aca="false">IF(AND(B1104&lt;&gt;"",ISNUMBER(SEARCH(Recherche!$C$3,C1104&amp;" "&amp;B1104&amp;" "&amp;A1104&amp;" "&amp;D1104))),MAX($K$1:K1103)+1,"")</f>
        <v/>
      </c>
    </row>
    <row r="1105" customFormat="false" ht="15" hidden="false" customHeight="false" outlineLevel="0" collapsed="false">
      <c r="A1105" s="12"/>
      <c r="B1105" s="12"/>
      <c r="C1105" s="17" t="str">
        <f aca="false">IF(B1105="","",IFERROR(INDEX(Produits!$F$2:$F$1001,MATCH(B1105,Produits!$A$2:$A$1001,0)),"⚠ code article inconnu"))</f>
        <v/>
      </c>
      <c r="D1105" s="12"/>
      <c r="E1105" s="23"/>
      <c r="F1105" s="24"/>
      <c r="G1105" s="23"/>
      <c r="H1105" s="21" t="str">
        <f aca="true">IF(E1105="","",ROUND((E1105-TODAY())/30.4,1))</f>
        <v/>
      </c>
      <c r="I1105" s="17" t="str">
        <f aca="false">IF(E1105="","",IF(H1105&lt;0,IF(LEFT(A1105,1)="Q","Périmé (en quarantaine)","PÉRIMÉ → déplacer en zone Q"),IF(H1105&lt;3,"Péremption &lt; 3 mois",IF(H1105&lt;6,"Péremption &lt; 6 mois",""))))</f>
        <v/>
      </c>
      <c r="J1105" s="17" t="str">
        <f aca="false">IF(A1105="","",IF(COUNTIF(Emplacements!$A$2:$A$1001,A1105)=0,"⚠ emplacement inconnu","OK"))</f>
        <v/>
      </c>
      <c r="K1105" s="22" t="str">
        <f aca="false">IF(AND(B1105&lt;&gt;"",ISNUMBER(SEARCH(Recherche!$C$3,C1105&amp;" "&amp;B1105&amp;" "&amp;A1105&amp;" "&amp;D1105))),MAX($K$1:K1104)+1,"")</f>
        <v/>
      </c>
    </row>
    <row r="1106" customFormat="false" ht="15" hidden="false" customHeight="false" outlineLevel="0" collapsed="false">
      <c r="A1106" s="12"/>
      <c r="B1106" s="12"/>
      <c r="C1106" s="17" t="str">
        <f aca="false">IF(B1106="","",IFERROR(INDEX(Produits!$F$2:$F$1001,MATCH(B1106,Produits!$A$2:$A$1001,0)),"⚠ code article inconnu"))</f>
        <v/>
      </c>
      <c r="D1106" s="12"/>
      <c r="E1106" s="23"/>
      <c r="F1106" s="24"/>
      <c r="G1106" s="23"/>
      <c r="H1106" s="21" t="str">
        <f aca="true">IF(E1106="","",ROUND((E1106-TODAY())/30.4,1))</f>
        <v/>
      </c>
      <c r="I1106" s="17" t="str">
        <f aca="false">IF(E1106="","",IF(H1106&lt;0,IF(LEFT(A1106,1)="Q","Périmé (en quarantaine)","PÉRIMÉ → déplacer en zone Q"),IF(H1106&lt;3,"Péremption &lt; 3 mois",IF(H1106&lt;6,"Péremption &lt; 6 mois",""))))</f>
        <v/>
      </c>
      <c r="J1106" s="17" t="str">
        <f aca="false">IF(A1106="","",IF(COUNTIF(Emplacements!$A$2:$A$1001,A1106)=0,"⚠ emplacement inconnu","OK"))</f>
        <v/>
      </c>
      <c r="K1106" s="22" t="str">
        <f aca="false">IF(AND(B1106&lt;&gt;"",ISNUMBER(SEARCH(Recherche!$C$3,C1106&amp;" "&amp;B1106&amp;" "&amp;A1106&amp;" "&amp;D1106))),MAX($K$1:K1105)+1,"")</f>
        <v/>
      </c>
    </row>
    <row r="1107" customFormat="false" ht="15" hidden="false" customHeight="false" outlineLevel="0" collapsed="false">
      <c r="A1107" s="12"/>
      <c r="B1107" s="12"/>
      <c r="C1107" s="17" t="str">
        <f aca="false">IF(B1107="","",IFERROR(INDEX(Produits!$F$2:$F$1001,MATCH(B1107,Produits!$A$2:$A$1001,0)),"⚠ code article inconnu"))</f>
        <v/>
      </c>
      <c r="D1107" s="12"/>
      <c r="E1107" s="23"/>
      <c r="F1107" s="24"/>
      <c r="G1107" s="23"/>
      <c r="H1107" s="21" t="str">
        <f aca="true">IF(E1107="","",ROUND((E1107-TODAY())/30.4,1))</f>
        <v/>
      </c>
      <c r="I1107" s="17" t="str">
        <f aca="false">IF(E1107="","",IF(H1107&lt;0,IF(LEFT(A1107,1)="Q","Périmé (en quarantaine)","PÉRIMÉ → déplacer en zone Q"),IF(H1107&lt;3,"Péremption &lt; 3 mois",IF(H1107&lt;6,"Péremption &lt; 6 mois",""))))</f>
        <v/>
      </c>
      <c r="J1107" s="17" t="str">
        <f aca="false">IF(A1107="","",IF(COUNTIF(Emplacements!$A$2:$A$1001,A1107)=0,"⚠ emplacement inconnu","OK"))</f>
        <v/>
      </c>
      <c r="K1107" s="22" t="str">
        <f aca="false">IF(AND(B1107&lt;&gt;"",ISNUMBER(SEARCH(Recherche!$C$3,C1107&amp;" "&amp;B1107&amp;" "&amp;A1107&amp;" "&amp;D1107))),MAX($K$1:K1106)+1,"")</f>
        <v/>
      </c>
    </row>
    <row r="1108" customFormat="false" ht="15" hidden="false" customHeight="false" outlineLevel="0" collapsed="false">
      <c r="A1108" s="12"/>
      <c r="B1108" s="12"/>
      <c r="C1108" s="17" t="str">
        <f aca="false">IF(B1108="","",IFERROR(INDEX(Produits!$F$2:$F$1001,MATCH(B1108,Produits!$A$2:$A$1001,0)),"⚠ code article inconnu"))</f>
        <v/>
      </c>
      <c r="D1108" s="12"/>
      <c r="E1108" s="23"/>
      <c r="F1108" s="24"/>
      <c r="G1108" s="23"/>
      <c r="H1108" s="21" t="str">
        <f aca="true">IF(E1108="","",ROUND((E1108-TODAY())/30.4,1))</f>
        <v/>
      </c>
      <c r="I1108" s="17" t="str">
        <f aca="false">IF(E1108="","",IF(H1108&lt;0,IF(LEFT(A1108,1)="Q","Périmé (en quarantaine)","PÉRIMÉ → déplacer en zone Q"),IF(H1108&lt;3,"Péremption &lt; 3 mois",IF(H1108&lt;6,"Péremption &lt; 6 mois",""))))</f>
        <v/>
      </c>
      <c r="J1108" s="17" t="str">
        <f aca="false">IF(A1108="","",IF(COUNTIF(Emplacements!$A$2:$A$1001,A1108)=0,"⚠ emplacement inconnu","OK"))</f>
        <v/>
      </c>
      <c r="K1108" s="22" t="str">
        <f aca="false">IF(AND(B1108&lt;&gt;"",ISNUMBER(SEARCH(Recherche!$C$3,C1108&amp;" "&amp;B1108&amp;" "&amp;A1108&amp;" "&amp;D1108))),MAX($K$1:K1107)+1,"")</f>
        <v/>
      </c>
    </row>
    <row r="1109" customFormat="false" ht="15" hidden="false" customHeight="false" outlineLevel="0" collapsed="false">
      <c r="A1109" s="12"/>
      <c r="B1109" s="12"/>
      <c r="C1109" s="17" t="str">
        <f aca="false">IF(B1109="","",IFERROR(INDEX(Produits!$F$2:$F$1001,MATCH(B1109,Produits!$A$2:$A$1001,0)),"⚠ code article inconnu"))</f>
        <v/>
      </c>
      <c r="D1109" s="12"/>
      <c r="E1109" s="23"/>
      <c r="F1109" s="24"/>
      <c r="G1109" s="23"/>
      <c r="H1109" s="21" t="str">
        <f aca="true">IF(E1109="","",ROUND((E1109-TODAY())/30.4,1))</f>
        <v/>
      </c>
      <c r="I1109" s="17" t="str">
        <f aca="false">IF(E1109="","",IF(H1109&lt;0,IF(LEFT(A1109,1)="Q","Périmé (en quarantaine)","PÉRIMÉ → déplacer en zone Q"),IF(H1109&lt;3,"Péremption &lt; 3 mois",IF(H1109&lt;6,"Péremption &lt; 6 mois",""))))</f>
        <v/>
      </c>
      <c r="J1109" s="17" t="str">
        <f aca="false">IF(A1109="","",IF(COUNTIF(Emplacements!$A$2:$A$1001,A1109)=0,"⚠ emplacement inconnu","OK"))</f>
        <v/>
      </c>
      <c r="K1109" s="22" t="str">
        <f aca="false">IF(AND(B1109&lt;&gt;"",ISNUMBER(SEARCH(Recherche!$C$3,C1109&amp;" "&amp;B1109&amp;" "&amp;A1109&amp;" "&amp;D1109))),MAX($K$1:K1108)+1,"")</f>
        <v/>
      </c>
    </row>
    <row r="1110" customFormat="false" ht="15" hidden="false" customHeight="false" outlineLevel="0" collapsed="false">
      <c r="A1110" s="12"/>
      <c r="B1110" s="12"/>
      <c r="C1110" s="17" t="str">
        <f aca="false">IF(B1110="","",IFERROR(INDEX(Produits!$F$2:$F$1001,MATCH(B1110,Produits!$A$2:$A$1001,0)),"⚠ code article inconnu"))</f>
        <v/>
      </c>
      <c r="D1110" s="12"/>
      <c r="E1110" s="23"/>
      <c r="F1110" s="24"/>
      <c r="G1110" s="23"/>
      <c r="H1110" s="21" t="str">
        <f aca="true">IF(E1110="","",ROUND((E1110-TODAY())/30.4,1))</f>
        <v/>
      </c>
      <c r="I1110" s="17" t="str">
        <f aca="false">IF(E1110="","",IF(H1110&lt;0,IF(LEFT(A1110,1)="Q","Périmé (en quarantaine)","PÉRIMÉ → déplacer en zone Q"),IF(H1110&lt;3,"Péremption &lt; 3 mois",IF(H1110&lt;6,"Péremption &lt; 6 mois",""))))</f>
        <v/>
      </c>
      <c r="J1110" s="17" t="str">
        <f aca="false">IF(A1110="","",IF(COUNTIF(Emplacements!$A$2:$A$1001,A1110)=0,"⚠ emplacement inconnu","OK"))</f>
        <v/>
      </c>
      <c r="K1110" s="22" t="str">
        <f aca="false">IF(AND(B1110&lt;&gt;"",ISNUMBER(SEARCH(Recherche!$C$3,C1110&amp;" "&amp;B1110&amp;" "&amp;A1110&amp;" "&amp;D1110))),MAX($K$1:K1109)+1,"")</f>
        <v/>
      </c>
    </row>
    <row r="1111" customFormat="false" ht="15" hidden="false" customHeight="false" outlineLevel="0" collapsed="false">
      <c r="A1111" s="12"/>
      <c r="B1111" s="12"/>
      <c r="C1111" s="17" t="str">
        <f aca="false">IF(B1111="","",IFERROR(INDEX(Produits!$F$2:$F$1001,MATCH(B1111,Produits!$A$2:$A$1001,0)),"⚠ code article inconnu"))</f>
        <v/>
      </c>
      <c r="D1111" s="12"/>
      <c r="E1111" s="23"/>
      <c r="F1111" s="24"/>
      <c r="G1111" s="23"/>
      <c r="H1111" s="21" t="str">
        <f aca="true">IF(E1111="","",ROUND((E1111-TODAY())/30.4,1))</f>
        <v/>
      </c>
      <c r="I1111" s="17" t="str">
        <f aca="false">IF(E1111="","",IF(H1111&lt;0,IF(LEFT(A1111,1)="Q","Périmé (en quarantaine)","PÉRIMÉ → déplacer en zone Q"),IF(H1111&lt;3,"Péremption &lt; 3 mois",IF(H1111&lt;6,"Péremption &lt; 6 mois",""))))</f>
        <v/>
      </c>
      <c r="J1111" s="17" t="str">
        <f aca="false">IF(A1111="","",IF(COUNTIF(Emplacements!$A$2:$A$1001,A1111)=0,"⚠ emplacement inconnu","OK"))</f>
        <v/>
      </c>
      <c r="K1111" s="22" t="str">
        <f aca="false">IF(AND(B1111&lt;&gt;"",ISNUMBER(SEARCH(Recherche!$C$3,C1111&amp;" "&amp;B1111&amp;" "&amp;A1111&amp;" "&amp;D1111))),MAX($K$1:K1110)+1,"")</f>
        <v/>
      </c>
    </row>
    <row r="1112" customFormat="false" ht="15" hidden="false" customHeight="false" outlineLevel="0" collapsed="false">
      <c r="A1112" s="12"/>
      <c r="B1112" s="12"/>
      <c r="C1112" s="17" t="str">
        <f aca="false">IF(B1112="","",IFERROR(INDEX(Produits!$F$2:$F$1001,MATCH(B1112,Produits!$A$2:$A$1001,0)),"⚠ code article inconnu"))</f>
        <v/>
      </c>
      <c r="D1112" s="12"/>
      <c r="E1112" s="23"/>
      <c r="F1112" s="24"/>
      <c r="G1112" s="23"/>
      <c r="H1112" s="21" t="str">
        <f aca="true">IF(E1112="","",ROUND((E1112-TODAY())/30.4,1))</f>
        <v/>
      </c>
      <c r="I1112" s="17" t="str">
        <f aca="false">IF(E1112="","",IF(H1112&lt;0,IF(LEFT(A1112,1)="Q","Périmé (en quarantaine)","PÉRIMÉ → déplacer en zone Q"),IF(H1112&lt;3,"Péremption &lt; 3 mois",IF(H1112&lt;6,"Péremption &lt; 6 mois",""))))</f>
        <v/>
      </c>
      <c r="J1112" s="17" t="str">
        <f aca="false">IF(A1112="","",IF(COUNTIF(Emplacements!$A$2:$A$1001,A1112)=0,"⚠ emplacement inconnu","OK"))</f>
        <v/>
      </c>
      <c r="K1112" s="22" t="str">
        <f aca="false">IF(AND(B1112&lt;&gt;"",ISNUMBER(SEARCH(Recherche!$C$3,C1112&amp;" "&amp;B1112&amp;" "&amp;A1112&amp;" "&amp;D1112))),MAX($K$1:K1111)+1,"")</f>
        <v/>
      </c>
    </row>
    <row r="1113" customFormat="false" ht="15" hidden="false" customHeight="false" outlineLevel="0" collapsed="false">
      <c r="A1113" s="12"/>
      <c r="B1113" s="12"/>
      <c r="C1113" s="17" t="str">
        <f aca="false">IF(B1113="","",IFERROR(INDEX(Produits!$F$2:$F$1001,MATCH(B1113,Produits!$A$2:$A$1001,0)),"⚠ code article inconnu"))</f>
        <v/>
      </c>
      <c r="D1113" s="12"/>
      <c r="E1113" s="23"/>
      <c r="F1113" s="24"/>
      <c r="G1113" s="23"/>
      <c r="H1113" s="21" t="str">
        <f aca="true">IF(E1113="","",ROUND((E1113-TODAY())/30.4,1))</f>
        <v/>
      </c>
      <c r="I1113" s="17" t="str">
        <f aca="false">IF(E1113="","",IF(H1113&lt;0,IF(LEFT(A1113,1)="Q","Périmé (en quarantaine)","PÉRIMÉ → déplacer en zone Q"),IF(H1113&lt;3,"Péremption &lt; 3 mois",IF(H1113&lt;6,"Péremption &lt; 6 mois",""))))</f>
        <v/>
      </c>
      <c r="J1113" s="17" t="str">
        <f aca="false">IF(A1113="","",IF(COUNTIF(Emplacements!$A$2:$A$1001,A1113)=0,"⚠ emplacement inconnu","OK"))</f>
        <v/>
      </c>
      <c r="K1113" s="22" t="str">
        <f aca="false">IF(AND(B1113&lt;&gt;"",ISNUMBER(SEARCH(Recherche!$C$3,C1113&amp;" "&amp;B1113&amp;" "&amp;A1113&amp;" "&amp;D1113))),MAX($K$1:K1112)+1,"")</f>
        <v/>
      </c>
    </row>
    <row r="1114" customFormat="false" ht="15" hidden="false" customHeight="false" outlineLevel="0" collapsed="false">
      <c r="A1114" s="12"/>
      <c r="B1114" s="12"/>
      <c r="C1114" s="17" t="str">
        <f aca="false">IF(B1114="","",IFERROR(INDEX(Produits!$F$2:$F$1001,MATCH(B1114,Produits!$A$2:$A$1001,0)),"⚠ code article inconnu"))</f>
        <v/>
      </c>
      <c r="D1114" s="12"/>
      <c r="E1114" s="23"/>
      <c r="F1114" s="24"/>
      <c r="G1114" s="23"/>
      <c r="H1114" s="21" t="str">
        <f aca="true">IF(E1114="","",ROUND((E1114-TODAY())/30.4,1))</f>
        <v/>
      </c>
      <c r="I1114" s="17" t="str">
        <f aca="false">IF(E1114="","",IF(H1114&lt;0,IF(LEFT(A1114,1)="Q","Périmé (en quarantaine)","PÉRIMÉ → déplacer en zone Q"),IF(H1114&lt;3,"Péremption &lt; 3 mois",IF(H1114&lt;6,"Péremption &lt; 6 mois",""))))</f>
        <v/>
      </c>
      <c r="J1114" s="17" t="str">
        <f aca="false">IF(A1114="","",IF(COUNTIF(Emplacements!$A$2:$A$1001,A1114)=0,"⚠ emplacement inconnu","OK"))</f>
        <v/>
      </c>
      <c r="K1114" s="22" t="str">
        <f aca="false">IF(AND(B1114&lt;&gt;"",ISNUMBER(SEARCH(Recherche!$C$3,C1114&amp;" "&amp;B1114&amp;" "&amp;A1114&amp;" "&amp;D1114))),MAX($K$1:K1113)+1,"")</f>
        <v/>
      </c>
    </row>
    <row r="1115" customFormat="false" ht="15" hidden="false" customHeight="false" outlineLevel="0" collapsed="false">
      <c r="A1115" s="12"/>
      <c r="B1115" s="12"/>
      <c r="C1115" s="17" t="str">
        <f aca="false">IF(B1115="","",IFERROR(INDEX(Produits!$F$2:$F$1001,MATCH(B1115,Produits!$A$2:$A$1001,0)),"⚠ code article inconnu"))</f>
        <v/>
      </c>
      <c r="D1115" s="12"/>
      <c r="E1115" s="23"/>
      <c r="F1115" s="24"/>
      <c r="G1115" s="23"/>
      <c r="H1115" s="21" t="str">
        <f aca="true">IF(E1115="","",ROUND((E1115-TODAY())/30.4,1))</f>
        <v/>
      </c>
      <c r="I1115" s="17" t="str">
        <f aca="false">IF(E1115="","",IF(H1115&lt;0,IF(LEFT(A1115,1)="Q","Périmé (en quarantaine)","PÉRIMÉ → déplacer en zone Q"),IF(H1115&lt;3,"Péremption &lt; 3 mois",IF(H1115&lt;6,"Péremption &lt; 6 mois",""))))</f>
        <v/>
      </c>
      <c r="J1115" s="17" t="str">
        <f aca="false">IF(A1115="","",IF(COUNTIF(Emplacements!$A$2:$A$1001,A1115)=0,"⚠ emplacement inconnu","OK"))</f>
        <v/>
      </c>
      <c r="K1115" s="22" t="str">
        <f aca="false">IF(AND(B1115&lt;&gt;"",ISNUMBER(SEARCH(Recherche!$C$3,C1115&amp;" "&amp;B1115&amp;" "&amp;A1115&amp;" "&amp;D1115))),MAX($K$1:K1114)+1,"")</f>
        <v/>
      </c>
    </row>
    <row r="1116" customFormat="false" ht="15" hidden="false" customHeight="false" outlineLevel="0" collapsed="false">
      <c r="A1116" s="12"/>
      <c r="B1116" s="12"/>
      <c r="C1116" s="17" t="str">
        <f aca="false">IF(B1116="","",IFERROR(INDEX(Produits!$F$2:$F$1001,MATCH(B1116,Produits!$A$2:$A$1001,0)),"⚠ code article inconnu"))</f>
        <v/>
      </c>
      <c r="D1116" s="12"/>
      <c r="E1116" s="23"/>
      <c r="F1116" s="24"/>
      <c r="G1116" s="23"/>
      <c r="H1116" s="21" t="str">
        <f aca="true">IF(E1116="","",ROUND((E1116-TODAY())/30.4,1))</f>
        <v/>
      </c>
      <c r="I1116" s="17" t="str">
        <f aca="false">IF(E1116="","",IF(H1116&lt;0,IF(LEFT(A1116,1)="Q","Périmé (en quarantaine)","PÉRIMÉ → déplacer en zone Q"),IF(H1116&lt;3,"Péremption &lt; 3 mois",IF(H1116&lt;6,"Péremption &lt; 6 mois",""))))</f>
        <v/>
      </c>
      <c r="J1116" s="17" t="str">
        <f aca="false">IF(A1116="","",IF(COUNTIF(Emplacements!$A$2:$A$1001,A1116)=0,"⚠ emplacement inconnu","OK"))</f>
        <v/>
      </c>
      <c r="K1116" s="22" t="str">
        <f aca="false">IF(AND(B1116&lt;&gt;"",ISNUMBER(SEARCH(Recherche!$C$3,C1116&amp;" "&amp;B1116&amp;" "&amp;A1116&amp;" "&amp;D1116))),MAX($K$1:K1115)+1,"")</f>
        <v/>
      </c>
    </row>
    <row r="1117" customFormat="false" ht="15" hidden="false" customHeight="false" outlineLevel="0" collapsed="false">
      <c r="A1117" s="12"/>
      <c r="B1117" s="12"/>
      <c r="C1117" s="17" t="str">
        <f aca="false">IF(B1117="","",IFERROR(INDEX(Produits!$F$2:$F$1001,MATCH(B1117,Produits!$A$2:$A$1001,0)),"⚠ code article inconnu"))</f>
        <v/>
      </c>
      <c r="D1117" s="12"/>
      <c r="E1117" s="23"/>
      <c r="F1117" s="24"/>
      <c r="G1117" s="23"/>
      <c r="H1117" s="21" t="str">
        <f aca="true">IF(E1117="","",ROUND((E1117-TODAY())/30.4,1))</f>
        <v/>
      </c>
      <c r="I1117" s="17" t="str">
        <f aca="false">IF(E1117="","",IF(H1117&lt;0,IF(LEFT(A1117,1)="Q","Périmé (en quarantaine)","PÉRIMÉ → déplacer en zone Q"),IF(H1117&lt;3,"Péremption &lt; 3 mois",IF(H1117&lt;6,"Péremption &lt; 6 mois",""))))</f>
        <v/>
      </c>
      <c r="J1117" s="17" t="str">
        <f aca="false">IF(A1117="","",IF(COUNTIF(Emplacements!$A$2:$A$1001,A1117)=0,"⚠ emplacement inconnu","OK"))</f>
        <v/>
      </c>
      <c r="K1117" s="22" t="str">
        <f aca="false">IF(AND(B1117&lt;&gt;"",ISNUMBER(SEARCH(Recherche!$C$3,C1117&amp;" "&amp;B1117&amp;" "&amp;A1117&amp;" "&amp;D1117))),MAX($K$1:K1116)+1,"")</f>
        <v/>
      </c>
    </row>
    <row r="1118" customFormat="false" ht="15" hidden="false" customHeight="false" outlineLevel="0" collapsed="false">
      <c r="A1118" s="12"/>
      <c r="B1118" s="12"/>
      <c r="C1118" s="17" t="str">
        <f aca="false">IF(B1118="","",IFERROR(INDEX(Produits!$F$2:$F$1001,MATCH(B1118,Produits!$A$2:$A$1001,0)),"⚠ code article inconnu"))</f>
        <v/>
      </c>
      <c r="D1118" s="12"/>
      <c r="E1118" s="23"/>
      <c r="F1118" s="24"/>
      <c r="G1118" s="23"/>
      <c r="H1118" s="21" t="str">
        <f aca="true">IF(E1118="","",ROUND((E1118-TODAY())/30.4,1))</f>
        <v/>
      </c>
      <c r="I1118" s="17" t="str">
        <f aca="false">IF(E1118="","",IF(H1118&lt;0,IF(LEFT(A1118,1)="Q","Périmé (en quarantaine)","PÉRIMÉ → déplacer en zone Q"),IF(H1118&lt;3,"Péremption &lt; 3 mois",IF(H1118&lt;6,"Péremption &lt; 6 mois",""))))</f>
        <v/>
      </c>
      <c r="J1118" s="17" t="str">
        <f aca="false">IF(A1118="","",IF(COUNTIF(Emplacements!$A$2:$A$1001,A1118)=0,"⚠ emplacement inconnu","OK"))</f>
        <v/>
      </c>
      <c r="K1118" s="22" t="str">
        <f aca="false">IF(AND(B1118&lt;&gt;"",ISNUMBER(SEARCH(Recherche!$C$3,C1118&amp;" "&amp;B1118&amp;" "&amp;A1118&amp;" "&amp;D1118))),MAX($K$1:K1117)+1,"")</f>
        <v/>
      </c>
    </row>
    <row r="1119" customFormat="false" ht="15" hidden="false" customHeight="false" outlineLevel="0" collapsed="false">
      <c r="A1119" s="12"/>
      <c r="B1119" s="12"/>
      <c r="C1119" s="17" t="str">
        <f aca="false">IF(B1119="","",IFERROR(INDEX(Produits!$F$2:$F$1001,MATCH(B1119,Produits!$A$2:$A$1001,0)),"⚠ code article inconnu"))</f>
        <v/>
      </c>
      <c r="D1119" s="12"/>
      <c r="E1119" s="23"/>
      <c r="F1119" s="24"/>
      <c r="G1119" s="23"/>
      <c r="H1119" s="21" t="str">
        <f aca="true">IF(E1119="","",ROUND((E1119-TODAY())/30.4,1))</f>
        <v/>
      </c>
      <c r="I1119" s="17" t="str">
        <f aca="false">IF(E1119="","",IF(H1119&lt;0,IF(LEFT(A1119,1)="Q","Périmé (en quarantaine)","PÉRIMÉ → déplacer en zone Q"),IF(H1119&lt;3,"Péremption &lt; 3 mois",IF(H1119&lt;6,"Péremption &lt; 6 mois",""))))</f>
        <v/>
      </c>
      <c r="J1119" s="17" t="str">
        <f aca="false">IF(A1119="","",IF(COUNTIF(Emplacements!$A$2:$A$1001,A1119)=0,"⚠ emplacement inconnu","OK"))</f>
        <v/>
      </c>
      <c r="K1119" s="22" t="str">
        <f aca="false">IF(AND(B1119&lt;&gt;"",ISNUMBER(SEARCH(Recherche!$C$3,C1119&amp;" "&amp;B1119&amp;" "&amp;A1119&amp;" "&amp;D1119))),MAX($K$1:K1118)+1,"")</f>
        <v/>
      </c>
    </row>
    <row r="1120" customFormat="false" ht="15" hidden="false" customHeight="false" outlineLevel="0" collapsed="false">
      <c r="A1120" s="12"/>
      <c r="B1120" s="12"/>
      <c r="C1120" s="17" t="str">
        <f aca="false">IF(B1120="","",IFERROR(INDEX(Produits!$F$2:$F$1001,MATCH(B1120,Produits!$A$2:$A$1001,0)),"⚠ code article inconnu"))</f>
        <v/>
      </c>
      <c r="D1120" s="12"/>
      <c r="E1120" s="23"/>
      <c r="F1120" s="24"/>
      <c r="G1120" s="23"/>
      <c r="H1120" s="21" t="str">
        <f aca="true">IF(E1120="","",ROUND((E1120-TODAY())/30.4,1))</f>
        <v/>
      </c>
      <c r="I1120" s="17" t="str">
        <f aca="false">IF(E1120="","",IF(H1120&lt;0,IF(LEFT(A1120,1)="Q","Périmé (en quarantaine)","PÉRIMÉ → déplacer en zone Q"),IF(H1120&lt;3,"Péremption &lt; 3 mois",IF(H1120&lt;6,"Péremption &lt; 6 mois",""))))</f>
        <v/>
      </c>
      <c r="J1120" s="17" t="str">
        <f aca="false">IF(A1120="","",IF(COUNTIF(Emplacements!$A$2:$A$1001,A1120)=0,"⚠ emplacement inconnu","OK"))</f>
        <v/>
      </c>
      <c r="K1120" s="22" t="str">
        <f aca="false">IF(AND(B1120&lt;&gt;"",ISNUMBER(SEARCH(Recherche!$C$3,C1120&amp;" "&amp;B1120&amp;" "&amp;A1120&amp;" "&amp;D1120))),MAX($K$1:K1119)+1,"")</f>
        <v/>
      </c>
    </row>
    <row r="1121" customFormat="false" ht="15" hidden="false" customHeight="false" outlineLevel="0" collapsed="false">
      <c r="A1121" s="12"/>
      <c r="B1121" s="12"/>
      <c r="C1121" s="17" t="str">
        <f aca="false">IF(B1121="","",IFERROR(INDEX(Produits!$F$2:$F$1001,MATCH(B1121,Produits!$A$2:$A$1001,0)),"⚠ code article inconnu"))</f>
        <v/>
      </c>
      <c r="D1121" s="12"/>
      <c r="E1121" s="23"/>
      <c r="F1121" s="24"/>
      <c r="G1121" s="23"/>
      <c r="H1121" s="21" t="str">
        <f aca="true">IF(E1121="","",ROUND((E1121-TODAY())/30.4,1))</f>
        <v/>
      </c>
      <c r="I1121" s="17" t="str">
        <f aca="false">IF(E1121="","",IF(H1121&lt;0,IF(LEFT(A1121,1)="Q","Périmé (en quarantaine)","PÉRIMÉ → déplacer en zone Q"),IF(H1121&lt;3,"Péremption &lt; 3 mois",IF(H1121&lt;6,"Péremption &lt; 6 mois",""))))</f>
        <v/>
      </c>
      <c r="J1121" s="17" t="str">
        <f aca="false">IF(A1121="","",IF(COUNTIF(Emplacements!$A$2:$A$1001,A1121)=0,"⚠ emplacement inconnu","OK"))</f>
        <v/>
      </c>
      <c r="K1121" s="22" t="str">
        <f aca="false">IF(AND(B1121&lt;&gt;"",ISNUMBER(SEARCH(Recherche!$C$3,C1121&amp;" "&amp;B1121&amp;" "&amp;A1121&amp;" "&amp;D1121))),MAX($K$1:K1120)+1,"")</f>
        <v/>
      </c>
    </row>
    <row r="1122" customFormat="false" ht="15" hidden="false" customHeight="false" outlineLevel="0" collapsed="false">
      <c r="A1122" s="12"/>
      <c r="B1122" s="12"/>
      <c r="C1122" s="17" t="str">
        <f aca="false">IF(B1122="","",IFERROR(INDEX(Produits!$F$2:$F$1001,MATCH(B1122,Produits!$A$2:$A$1001,0)),"⚠ code article inconnu"))</f>
        <v/>
      </c>
      <c r="D1122" s="12"/>
      <c r="E1122" s="23"/>
      <c r="F1122" s="24"/>
      <c r="G1122" s="23"/>
      <c r="H1122" s="21" t="str">
        <f aca="true">IF(E1122="","",ROUND((E1122-TODAY())/30.4,1))</f>
        <v/>
      </c>
      <c r="I1122" s="17" t="str">
        <f aca="false">IF(E1122="","",IF(H1122&lt;0,IF(LEFT(A1122,1)="Q","Périmé (en quarantaine)","PÉRIMÉ → déplacer en zone Q"),IF(H1122&lt;3,"Péremption &lt; 3 mois",IF(H1122&lt;6,"Péremption &lt; 6 mois",""))))</f>
        <v/>
      </c>
      <c r="J1122" s="17" t="str">
        <f aca="false">IF(A1122="","",IF(COUNTIF(Emplacements!$A$2:$A$1001,A1122)=0,"⚠ emplacement inconnu","OK"))</f>
        <v/>
      </c>
      <c r="K1122" s="22" t="str">
        <f aca="false">IF(AND(B1122&lt;&gt;"",ISNUMBER(SEARCH(Recherche!$C$3,C1122&amp;" "&amp;B1122&amp;" "&amp;A1122&amp;" "&amp;D1122))),MAX($K$1:K1121)+1,"")</f>
        <v/>
      </c>
    </row>
    <row r="1123" customFormat="false" ht="15" hidden="false" customHeight="false" outlineLevel="0" collapsed="false">
      <c r="A1123" s="12"/>
      <c r="B1123" s="12"/>
      <c r="C1123" s="17" t="str">
        <f aca="false">IF(B1123="","",IFERROR(INDEX(Produits!$F$2:$F$1001,MATCH(B1123,Produits!$A$2:$A$1001,0)),"⚠ code article inconnu"))</f>
        <v/>
      </c>
      <c r="D1123" s="12"/>
      <c r="E1123" s="23"/>
      <c r="F1123" s="24"/>
      <c r="G1123" s="23"/>
      <c r="H1123" s="21" t="str">
        <f aca="true">IF(E1123="","",ROUND((E1123-TODAY())/30.4,1))</f>
        <v/>
      </c>
      <c r="I1123" s="17" t="str">
        <f aca="false">IF(E1123="","",IF(H1123&lt;0,IF(LEFT(A1123,1)="Q","Périmé (en quarantaine)","PÉRIMÉ → déplacer en zone Q"),IF(H1123&lt;3,"Péremption &lt; 3 mois",IF(H1123&lt;6,"Péremption &lt; 6 mois",""))))</f>
        <v/>
      </c>
      <c r="J1123" s="17" t="str">
        <f aca="false">IF(A1123="","",IF(COUNTIF(Emplacements!$A$2:$A$1001,A1123)=0,"⚠ emplacement inconnu","OK"))</f>
        <v/>
      </c>
      <c r="K1123" s="22" t="str">
        <f aca="false">IF(AND(B1123&lt;&gt;"",ISNUMBER(SEARCH(Recherche!$C$3,C1123&amp;" "&amp;B1123&amp;" "&amp;A1123&amp;" "&amp;D1123))),MAX($K$1:K1122)+1,"")</f>
        <v/>
      </c>
    </row>
    <row r="1124" customFormat="false" ht="15" hidden="false" customHeight="false" outlineLevel="0" collapsed="false">
      <c r="A1124" s="12"/>
      <c r="B1124" s="12"/>
      <c r="C1124" s="17" t="str">
        <f aca="false">IF(B1124="","",IFERROR(INDEX(Produits!$F$2:$F$1001,MATCH(B1124,Produits!$A$2:$A$1001,0)),"⚠ code article inconnu"))</f>
        <v/>
      </c>
      <c r="D1124" s="12"/>
      <c r="E1124" s="23"/>
      <c r="F1124" s="24"/>
      <c r="G1124" s="23"/>
      <c r="H1124" s="21" t="str">
        <f aca="true">IF(E1124="","",ROUND((E1124-TODAY())/30.4,1))</f>
        <v/>
      </c>
      <c r="I1124" s="17" t="str">
        <f aca="false">IF(E1124="","",IF(H1124&lt;0,IF(LEFT(A1124,1)="Q","Périmé (en quarantaine)","PÉRIMÉ → déplacer en zone Q"),IF(H1124&lt;3,"Péremption &lt; 3 mois",IF(H1124&lt;6,"Péremption &lt; 6 mois",""))))</f>
        <v/>
      </c>
      <c r="J1124" s="17" t="str">
        <f aca="false">IF(A1124="","",IF(COUNTIF(Emplacements!$A$2:$A$1001,A1124)=0,"⚠ emplacement inconnu","OK"))</f>
        <v/>
      </c>
      <c r="K1124" s="22" t="str">
        <f aca="false">IF(AND(B1124&lt;&gt;"",ISNUMBER(SEARCH(Recherche!$C$3,C1124&amp;" "&amp;B1124&amp;" "&amp;A1124&amp;" "&amp;D1124))),MAX($K$1:K1123)+1,"")</f>
        <v/>
      </c>
    </row>
    <row r="1125" customFormat="false" ht="15" hidden="false" customHeight="false" outlineLevel="0" collapsed="false">
      <c r="A1125" s="12"/>
      <c r="B1125" s="12"/>
      <c r="C1125" s="17" t="str">
        <f aca="false">IF(B1125="","",IFERROR(INDEX(Produits!$F$2:$F$1001,MATCH(B1125,Produits!$A$2:$A$1001,0)),"⚠ code article inconnu"))</f>
        <v/>
      </c>
      <c r="D1125" s="12"/>
      <c r="E1125" s="23"/>
      <c r="F1125" s="24"/>
      <c r="G1125" s="23"/>
      <c r="H1125" s="21" t="str">
        <f aca="true">IF(E1125="","",ROUND((E1125-TODAY())/30.4,1))</f>
        <v/>
      </c>
      <c r="I1125" s="17" t="str">
        <f aca="false">IF(E1125="","",IF(H1125&lt;0,IF(LEFT(A1125,1)="Q","Périmé (en quarantaine)","PÉRIMÉ → déplacer en zone Q"),IF(H1125&lt;3,"Péremption &lt; 3 mois",IF(H1125&lt;6,"Péremption &lt; 6 mois",""))))</f>
        <v/>
      </c>
      <c r="J1125" s="17" t="str">
        <f aca="false">IF(A1125="","",IF(COUNTIF(Emplacements!$A$2:$A$1001,A1125)=0,"⚠ emplacement inconnu","OK"))</f>
        <v/>
      </c>
      <c r="K1125" s="22" t="str">
        <f aca="false">IF(AND(B1125&lt;&gt;"",ISNUMBER(SEARCH(Recherche!$C$3,C1125&amp;" "&amp;B1125&amp;" "&amp;A1125&amp;" "&amp;D1125))),MAX($K$1:K1124)+1,"")</f>
        <v/>
      </c>
    </row>
    <row r="1126" customFormat="false" ht="15" hidden="false" customHeight="false" outlineLevel="0" collapsed="false">
      <c r="A1126" s="12"/>
      <c r="B1126" s="12"/>
      <c r="C1126" s="17" t="str">
        <f aca="false">IF(B1126="","",IFERROR(INDEX(Produits!$F$2:$F$1001,MATCH(B1126,Produits!$A$2:$A$1001,0)),"⚠ code article inconnu"))</f>
        <v/>
      </c>
      <c r="D1126" s="12"/>
      <c r="E1126" s="23"/>
      <c r="F1126" s="24"/>
      <c r="G1126" s="23"/>
      <c r="H1126" s="21" t="str">
        <f aca="true">IF(E1126="","",ROUND((E1126-TODAY())/30.4,1))</f>
        <v/>
      </c>
      <c r="I1126" s="17" t="str">
        <f aca="false">IF(E1126="","",IF(H1126&lt;0,IF(LEFT(A1126,1)="Q","Périmé (en quarantaine)","PÉRIMÉ → déplacer en zone Q"),IF(H1126&lt;3,"Péremption &lt; 3 mois",IF(H1126&lt;6,"Péremption &lt; 6 mois",""))))</f>
        <v/>
      </c>
      <c r="J1126" s="17" t="str">
        <f aca="false">IF(A1126="","",IF(COUNTIF(Emplacements!$A$2:$A$1001,A1126)=0,"⚠ emplacement inconnu","OK"))</f>
        <v/>
      </c>
      <c r="K1126" s="22" t="str">
        <f aca="false">IF(AND(B1126&lt;&gt;"",ISNUMBER(SEARCH(Recherche!$C$3,C1126&amp;" "&amp;B1126&amp;" "&amp;A1126&amp;" "&amp;D1126))),MAX($K$1:K1125)+1,"")</f>
        <v/>
      </c>
    </row>
    <row r="1127" customFormat="false" ht="15" hidden="false" customHeight="false" outlineLevel="0" collapsed="false">
      <c r="A1127" s="12"/>
      <c r="B1127" s="12"/>
      <c r="C1127" s="17" t="str">
        <f aca="false">IF(B1127="","",IFERROR(INDEX(Produits!$F$2:$F$1001,MATCH(B1127,Produits!$A$2:$A$1001,0)),"⚠ code article inconnu"))</f>
        <v/>
      </c>
      <c r="D1127" s="12"/>
      <c r="E1127" s="23"/>
      <c r="F1127" s="24"/>
      <c r="G1127" s="23"/>
      <c r="H1127" s="21" t="str">
        <f aca="true">IF(E1127="","",ROUND((E1127-TODAY())/30.4,1))</f>
        <v/>
      </c>
      <c r="I1127" s="17" t="str">
        <f aca="false">IF(E1127="","",IF(H1127&lt;0,IF(LEFT(A1127,1)="Q","Périmé (en quarantaine)","PÉRIMÉ → déplacer en zone Q"),IF(H1127&lt;3,"Péremption &lt; 3 mois",IF(H1127&lt;6,"Péremption &lt; 6 mois",""))))</f>
        <v/>
      </c>
      <c r="J1127" s="17" t="str">
        <f aca="false">IF(A1127="","",IF(COUNTIF(Emplacements!$A$2:$A$1001,A1127)=0,"⚠ emplacement inconnu","OK"))</f>
        <v/>
      </c>
      <c r="K1127" s="22" t="str">
        <f aca="false">IF(AND(B1127&lt;&gt;"",ISNUMBER(SEARCH(Recherche!$C$3,C1127&amp;" "&amp;B1127&amp;" "&amp;A1127&amp;" "&amp;D1127))),MAX($K$1:K1126)+1,"")</f>
        <v/>
      </c>
    </row>
    <row r="1128" customFormat="false" ht="15" hidden="false" customHeight="false" outlineLevel="0" collapsed="false">
      <c r="A1128" s="12"/>
      <c r="B1128" s="12"/>
      <c r="C1128" s="17" t="str">
        <f aca="false">IF(B1128="","",IFERROR(INDEX(Produits!$F$2:$F$1001,MATCH(B1128,Produits!$A$2:$A$1001,0)),"⚠ code article inconnu"))</f>
        <v/>
      </c>
      <c r="D1128" s="12"/>
      <c r="E1128" s="23"/>
      <c r="F1128" s="24"/>
      <c r="G1128" s="23"/>
      <c r="H1128" s="21" t="str">
        <f aca="true">IF(E1128="","",ROUND((E1128-TODAY())/30.4,1))</f>
        <v/>
      </c>
      <c r="I1128" s="17" t="str">
        <f aca="false">IF(E1128="","",IF(H1128&lt;0,IF(LEFT(A1128,1)="Q","Périmé (en quarantaine)","PÉRIMÉ → déplacer en zone Q"),IF(H1128&lt;3,"Péremption &lt; 3 mois",IF(H1128&lt;6,"Péremption &lt; 6 mois",""))))</f>
        <v/>
      </c>
      <c r="J1128" s="17" t="str">
        <f aca="false">IF(A1128="","",IF(COUNTIF(Emplacements!$A$2:$A$1001,A1128)=0,"⚠ emplacement inconnu","OK"))</f>
        <v/>
      </c>
      <c r="K1128" s="22" t="str">
        <f aca="false">IF(AND(B1128&lt;&gt;"",ISNUMBER(SEARCH(Recherche!$C$3,C1128&amp;" "&amp;B1128&amp;" "&amp;A1128&amp;" "&amp;D1128))),MAX($K$1:K1127)+1,"")</f>
        <v/>
      </c>
    </row>
    <row r="1129" customFormat="false" ht="15" hidden="false" customHeight="false" outlineLevel="0" collapsed="false">
      <c r="A1129" s="12"/>
      <c r="B1129" s="12"/>
      <c r="C1129" s="17" t="str">
        <f aca="false">IF(B1129="","",IFERROR(INDEX(Produits!$F$2:$F$1001,MATCH(B1129,Produits!$A$2:$A$1001,0)),"⚠ code article inconnu"))</f>
        <v/>
      </c>
      <c r="D1129" s="12"/>
      <c r="E1129" s="23"/>
      <c r="F1129" s="24"/>
      <c r="G1129" s="23"/>
      <c r="H1129" s="21" t="str">
        <f aca="true">IF(E1129="","",ROUND((E1129-TODAY())/30.4,1))</f>
        <v/>
      </c>
      <c r="I1129" s="17" t="str">
        <f aca="false">IF(E1129="","",IF(H1129&lt;0,IF(LEFT(A1129,1)="Q","Périmé (en quarantaine)","PÉRIMÉ → déplacer en zone Q"),IF(H1129&lt;3,"Péremption &lt; 3 mois",IF(H1129&lt;6,"Péremption &lt; 6 mois",""))))</f>
        <v/>
      </c>
      <c r="J1129" s="17" t="str">
        <f aca="false">IF(A1129="","",IF(COUNTIF(Emplacements!$A$2:$A$1001,A1129)=0,"⚠ emplacement inconnu","OK"))</f>
        <v/>
      </c>
      <c r="K1129" s="22" t="str">
        <f aca="false">IF(AND(B1129&lt;&gt;"",ISNUMBER(SEARCH(Recherche!$C$3,C1129&amp;" "&amp;B1129&amp;" "&amp;A1129&amp;" "&amp;D1129))),MAX($K$1:K1128)+1,"")</f>
        <v/>
      </c>
    </row>
    <row r="1130" customFormat="false" ht="15" hidden="false" customHeight="false" outlineLevel="0" collapsed="false">
      <c r="A1130" s="12"/>
      <c r="B1130" s="12"/>
      <c r="C1130" s="17" t="str">
        <f aca="false">IF(B1130="","",IFERROR(INDEX(Produits!$F$2:$F$1001,MATCH(B1130,Produits!$A$2:$A$1001,0)),"⚠ code article inconnu"))</f>
        <v/>
      </c>
      <c r="D1130" s="12"/>
      <c r="E1130" s="23"/>
      <c r="F1130" s="24"/>
      <c r="G1130" s="23"/>
      <c r="H1130" s="21" t="str">
        <f aca="true">IF(E1130="","",ROUND((E1130-TODAY())/30.4,1))</f>
        <v/>
      </c>
      <c r="I1130" s="17" t="str">
        <f aca="false">IF(E1130="","",IF(H1130&lt;0,IF(LEFT(A1130,1)="Q","Périmé (en quarantaine)","PÉRIMÉ → déplacer en zone Q"),IF(H1130&lt;3,"Péremption &lt; 3 mois",IF(H1130&lt;6,"Péremption &lt; 6 mois",""))))</f>
        <v/>
      </c>
      <c r="J1130" s="17" t="str">
        <f aca="false">IF(A1130="","",IF(COUNTIF(Emplacements!$A$2:$A$1001,A1130)=0,"⚠ emplacement inconnu","OK"))</f>
        <v/>
      </c>
      <c r="K1130" s="22" t="str">
        <f aca="false">IF(AND(B1130&lt;&gt;"",ISNUMBER(SEARCH(Recherche!$C$3,C1130&amp;" "&amp;B1130&amp;" "&amp;A1130&amp;" "&amp;D1130))),MAX($K$1:K1129)+1,"")</f>
        <v/>
      </c>
    </row>
    <row r="1131" customFormat="false" ht="15" hidden="false" customHeight="false" outlineLevel="0" collapsed="false">
      <c r="A1131" s="12"/>
      <c r="B1131" s="12"/>
      <c r="C1131" s="17" t="str">
        <f aca="false">IF(B1131="","",IFERROR(INDEX(Produits!$F$2:$F$1001,MATCH(B1131,Produits!$A$2:$A$1001,0)),"⚠ code article inconnu"))</f>
        <v/>
      </c>
      <c r="D1131" s="12"/>
      <c r="E1131" s="23"/>
      <c r="F1131" s="24"/>
      <c r="G1131" s="23"/>
      <c r="H1131" s="21" t="str">
        <f aca="true">IF(E1131="","",ROUND((E1131-TODAY())/30.4,1))</f>
        <v/>
      </c>
      <c r="I1131" s="17" t="str">
        <f aca="false">IF(E1131="","",IF(H1131&lt;0,IF(LEFT(A1131,1)="Q","Périmé (en quarantaine)","PÉRIMÉ → déplacer en zone Q"),IF(H1131&lt;3,"Péremption &lt; 3 mois",IF(H1131&lt;6,"Péremption &lt; 6 mois",""))))</f>
        <v/>
      </c>
      <c r="J1131" s="17" t="str">
        <f aca="false">IF(A1131="","",IF(COUNTIF(Emplacements!$A$2:$A$1001,A1131)=0,"⚠ emplacement inconnu","OK"))</f>
        <v/>
      </c>
      <c r="K1131" s="22" t="str">
        <f aca="false">IF(AND(B1131&lt;&gt;"",ISNUMBER(SEARCH(Recherche!$C$3,C1131&amp;" "&amp;B1131&amp;" "&amp;A1131&amp;" "&amp;D1131))),MAX($K$1:K1130)+1,"")</f>
        <v/>
      </c>
    </row>
    <row r="1132" customFormat="false" ht="15" hidden="false" customHeight="false" outlineLevel="0" collapsed="false">
      <c r="A1132" s="12"/>
      <c r="B1132" s="12"/>
      <c r="C1132" s="17" t="str">
        <f aca="false">IF(B1132="","",IFERROR(INDEX(Produits!$F$2:$F$1001,MATCH(B1132,Produits!$A$2:$A$1001,0)),"⚠ code article inconnu"))</f>
        <v/>
      </c>
      <c r="D1132" s="12"/>
      <c r="E1132" s="23"/>
      <c r="F1132" s="24"/>
      <c r="G1132" s="23"/>
      <c r="H1132" s="21" t="str">
        <f aca="true">IF(E1132="","",ROUND((E1132-TODAY())/30.4,1))</f>
        <v/>
      </c>
      <c r="I1132" s="17" t="str">
        <f aca="false">IF(E1132="","",IF(H1132&lt;0,IF(LEFT(A1132,1)="Q","Périmé (en quarantaine)","PÉRIMÉ → déplacer en zone Q"),IF(H1132&lt;3,"Péremption &lt; 3 mois",IF(H1132&lt;6,"Péremption &lt; 6 mois",""))))</f>
        <v/>
      </c>
      <c r="J1132" s="17" t="str">
        <f aca="false">IF(A1132="","",IF(COUNTIF(Emplacements!$A$2:$A$1001,A1132)=0,"⚠ emplacement inconnu","OK"))</f>
        <v/>
      </c>
      <c r="K1132" s="22" t="str">
        <f aca="false">IF(AND(B1132&lt;&gt;"",ISNUMBER(SEARCH(Recherche!$C$3,C1132&amp;" "&amp;B1132&amp;" "&amp;A1132&amp;" "&amp;D1132))),MAX($K$1:K1131)+1,"")</f>
        <v/>
      </c>
    </row>
    <row r="1133" customFormat="false" ht="15" hidden="false" customHeight="false" outlineLevel="0" collapsed="false">
      <c r="A1133" s="12"/>
      <c r="B1133" s="12"/>
      <c r="C1133" s="17" t="str">
        <f aca="false">IF(B1133="","",IFERROR(INDEX(Produits!$F$2:$F$1001,MATCH(B1133,Produits!$A$2:$A$1001,0)),"⚠ code article inconnu"))</f>
        <v/>
      </c>
      <c r="D1133" s="12"/>
      <c r="E1133" s="23"/>
      <c r="F1133" s="24"/>
      <c r="G1133" s="23"/>
      <c r="H1133" s="21" t="str">
        <f aca="true">IF(E1133="","",ROUND((E1133-TODAY())/30.4,1))</f>
        <v/>
      </c>
      <c r="I1133" s="17" t="str">
        <f aca="false">IF(E1133="","",IF(H1133&lt;0,IF(LEFT(A1133,1)="Q","Périmé (en quarantaine)","PÉRIMÉ → déplacer en zone Q"),IF(H1133&lt;3,"Péremption &lt; 3 mois",IF(H1133&lt;6,"Péremption &lt; 6 mois",""))))</f>
        <v/>
      </c>
      <c r="J1133" s="17" t="str">
        <f aca="false">IF(A1133="","",IF(COUNTIF(Emplacements!$A$2:$A$1001,A1133)=0,"⚠ emplacement inconnu","OK"))</f>
        <v/>
      </c>
      <c r="K1133" s="22" t="str">
        <f aca="false">IF(AND(B1133&lt;&gt;"",ISNUMBER(SEARCH(Recherche!$C$3,C1133&amp;" "&amp;B1133&amp;" "&amp;A1133&amp;" "&amp;D1133))),MAX($K$1:K1132)+1,"")</f>
        <v/>
      </c>
    </row>
    <row r="1134" customFormat="false" ht="15" hidden="false" customHeight="false" outlineLevel="0" collapsed="false">
      <c r="A1134" s="12"/>
      <c r="B1134" s="12"/>
      <c r="C1134" s="17" t="str">
        <f aca="false">IF(B1134="","",IFERROR(INDEX(Produits!$F$2:$F$1001,MATCH(B1134,Produits!$A$2:$A$1001,0)),"⚠ code article inconnu"))</f>
        <v/>
      </c>
      <c r="D1134" s="12"/>
      <c r="E1134" s="23"/>
      <c r="F1134" s="24"/>
      <c r="G1134" s="23"/>
      <c r="H1134" s="21" t="str">
        <f aca="true">IF(E1134="","",ROUND((E1134-TODAY())/30.4,1))</f>
        <v/>
      </c>
      <c r="I1134" s="17" t="str">
        <f aca="false">IF(E1134="","",IF(H1134&lt;0,IF(LEFT(A1134,1)="Q","Périmé (en quarantaine)","PÉRIMÉ → déplacer en zone Q"),IF(H1134&lt;3,"Péremption &lt; 3 mois",IF(H1134&lt;6,"Péremption &lt; 6 mois",""))))</f>
        <v/>
      </c>
      <c r="J1134" s="17" t="str">
        <f aca="false">IF(A1134="","",IF(COUNTIF(Emplacements!$A$2:$A$1001,A1134)=0,"⚠ emplacement inconnu","OK"))</f>
        <v/>
      </c>
      <c r="K1134" s="22" t="str">
        <f aca="false">IF(AND(B1134&lt;&gt;"",ISNUMBER(SEARCH(Recherche!$C$3,C1134&amp;" "&amp;B1134&amp;" "&amp;A1134&amp;" "&amp;D1134))),MAX($K$1:K1133)+1,"")</f>
        <v/>
      </c>
    </row>
    <row r="1135" customFormat="false" ht="15" hidden="false" customHeight="false" outlineLevel="0" collapsed="false">
      <c r="A1135" s="12"/>
      <c r="B1135" s="12"/>
      <c r="C1135" s="17" t="str">
        <f aca="false">IF(B1135="","",IFERROR(INDEX(Produits!$F$2:$F$1001,MATCH(B1135,Produits!$A$2:$A$1001,0)),"⚠ code article inconnu"))</f>
        <v/>
      </c>
      <c r="D1135" s="12"/>
      <c r="E1135" s="23"/>
      <c r="F1135" s="24"/>
      <c r="G1135" s="23"/>
      <c r="H1135" s="21" t="str">
        <f aca="true">IF(E1135="","",ROUND((E1135-TODAY())/30.4,1))</f>
        <v/>
      </c>
      <c r="I1135" s="17" t="str">
        <f aca="false">IF(E1135="","",IF(H1135&lt;0,IF(LEFT(A1135,1)="Q","Périmé (en quarantaine)","PÉRIMÉ → déplacer en zone Q"),IF(H1135&lt;3,"Péremption &lt; 3 mois",IF(H1135&lt;6,"Péremption &lt; 6 mois",""))))</f>
        <v/>
      </c>
      <c r="J1135" s="17" t="str">
        <f aca="false">IF(A1135="","",IF(COUNTIF(Emplacements!$A$2:$A$1001,A1135)=0,"⚠ emplacement inconnu","OK"))</f>
        <v/>
      </c>
      <c r="K1135" s="22" t="str">
        <f aca="false">IF(AND(B1135&lt;&gt;"",ISNUMBER(SEARCH(Recherche!$C$3,C1135&amp;" "&amp;B1135&amp;" "&amp;A1135&amp;" "&amp;D1135))),MAX($K$1:K1134)+1,"")</f>
        <v/>
      </c>
    </row>
    <row r="1136" customFormat="false" ht="15" hidden="false" customHeight="false" outlineLevel="0" collapsed="false">
      <c r="A1136" s="12"/>
      <c r="B1136" s="12"/>
      <c r="C1136" s="17" t="str">
        <f aca="false">IF(B1136="","",IFERROR(INDEX(Produits!$F$2:$F$1001,MATCH(B1136,Produits!$A$2:$A$1001,0)),"⚠ code article inconnu"))</f>
        <v/>
      </c>
      <c r="D1136" s="12"/>
      <c r="E1136" s="23"/>
      <c r="F1136" s="24"/>
      <c r="G1136" s="23"/>
      <c r="H1136" s="21" t="str">
        <f aca="true">IF(E1136="","",ROUND((E1136-TODAY())/30.4,1))</f>
        <v/>
      </c>
      <c r="I1136" s="17" t="str">
        <f aca="false">IF(E1136="","",IF(H1136&lt;0,IF(LEFT(A1136,1)="Q","Périmé (en quarantaine)","PÉRIMÉ → déplacer en zone Q"),IF(H1136&lt;3,"Péremption &lt; 3 mois",IF(H1136&lt;6,"Péremption &lt; 6 mois",""))))</f>
        <v/>
      </c>
      <c r="J1136" s="17" t="str">
        <f aca="false">IF(A1136="","",IF(COUNTIF(Emplacements!$A$2:$A$1001,A1136)=0,"⚠ emplacement inconnu","OK"))</f>
        <v/>
      </c>
      <c r="K1136" s="22" t="str">
        <f aca="false">IF(AND(B1136&lt;&gt;"",ISNUMBER(SEARCH(Recherche!$C$3,C1136&amp;" "&amp;B1136&amp;" "&amp;A1136&amp;" "&amp;D1136))),MAX($K$1:K1135)+1,"")</f>
        <v/>
      </c>
    </row>
    <row r="1137" customFormat="false" ht="15" hidden="false" customHeight="false" outlineLevel="0" collapsed="false">
      <c r="A1137" s="12"/>
      <c r="B1137" s="12"/>
      <c r="C1137" s="17" t="str">
        <f aca="false">IF(B1137="","",IFERROR(INDEX(Produits!$F$2:$F$1001,MATCH(B1137,Produits!$A$2:$A$1001,0)),"⚠ code article inconnu"))</f>
        <v/>
      </c>
      <c r="D1137" s="12"/>
      <c r="E1137" s="23"/>
      <c r="F1137" s="24"/>
      <c r="G1137" s="23"/>
      <c r="H1137" s="21" t="str">
        <f aca="true">IF(E1137="","",ROUND((E1137-TODAY())/30.4,1))</f>
        <v/>
      </c>
      <c r="I1137" s="17" t="str">
        <f aca="false">IF(E1137="","",IF(H1137&lt;0,IF(LEFT(A1137,1)="Q","Périmé (en quarantaine)","PÉRIMÉ → déplacer en zone Q"),IF(H1137&lt;3,"Péremption &lt; 3 mois",IF(H1137&lt;6,"Péremption &lt; 6 mois",""))))</f>
        <v/>
      </c>
      <c r="J1137" s="17" t="str">
        <f aca="false">IF(A1137="","",IF(COUNTIF(Emplacements!$A$2:$A$1001,A1137)=0,"⚠ emplacement inconnu","OK"))</f>
        <v/>
      </c>
      <c r="K1137" s="22" t="str">
        <f aca="false">IF(AND(B1137&lt;&gt;"",ISNUMBER(SEARCH(Recherche!$C$3,C1137&amp;" "&amp;B1137&amp;" "&amp;A1137&amp;" "&amp;D1137))),MAX($K$1:K1136)+1,"")</f>
        <v/>
      </c>
    </row>
    <row r="1138" customFormat="false" ht="15" hidden="false" customHeight="false" outlineLevel="0" collapsed="false">
      <c r="A1138" s="12"/>
      <c r="B1138" s="12"/>
      <c r="C1138" s="17" t="str">
        <f aca="false">IF(B1138="","",IFERROR(INDEX(Produits!$F$2:$F$1001,MATCH(B1138,Produits!$A$2:$A$1001,0)),"⚠ code article inconnu"))</f>
        <v/>
      </c>
      <c r="D1138" s="12"/>
      <c r="E1138" s="23"/>
      <c r="F1138" s="24"/>
      <c r="G1138" s="23"/>
      <c r="H1138" s="21" t="str">
        <f aca="true">IF(E1138="","",ROUND((E1138-TODAY())/30.4,1))</f>
        <v/>
      </c>
      <c r="I1138" s="17" t="str">
        <f aca="false">IF(E1138="","",IF(H1138&lt;0,IF(LEFT(A1138,1)="Q","Périmé (en quarantaine)","PÉRIMÉ → déplacer en zone Q"),IF(H1138&lt;3,"Péremption &lt; 3 mois",IF(H1138&lt;6,"Péremption &lt; 6 mois",""))))</f>
        <v/>
      </c>
      <c r="J1138" s="17" t="str">
        <f aca="false">IF(A1138="","",IF(COUNTIF(Emplacements!$A$2:$A$1001,A1138)=0,"⚠ emplacement inconnu","OK"))</f>
        <v/>
      </c>
      <c r="K1138" s="22" t="str">
        <f aca="false">IF(AND(B1138&lt;&gt;"",ISNUMBER(SEARCH(Recherche!$C$3,C1138&amp;" "&amp;B1138&amp;" "&amp;A1138&amp;" "&amp;D1138))),MAX($K$1:K1137)+1,"")</f>
        <v/>
      </c>
    </row>
    <row r="1139" customFormat="false" ht="15" hidden="false" customHeight="false" outlineLevel="0" collapsed="false">
      <c r="A1139" s="12"/>
      <c r="B1139" s="12"/>
      <c r="C1139" s="17" t="str">
        <f aca="false">IF(B1139="","",IFERROR(INDEX(Produits!$F$2:$F$1001,MATCH(B1139,Produits!$A$2:$A$1001,0)),"⚠ code article inconnu"))</f>
        <v/>
      </c>
      <c r="D1139" s="12"/>
      <c r="E1139" s="23"/>
      <c r="F1139" s="24"/>
      <c r="G1139" s="23"/>
      <c r="H1139" s="21" t="str">
        <f aca="true">IF(E1139="","",ROUND((E1139-TODAY())/30.4,1))</f>
        <v/>
      </c>
      <c r="I1139" s="17" t="str">
        <f aca="false">IF(E1139="","",IF(H1139&lt;0,IF(LEFT(A1139,1)="Q","Périmé (en quarantaine)","PÉRIMÉ → déplacer en zone Q"),IF(H1139&lt;3,"Péremption &lt; 3 mois",IF(H1139&lt;6,"Péremption &lt; 6 mois",""))))</f>
        <v/>
      </c>
      <c r="J1139" s="17" t="str">
        <f aca="false">IF(A1139="","",IF(COUNTIF(Emplacements!$A$2:$A$1001,A1139)=0,"⚠ emplacement inconnu","OK"))</f>
        <v/>
      </c>
      <c r="K1139" s="22" t="str">
        <f aca="false">IF(AND(B1139&lt;&gt;"",ISNUMBER(SEARCH(Recherche!$C$3,C1139&amp;" "&amp;B1139&amp;" "&amp;A1139&amp;" "&amp;D1139))),MAX($K$1:K1138)+1,"")</f>
        <v/>
      </c>
    </row>
    <row r="1140" customFormat="false" ht="15" hidden="false" customHeight="false" outlineLevel="0" collapsed="false">
      <c r="A1140" s="12"/>
      <c r="B1140" s="12"/>
      <c r="C1140" s="17" t="str">
        <f aca="false">IF(B1140="","",IFERROR(INDEX(Produits!$F$2:$F$1001,MATCH(B1140,Produits!$A$2:$A$1001,0)),"⚠ code article inconnu"))</f>
        <v/>
      </c>
      <c r="D1140" s="12"/>
      <c r="E1140" s="23"/>
      <c r="F1140" s="24"/>
      <c r="G1140" s="23"/>
      <c r="H1140" s="21" t="str">
        <f aca="true">IF(E1140="","",ROUND((E1140-TODAY())/30.4,1))</f>
        <v/>
      </c>
      <c r="I1140" s="17" t="str">
        <f aca="false">IF(E1140="","",IF(H1140&lt;0,IF(LEFT(A1140,1)="Q","Périmé (en quarantaine)","PÉRIMÉ → déplacer en zone Q"),IF(H1140&lt;3,"Péremption &lt; 3 mois",IF(H1140&lt;6,"Péremption &lt; 6 mois",""))))</f>
        <v/>
      </c>
      <c r="J1140" s="17" t="str">
        <f aca="false">IF(A1140="","",IF(COUNTIF(Emplacements!$A$2:$A$1001,A1140)=0,"⚠ emplacement inconnu","OK"))</f>
        <v/>
      </c>
      <c r="K1140" s="22" t="str">
        <f aca="false">IF(AND(B1140&lt;&gt;"",ISNUMBER(SEARCH(Recherche!$C$3,C1140&amp;" "&amp;B1140&amp;" "&amp;A1140&amp;" "&amp;D1140))),MAX($K$1:K1139)+1,"")</f>
        <v/>
      </c>
    </row>
    <row r="1141" customFormat="false" ht="15" hidden="false" customHeight="false" outlineLevel="0" collapsed="false">
      <c r="A1141" s="12"/>
      <c r="B1141" s="12"/>
      <c r="C1141" s="17" t="str">
        <f aca="false">IF(B1141="","",IFERROR(INDEX(Produits!$F$2:$F$1001,MATCH(B1141,Produits!$A$2:$A$1001,0)),"⚠ code article inconnu"))</f>
        <v/>
      </c>
      <c r="D1141" s="12"/>
      <c r="E1141" s="23"/>
      <c r="F1141" s="24"/>
      <c r="G1141" s="23"/>
      <c r="H1141" s="21" t="str">
        <f aca="true">IF(E1141="","",ROUND((E1141-TODAY())/30.4,1))</f>
        <v/>
      </c>
      <c r="I1141" s="17" t="str">
        <f aca="false">IF(E1141="","",IF(H1141&lt;0,IF(LEFT(A1141,1)="Q","Périmé (en quarantaine)","PÉRIMÉ → déplacer en zone Q"),IF(H1141&lt;3,"Péremption &lt; 3 mois",IF(H1141&lt;6,"Péremption &lt; 6 mois",""))))</f>
        <v/>
      </c>
      <c r="J1141" s="17" t="str">
        <f aca="false">IF(A1141="","",IF(COUNTIF(Emplacements!$A$2:$A$1001,A1141)=0,"⚠ emplacement inconnu","OK"))</f>
        <v/>
      </c>
      <c r="K1141" s="22" t="str">
        <f aca="false">IF(AND(B1141&lt;&gt;"",ISNUMBER(SEARCH(Recherche!$C$3,C1141&amp;" "&amp;B1141&amp;" "&amp;A1141&amp;" "&amp;D1141))),MAX($K$1:K1140)+1,"")</f>
        <v/>
      </c>
    </row>
    <row r="1142" customFormat="false" ht="15" hidden="false" customHeight="false" outlineLevel="0" collapsed="false">
      <c r="A1142" s="12"/>
      <c r="B1142" s="12"/>
      <c r="C1142" s="17" t="str">
        <f aca="false">IF(B1142="","",IFERROR(INDEX(Produits!$F$2:$F$1001,MATCH(B1142,Produits!$A$2:$A$1001,0)),"⚠ code article inconnu"))</f>
        <v/>
      </c>
      <c r="D1142" s="12"/>
      <c r="E1142" s="23"/>
      <c r="F1142" s="24"/>
      <c r="G1142" s="23"/>
      <c r="H1142" s="21" t="str">
        <f aca="true">IF(E1142="","",ROUND((E1142-TODAY())/30.4,1))</f>
        <v/>
      </c>
      <c r="I1142" s="17" t="str">
        <f aca="false">IF(E1142="","",IF(H1142&lt;0,IF(LEFT(A1142,1)="Q","Périmé (en quarantaine)","PÉRIMÉ → déplacer en zone Q"),IF(H1142&lt;3,"Péremption &lt; 3 mois",IF(H1142&lt;6,"Péremption &lt; 6 mois",""))))</f>
        <v/>
      </c>
      <c r="J1142" s="17" t="str">
        <f aca="false">IF(A1142="","",IF(COUNTIF(Emplacements!$A$2:$A$1001,A1142)=0,"⚠ emplacement inconnu","OK"))</f>
        <v/>
      </c>
      <c r="K1142" s="22" t="str">
        <f aca="false">IF(AND(B1142&lt;&gt;"",ISNUMBER(SEARCH(Recherche!$C$3,C1142&amp;" "&amp;B1142&amp;" "&amp;A1142&amp;" "&amp;D1142))),MAX($K$1:K1141)+1,"")</f>
        <v/>
      </c>
    </row>
    <row r="1143" customFormat="false" ht="15" hidden="false" customHeight="false" outlineLevel="0" collapsed="false">
      <c r="A1143" s="12"/>
      <c r="B1143" s="12"/>
      <c r="C1143" s="17" t="str">
        <f aca="false">IF(B1143="","",IFERROR(INDEX(Produits!$F$2:$F$1001,MATCH(B1143,Produits!$A$2:$A$1001,0)),"⚠ code article inconnu"))</f>
        <v/>
      </c>
      <c r="D1143" s="12"/>
      <c r="E1143" s="23"/>
      <c r="F1143" s="24"/>
      <c r="G1143" s="23"/>
      <c r="H1143" s="21" t="str">
        <f aca="true">IF(E1143="","",ROUND((E1143-TODAY())/30.4,1))</f>
        <v/>
      </c>
      <c r="I1143" s="17" t="str">
        <f aca="false">IF(E1143="","",IF(H1143&lt;0,IF(LEFT(A1143,1)="Q","Périmé (en quarantaine)","PÉRIMÉ → déplacer en zone Q"),IF(H1143&lt;3,"Péremption &lt; 3 mois",IF(H1143&lt;6,"Péremption &lt; 6 mois",""))))</f>
        <v/>
      </c>
      <c r="J1143" s="17" t="str">
        <f aca="false">IF(A1143="","",IF(COUNTIF(Emplacements!$A$2:$A$1001,A1143)=0,"⚠ emplacement inconnu","OK"))</f>
        <v/>
      </c>
      <c r="K1143" s="22" t="str">
        <f aca="false">IF(AND(B1143&lt;&gt;"",ISNUMBER(SEARCH(Recherche!$C$3,C1143&amp;" "&amp;B1143&amp;" "&amp;A1143&amp;" "&amp;D1143))),MAX($K$1:K1142)+1,"")</f>
        <v/>
      </c>
    </row>
    <row r="1144" customFormat="false" ht="15" hidden="false" customHeight="false" outlineLevel="0" collapsed="false">
      <c r="A1144" s="12"/>
      <c r="B1144" s="12"/>
      <c r="C1144" s="17" t="str">
        <f aca="false">IF(B1144="","",IFERROR(INDEX(Produits!$F$2:$F$1001,MATCH(B1144,Produits!$A$2:$A$1001,0)),"⚠ code article inconnu"))</f>
        <v/>
      </c>
      <c r="D1144" s="12"/>
      <c r="E1144" s="23"/>
      <c r="F1144" s="24"/>
      <c r="G1144" s="23"/>
      <c r="H1144" s="21" t="str">
        <f aca="true">IF(E1144="","",ROUND((E1144-TODAY())/30.4,1))</f>
        <v/>
      </c>
      <c r="I1144" s="17" t="str">
        <f aca="false">IF(E1144="","",IF(H1144&lt;0,IF(LEFT(A1144,1)="Q","Périmé (en quarantaine)","PÉRIMÉ → déplacer en zone Q"),IF(H1144&lt;3,"Péremption &lt; 3 mois",IF(H1144&lt;6,"Péremption &lt; 6 mois",""))))</f>
        <v/>
      </c>
      <c r="J1144" s="17" t="str">
        <f aca="false">IF(A1144="","",IF(COUNTIF(Emplacements!$A$2:$A$1001,A1144)=0,"⚠ emplacement inconnu","OK"))</f>
        <v/>
      </c>
      <c r="K1144" s="22" t="str">
        <f aca="false">IF(AND(B1144&lt;&gt;"",ISNUMBER(SEARCH(Recherche!$C$3,C1144&amp;" "&amp;B1144&amp;" "&amp;A1144&amp;" "&amp;D1144))),MAX($K$1:K1143)+1,"")</f>
        <v/>
      </c>
    </row>
    <row r="1145" customFormat="false" ht="15" hidden="false" customHeight="false" outlineLevel="0" collapsed="false">
      <c r="A1145" s="12"/>
      <c r="B1145" s="12"/>
      <c r="C1145" s="17" t="str">
        <f aca="false">IF(B1145="","",IFERROR(INDEX(Produits!$F$2:$F$1001,MATCH(B1145,Produits!$A$2:$A$1001,0)),"⚠ code article inconnu"))</f>
        <v/>
      </c>
      <c r="D1145" s="12"/>
      <c r="E1145" s="23"/>
      <c r="F1145" s="24"/>
      <c r="G1145" s="23"/>
      <c r="H1145" s="21" t="str">
        <f aca="true">IF(E1145="","",ROUND((E1145-TODAY())/30.4,1))</f>
        <v/>
      </c>
      <c r="I1145" s="17" t="str">
        <f aca="false">IF(E1145="","",IF(H1145&lt;0,IF(LEFT(A1145,1)="Q","Périmé (en quarantaine)","PÉRIMÉ → déplacer en zone Q"),IF(H1145&lt;3,"Péremption &lt; 3 mois",IF(H1145&lt;6,"Péremption &lt; 6 mois",""))))</f>
        <v/>
      </c>
      <c r="J1145" s="17" t="str">
        <f aca="false">IF(A1145="","",IF(COUNTIF(Emplacements!$A$2:$A$1001,A1145)=0,"⚠ emplacement inconnu","OK"))</f>
        <v/>
      </c>
      <c r="K1145" s="22" t="str">
        <f aca="false">IF(AND(B1145&lt;&gt;"",ISNUMBER(SEARCH(Recherche!$C$3,C1145&amp;" "&amp;B1145&amp;" "&amp;A1145&amp;" "&amp;D1145))),MAX($K$1:K1144)+1,"")</f>
        <v/>
      </c>
    </row>
    <row r="1146" customFormat="false" ht="15" hidden="false" customHeight="false" outlineLevel="0" collapsed="false">
      <c r="A1146" s="12"/>
      <c r="B1146" s="12"/>
      <c r="C1146" s="17" t="str">
        <f aca="false">IF(B1146="","",IFERROR(INDEX(Produits!$F$2:$F$1001,MATCH(B1146,Produits!$A$2:$A$1001,0)),"⚠ code article inconnu"))</f>
        <v/>
      </c>
      <c r="D1146" s="12"/>
      <c r="E1146" s="23"/>
      <c r="F1146" s="24"/>
      <c r="G1146" s="23"/>
      <c r="H1146" s="21" t="str">
        <f aca="true">IF(E1146="","",ROUND((E1146-TODAY())/30.4,1))</f>
        <v/>
      </c>
      <c r="I1146" s="17" t="str">
        <f aca="false">IF(E1146="","",IF(H1146&lt;0,IF(LEFT(A1146,1)="Q","Périmé (en quarantaine)","PÉRIMÉ → déplacer en zone Q"),IF(H1146&lt;3,"Péremption &lt; 3 mois",IF(H1146&lt;6,"Péremption &lt; 6 mois",""))))</f>
        <v/>
      </c>
      <c r="J1146" s="17" t="str">
        <f aca="false">IF(A1146="","",IF(COUNTIF(Emplacements!$A$2:$A$1001,A1146)=0,"⚠ emplacement inconnu","OK"))</f>
        <v/>
      </c>
      <c r="K1146" s="22" t="str">
        <f aca="false">IF(AND(B1146&lt;&gt;"",ISNUMBER(SEARCH(Recherche!$C$3,C1146&amp;" "&amp;B1146&amp;" "&amp;A1146&amp;" "&amp;D1146))),MAX($K$1:K1145)+1,"")</f>
        <v/>
      </c>
    </row>
    <row r="1147" customFormat="false" ht="15" hidden="false" customHeight="false" outlineLevel="0" collapsed="false">
      <c r="A1147" s="12"/>
      <c r="B1147" s="12"/>
      <c r="C1147" s="17" t="str">
        <f aca="false">IF(B1147="","",IFERROR(INDEX(Produits!$F$2:$F$1001,MATCH(B1147,Produits!$A$2:$A$1001,0)),"⚠ code article inconnu"))</f>
        <v/>
      </c>
      <c r="D1147" s="12"/>
      <c r="E1147" s="23"/>
      <c r="F1147" s="24"/>
      <c r="G1147" s="23"/>
      <c r="H1147" s="21" t="str">
        <f aca="true">IF(E1147="","",ROUND((E1147-TODAY())/30.4,1))</f>
        <v/>
      </c>
      <c r="I1147" s="17" t="str">
        <f aca="false">IF(E1147="","",IF(H1147&lt;0,IF(LEFT(A1147,1)="Q","Périmé (en quarantaine)","PÉRIMÉ → déplacer en zone Q"),IF(H1147&lt;3,"Péremption &lt; 3 mois",IF(H1147&lt;6,"Péremption &lt; 6 mois",""))))</f>
        <v/>
      </c>
      <c r="J1147" s="17" t="str">
        <f aca="false">IF(A1147="","",IF(COUNTIF(Emplacements!$A$2:$A$1001,A1147)=0,"⚠ emplacement inconnu","OK"))</f>
        <v/>
      </c>
      <c r="K1147" s="22" t="str">
        <f aca="false">IF(AND(B1147&lt;&gt;"",ISNUMBER(SEARCH(Recherche!$C$3,C1147&amp;" "&amp;B1147&amp;" "&amp;A1147&amp;" "&amp;D1147))),MAX($K$1:K1146)+1,"")</f>
        <v/>
      </c>
    </row>
    <row r="1148" customFormat="false" ht="15" hidden="false" customHeight="false" outlineLevel="0" collapsed="false">
      <c r="A1148" s="12"/>
      <c r="B1148" s="12"/>
      <c r="C1148" s="17" t="str">
        <f aca="false">IF(B1148="","",IFERROR(INDEX(Produits!$F$2:$F$1001,MATCH(B1148,Produits!$A$2:$A$1001,0)),"⚠ code article inconnu"))</f>
        <v/>
      </c>
      <c r="D1148" s="12"/>
      <c r="E1148" s="23"/>
      <c r="F1148" s="24"/>
      <c r="G1148" s="23"/>
      <c r="H1148" s="21" t="str">
        <f aca="true">IF(E1148="","",ROUND((E1148-TODAY())/30.4,1))</f>
        <v/>
      </c>
      <c r="I1148" s="17" t="str">
        <f aca="false">IF(E1148="","",IF(H1148&lt;0,IF(LEFT(A1148,1)="Q","Périmé (en quarantaine)","PÉRIMÉ → déplacer en zone Q"),IF(H1148&lt;3,"Péremption &lt; 3 mois",IF(H1148&lt;6,"Péremption &lt; 6 mois",""))))</f>
        <v/>
      </c>
      <c r="J1148" s="17" t="str">
        <f aca="false">IF(A1148="","",IF(COUNTIF(Emplacements!$A$2:$A$1001,A1148)=0,"⚠ emplacement inconnu","OK"))</f>
        <v/>
      </c>
      <c r="K1148" s="22" t="str">
        <f aca="false">IF(AND(B1148&lt;&gt;"",ISNUMBER(SEARCH(Recherche!$C$3,C1148&amp;" "&amp;B1148&amp;" "&amp;A1148&amp;" "&amp;D1148))),MAX($K$1:K1147)+1,"")</f>
        <v/>
      </c>
    </row>
    <row r="1149" customFormat="false" ht="15" hidden="false" customHeight="false" outlineLevel="0" collapsed="false">
      <c r="A1149" s="12"/>
      <c r="B1149" s="12"/>
      <c r="C1149" s="17" t="str">
        <f aca="false">IF(B1149="","",IFERROR(INDEX(Produits!$F$2:$F$1001,MATCH(B1149,Produits!$A$2:$A$1001,0)),"⚠ code article inconnu"))</f>
        <v/>
      </c>
      <c r="D1149" s="12"/>
      <c r="E1149" s="23"/>
      <c r="F1149" s="24"/>
      <c r="G1149" s="23"/>
      <c r="H1149" s="21" t="str">
        <f aca="true">IF(E1149="","",ROUND((E1149-TODAY())/30.4,1))</f>
        <v/>
      </c>
      <c r="I1149" s="17" t="str">
        <f aca="false">IF(E1149="","",IF(H1149&lt;0,IF(LEFT(A1149,1)="Q","Périmé (en quarantaine)","PÉRIMÉ → déplacer en zone Q"),IF(H1149&lt;3,"Péremption &lt; 3 mois",IF(H1149&lt;6,"Péremption &lt; 6 mois",""))))</f>
        <v/>
      </c>
      <c r="J1149" s="17" t="str">
        <f aca="false">IF(A1149="","",IF(COUNTIF(Emplacements!$A$2:$A$1001,A1149)=0,"⚠ emplacement inconnu","OK"))</f>
        <v/>
      </c>
      <c r="K1149" s="22" t="str">
        <f aca="false">IF(AND(B1149&lt;&gt;"",ISNUMBER(SEARCH(Recherche!$C$3,C1149&amp;" "&amp;B1149&amp;" "&amp;A1149&amp;" "&amp;D1149))),MAX($K$1:K1148)+1,"")</f>
        <v/>
      </c>
    </row>
    <row r="1150" customFormat="false" ht="15" hidden="false" customHeight="false" outlineLevel="0" collapsed="false">
      <c r="A1150" s="12"/>
      <c r="B1150" s="12"/>
      <c r="C1150" s="17" t="str">
        <f aca="false">IF(B1150="","",IFERROR(INDEX(Produits!$F$2:$F$1001,MATCH(B1150,Produits!$A$2:$A$1001,0)),"⚠ code article inconnu"))</f>
        <v/>
      </c>
      <c r="D1150" s="12"/>
      <c r="E1150" s="23"/>
      <c r="F1150" s="24"/>
      <c r="G1150" s="23"/>
      <c r="H1150" s="21" t="str">
        <f aca="true">IF(E1150="","",ROUND((E1150-TODAY())/30.4,1))</f>
        <v/>
      </c>
      <c r="I1150" s="17" t="str">
        <f aca="false">IF(E1150="","",IF(H1150&lt;0,IF(LEFT(A1150,1)="Q","Périmé (en quarantaine)","PÉRIMÉ → déplacer en zone Q"),IF(H1150&lt;3,"Péremption &lt; 3 mois",IF(H1150&lt;6,"Péremption &lt; 6 mois",""))))</f>
        <v/>
      </c>
      <c r="J1150" s="17" t="str">
        <f aca="false">IF(A1150="","",IF(COUNTIF(Emplacements!$A$2:$A$1001,A1150)=0,"⚠ emplacement inconnu","OK"))</f>
        <v/>
      </c>
      <c r="K1150" s="22" t="str">
        <f aca="false">IF(AND(B1150&lt;&gt;"",ISNUMBER(SEARCH(Recherche!$C$3,C1150&amp;" "&amp;B1150&amp;" "&amp;A1150&amp;" "&amp;D1150))),MAX($K$1:K1149)+1,"")</f>
        <v/>
      </c>
    </row>
    <row r="1151" customFormat="false" ht="15" hidden="false" customHeight="false" outlineLevel="0" collapsed="false">
      <c r="A1151" s="12"/>
      <c r="B1151" s="12"/>
      <c r="C1151" s="17" t="str">
        <f aca="false">IF(B1151="","",IFERROR(INDEX(Produits!$F$2:$F$1001,MATCH(B1151,Produits!$A$2:$A$1001,0)),"⚠ code article inconnu"))</f>
        <v/>
      </c>
      <c r="D1151" s="12"/>
      <c r="E1151" s="23"/>
      <c r="F1151" s="24"/>
      <c r="G1151" s="23"/>
      <c r="H1151" s="21" t="str">
        <f aca="true">IF(E1151="","",ROUND((E1151-TODAY())/30.4,1))</f>
        <v/>
      </c>
      <c r="I1151" s="17" t="str">
        <f aca="false">IF(E1151="","",IF(H1151&lt;0,IF(LEFT(A1151,1)="Q","Périmé (en quarantaine)","PÉRIMÉ → déplacer en zone Q"),IF(H1151&lt;3,"Péremption &lt; 3 mois",IF(H1151&lt;6,"Péremption &lt; 6 mois",""))))</f>
        <v/>
      </c>
      <c r="J1151" s="17" t="str">
        <f aca="false">IF(A1151="","",IF(COUNTIF(Emplacements!$A$2:$A$1001,A1151)=0,"⚠ emplacement inconnu","OK"))</f>
        <v/>
      </c>
      <c r="K1151" s="22" t="str">
        <f aca="false">IF(AND(B1151&lt;&gt;"",ISNUMBER(SEARCH(Recherche!$C$3,C1151&amp;" "&amp;B1151&amp;" "&amp;A1151&amp;" "&amp;D1151))),MAX($K$1:K1150)+1,"")</f>
        <v/>
      </c>
    </row>
    <row r="1152" customFormat="false" ht="15" hidden="false" customHeight="false" outlineLevel="0" collapsed="false">
      <c r="A1152" s="12"/>
      <c r="B1152" s="12"/>
      <c r="C1152" s="17" t="str">
        <f aca="false">IF(B1152="","",IFERROR(INDEX(Produits!$F$2:$F$1001,MATCH(B1152,Produits!$A$2:$A$1001,0)),"⚠ code article inconnu"))</f>
        <v/>
      </c>
      <c r="D1152" s="12"/>
      <c r="E1152" s="23"/>
      <c r="F1152" s="24"/>
      <c r="G1152" s="23"/>
      <c r="H1152" s="21" t="str">
        <f aca="true">IF(E1152="","",ROUND((E1152-TODAY())/30.4,1))</f>
        <v/>
      </c>
      <c r="I1152" s="17" t="str">
        <f aca="false">IF(E1152="","",IF(H1152&lt;0,IF(LEFT(A1152,1)="Q","Périmé (en quarantaine)","PÉRIMÉ → déplacer en zone Q"),IF(H1152&lt;3,"Péremption &lt; 3 mois",IF(H1152&lt;6,"Péremption &lt; 6 mois",""))))</f>
        <v/>
      </c>
      <c r="J1152" s="17" t="str">
        <f aca="false">IF(A1152="","",IF(COUNTIF(Emplacements!$A$2:$A$1001,A1152)=0,"⚠ emplacement inconnu","OK"))</f>
        <v/>
      </c>
      <c r="K1152" s="22" t="str">
        <f aca="false">IF(AND(B1152&lt;&gt;"",ISNUMBER(SEARCH(Recherche!$C$3,C1152&amp;" "&amp;B1152&amp;" "&amp;A1152&amp;" "&amp;D1152))),MAX($K$1:K1151)+1,"")</f>
        <v/>
      </c>
    </row>
    <row r="1153" customFormat="false" ht="15" hidden="false" customHeight="false" outlineLevel="0" collapsed="false">
      <c r="A1153" s="12"/>
      <c r="B1153" s="12"/>
      <c r="C1153" s="17" t="str">
        <f aca="false">IF(B1153="","",IFERROR(INDEX(Produits!$F$2:$F$1001,MATCH(B1153,Produits!$A$2:$A$1001,0)),"⚠ code article inconnu"))</f>
        <v/>
      </c>
      <c r="D1153" s="12"/>
      <c r="E1153" s="23"/>
      <c r="F1153" s="24"/>
      <c r="G1153" s="23"/>
      <c r="H1153" s="21" t="str">
        <f aca="true">IF(E1153="","",ROUND((E1153-TODAY())/30.4,1))</f>
        <v/>
      </c>
      <c r="I1153" s="17" t="str">
        <f aca="false">IF(E1153="","",IF(H1153&lt;0,IF(LEFT(A1153,1)="Q","Périmé (en quarantaine)","PÉRIMÉ → déplacer en zone Q"),IF(H1153&lt;3,"Péremption &lt; 3 mois",IF(H1153&lt;6,"Péremption &lt; 6 mois",""))))</f>
        <v/>
      </c>
      <c r="J1153" s="17" t="str">
        <f aca="false">IF(A1153="","",IF(COUNTIF(Emplacements!$A$2:$A$1001,A1153)=0,"⚠ emplacement inconnu","OK"))</f>
        <v/>
      </c>
      <c r="K1153" s="22" t="str">
        <f aca="false">IF(AND(B1153&lt;&gt;"",ISNUMBER(SEARCH(Recherche!$C$3,C1153&amp;" "&amp;B1153&amp;" "&amp;A1153&amp;" "&amp;D1153))),MAX($K$1:K1152)+1,"")</f>
        <v/>
      </c>
    </row>
    <row r="1154" customFormat="false" ht="15" hidden="false" customHeight="false" outlineLevel="0" collapsed="false">
      <c r="A1154" s="12"/>
      <c r="B1154" s="12"/>
      <c r="C1154" s="17" t="str">
        <f aca="false">IF(B1154="","",IFERROR(INDEX(Produits!$F$2:$F$1001,MATCH(B1154,Produits!$A$2:$A$1001,0)),"⚠ code article inconnu"))</f>
        <v/>
      </c>
      <c r="D1154" s="12"/>
      <c r="E1154" s="23"/>
      <c r="F1154" s="24"/>
      <c r="G1154" s="23"/>
      <c r="H1154" s="21" t="str">
        <f aca="true">IF(E1154="","",ROUND((E1154-TODAY())/30.4,1))</f>
        <v/>
      </c>
      <c r="I1154" s="17" t="str">
        <f aca="false">IF(E1154="","",IF(H1154&lt;0,IF(LEFT(A1154,1)="Q","Périmé (en quarantaine)","PÉRIMÉ → déplacer en zone Q"),IF(H1154&lt;3,"Péremption &lt; 3 mois",IF(H1154&lt;6,"Péremption &lt; 6 mois",""))))</f>
        <v/>
      </c>
      <c r="J1154" s="17" t="str">
        <f aca="false">IF(A1154="","",IF(COUNTIF(Emplacements!$A$2:$A$1001,A1154)=0,"⚠ emplacement inconnu","OK"))</f>
        <v/>
      </c>
      <c r="K1154" s="22" t="str">
        <f aca="false">IF(AND(B1154&lt;&gt;"",ISNUMBER(SEARCH(Recherche!$C$3,C1154&amp;" "&amp;B1154&amp;" "&amp;A1154&amp;" "&amp;D1154))),MAX($K$1:K1153)+1,"")</f>
        <v/>
      </c>
    </row>
    <row r="1155" customFormat="false" ht="15" hidden="false" customHeight="false" outlineLevel="0" collapsed="false">
      <c r="A1155" s="12"/>
      <c r="B1155" s="12"/>
      <c r="C1155" s="17" t="str">
        <f aca="false">IF(B1155="","",IFERROR(INDEX(Produits!$F$2:$F$1001,MATCH(B1155,Produits!$A$2:$A$1001,0)),"⚠ code article inconnu"))</f>
        <v/>
      </c>
      <c r="D1155" s="12"/>
      <c r="E1155" s="23"/>
      <c r="F1155" s="24"/>
      <c r="G1155" s="23"/>
      <c r="H1155" s="21" t="str">
        <f aca="true">IF(E1155="","",ROUND((E1155-TODAY())/30.4,1))</f>
        <v/>
      </c>
      <c r="I1155" s="17" t="str">
        <f aca="false">IF(E1155="","",IF(H1155&lt;0,IF(LEFT(A1155,1)="Q","Périmé (en quarantaine)","PÉRIMÉ → déplacer en zone Q"),IF(H1155&lt;3,"Péremption &lt; 3 mois",IF(H1155&lt;6,"Péremption &lt; 6 mois",""))))</f>
        <v/>
      </c>
      <c r="J1155" s="17" t="str">
        <f aca="false">IF(A1155="","",IF(COUNTIF(Emplacements!$A$2:$A$1001,A1155)=0,"⚠ emplacement inconnu","OK"))</f>
        <v/>
      </c>
      <c r="K1155" s="22" t="str">
        <f aca="false">IF(AND(B1155&lt;&gt;"",ISNUMBER(SEARCH(Recherche!$C$3,C1155&amp;" "&amp;B1155&amp;" "&amp;A1155&amp;" "&amp;D1155))),MAX($K$1:K1154)+1,"")</f>
        <v/>
      </c>
    </row>
    <row r="1156" customFormat="false" ht="15" hidden="false" customHeight="false" outlineLevel="0" collapsed="false">
      <c r="A1156" s="12"/>
      <c r="B1156" s="12"/>
      <c r="C1156" s="17" t="str">
        <f aca="false">IF(B1156="","",IFERROR(INDEX(Produits!$F$2:$F$1001,MATCH(B1156,Produits!$A$2:$A$1001,0)),"⚠ code article inconnu"))</f>
        <v/>
      </c>
      <c r="D1156" s="12"/>
      <c r="E1156" s="23"/>
      <c r="F1156" s="24"/>
      <c r="G1156" s="23"/>
      <c r="H1156" s="21" t="str">
        <f aca="true">IF(E1156="","",ROUND((E1156-TODAY())/30.4,1))</f>
        <v/>
      </c>
      <c r="I1156" s="17" t="str">
        <f aca="false">IF(E1156="","",IF(H1156&lt;0,IF(LEFT(A1156,1)="Q","Périmé (en quarantaine)","PÉRIMÉ → déplacer en zone Q"),IF(H1156&lt;3,"Péremption &lt; 3 mois",IF(H1156&lt;6,"Péremption &lt; 6 mois",""))))</f>
        <v/>
      </c>
      <c r="J1156" s="17" t="str">
        <f aca="false">IF(A1156="","",IF(COUNTIF(Emplacements!$A$2:$A$1001,A1156)=0,"⚠ emplacement inconnu","OK"))</f>
        <v/>
      </c>
      <c r="K1156" s="22" t="str">
        <f aca="false">IF(AND(B1156&lt;&gt;"",ISNUMBER(SEARCH(Recherche!$C$3,C1156&amp;" "&amp;B1156&amp;" "&amp;A1156&amp;" "&amp;D1156))),MAX($K$1:K1155)+1,"")</f>
        <v/>
      </c>
    </row>
    <row r="1157" customFormat="false" ht="15" hidden="false" customHeight="false" outlineLevel="0" collapsed="false">
      <c r="A1157" s="12"/>
      <c r="B1157" s="12"/>
      <c r="C1157" s="17" t="str">
        <f aca="false">IF(B1157="","",IFERROR(INDEX(Produits!$F$2:$F$1001,MATCH(B1157,Produits!$A$2:$A$1001,0)),"⚠ code article inconnu"))</f>
        <v/>
      </c>
      <c r="D1157" s="12"/>
      <c r="E1157" s="23"/>
      <c r="F1157" s="24"/>
      <c r="G1157" s="23"/>
      <c r="H1157" s="21" t="str">
        <f aca="true">IF(E1157="","",ROUND((E1157-TODAY())/30.4,1))</f>
        <v/>
      </c>
      <c r="I1157" s="17" t="str">
        <f aca="false">IF(E1157="","",IF(H1157&lt;0,IF(LEFT(A1157,1)="Q","Périmé (en quarantaine)","PÉRIMÉ → déplacer en zone Q"),IF(H1157&lt;3,"Péremption &lt; 3 mois",IF(H1157&lt;6,"Péremption &lt; 6 mois",""))))</f>
        <v/>
      </c>
      <c r="J1157" s="17" t="str">
        <f aca="false">IF(A1157="","",IF(COUNTIF(Emplacements!$A$2:$A$1001,A1157)=0,"⚠ emplacement inconnu","OK"))</f>
        <v/>
      </c>
      <c r="K1157" s="22" t="str">
        <f aca="false">IF(AND(B1157&lt;&gt;"",ISNUMBER(SEARCH(Recherche!$C$3,C1157&amp;" "&amp;B1157&amp;" "&amp;A1157&amp;" "&amp;D1157))),MAX($K$1:K1156)+1,"")</f>
        <v/>
      </c>
    </row>
    <row r="1158" customFormat="false" ht="15" hidden="false" customHeight="false" outlineLevel="0" collapsed="false">
      <c r="A1158" s="12"/>
      <c r="B1158" s="12"/>
      <c r="C1158" s="17" t="str">
        <f aca="false">IF(B1158="","",IFERROR(INDEX(Produits!$F$2:$F$1001,MATCH(B1158,Produits!$A$2:$A$1001,0)),"⚠ code article inconnu"))</f>
        <v/>
      </c>
      <c r="D1158" s="12"/>
      <c r="E1158" s="23"/>
      <c r="F1158" s="24"/>
      <c r="G1158" s="23"/>
      <c r="H1158" s="21" t="str">
        <f aca="true">IF(E1158="","",ROUND((E1158-TODAY())/30.4,1))</f>
        <v/>
      </c>
      <c r="I1158" s="17" t="str">
        <f aca="false">IF(E1158="","",IF(H1158&lt;0,IF(LEFT(A1158,1)="Q","Périmé (en quarantaine)","PÉRIMÉ → déplacer en zone Q"),IF(H1158&lt;3,"Péremption &lt; 3 mois",IF(H1158&lt;6,"Péremption &lt; 6 mois",""))))</f>
        <v/>
      </c>
      <c r="J1158" s="17" t="str">
        <f aca="false">IF(A1158="","",IF(COUNTIF(Emplacements!$A$2:$A$1001,A1158)=0,"⚠ emplacement inconnu","OK"))</f>
        <v/>
      </c>
      <c r="K1158" s="22" t="str">
        <f aca="false">IF(AND(B1158&lt;&gt;"",ISNUMBER(SEARCH(Recherche!$C$3,C1158&amp;" "&amp;B1158&amp;" "&amp;A1158&amp;" "&amp;D1158))),MAX($K$1:K1157)+1,"")</f>
        <v/>
      </c>
    </row>
    <row r="1159" customFormat="false" ht="15" hidden="false" customHeight="false" outlineLevel="0" collapsed="false">
      <c r="A1159" s="12"/>
      <c r="B1159" s="12"/>
      <c r="C1159" s="17" t="str">
        <f aca="false">IF(B1159="","",IFERROR(INDEX(Produits!$F$2:$F$1001,MATCH(B1159,Produits!$A$2:$A$1001,0)),"⚠ code article inconnu"))</f>
        <v/>
      </c>
      <c r="D1159" s="12"/>
      <c r="E1159" s="23"/>
      <c r="F1159" s="24"/>
      <c r="G1159" s="23"/>
      <c r="H1159" s="21" t="str">
        <f aca="true">IF(E1159="","",ROUND((E1159-TODAY())/30.4,1))</f>
        <v/>
      </c>
      <c r="I1159" s="17" t="str">
        <f aca="false">IF(E1159="","",IF(H1159&lt;0,IF(LEFT(A1159,1)="Q","Périmé (en quarantaine)","PÉRIMÉ → déplacer en zone Q"),IF(H1159&lt;3,"Péremption &lt; 3 mois",IF(H1159&lt;6,"Péremption &lt; 6 mois",""))))</f>
        <v/>
      </c>
      <c r="J1159" s="17" t="str">
        <f aca="false">IF(A1159="","",IF(COUNTIF(Emplacements!$A$2:$A$1001,A1159)=0,"⚠ emplacement inconnu","OK"))</f>
        <v/>
      </c>
      <c r="K1159" s="22" t="str">
        <f aca="false">IF(AND(B1159&lt;&gt;"",ISNUMBER(SEARCH(Recherche!$C$3,C1159&amp;" "&amp;B1159&amp;" "&amp;A1159&amp;" "&amp;D1159))),MAX($K$1:K1158)+1,"")</f>
        <v/>
      </c>
    </row>
    <row r="1160" customFormat="false" ht="15" hidden="false" customHeight="false" outlineLevel="0" collapsed="false">
      <c r="A1160" s="12"/>
      <c r="B1160" s="12"/>
      <c r="C1160" s="17" t="str">
        <f aca="false">IF(B1160="","",IFERROR(INDEX(Produits!$F$2:$F$1001,MATCH(B1160,Produits!$A$2:$A$1001,0)),"⚠ code article inconnu"))</f>
        <v/>
      </c>
      <c r="D1160" s="12"/>
      <c r="E1160" s="23"/>
      <c r="F1160" s="24"/>
      <c r="G1160" s="23"/>
      <c r="H1160" s="21" t="str">
        <f aca="true">IF(E1160="","",ROUND((E1160-TODAY())/30.4,1))</f>
        <v/>
      </c>
      <c r="I1160" s="17" t="str">
        <f aca="false">IF(E1160="","",IF(H1160&lt;0,IF(LEFT(A1160,1)="Q","Périmé (en quarantaine)","PÉRIMÉ → déplacer en zone Q"),IF(H1160&lt;3,"Péremption &lt; 3 mois",IF(H1160&lt;6,"Péremption &lt; 6 mois",""))))</f>
        <v/>
      </c>
      <c r="J1160" s="17" t="str">
        <f aca="false">IF(A1160="","",IF(COUNTIF(Emplacements!$A$2:$A$1001,A1160)=0,"⚠ emplacement inconnu","OK"))</f>
        <v/>
      </c>
      <c r="K1160" s="22" t="str">
        <f aca="false">IF(AND(B1160&lt;&gt;"",ISNUMBER(SEARCH(Recherche!$C$3,C1160&amp;" "&amp;B1160&amp;" "&amp;A1160&amp;" "&amp;D1160))),MAX($K$1:K1159)+1,"")</f>
        <v/>
      </c>
    </row>
    <row r="1161" customFormat="false" ht="15" hidden="false" customHeight="false" outlineLevel="0" collapsed="false">
      <c r="A1161" s="12"/>
      <c r="B1161" s="12"/>
      <c r="C1161" s="17" t="str">
        <f aca="false">IF(B1161="","",IFERROR(INDEX(Produits!$F$2:$F$1001,MATCH(B1161,Produits!$A$2:$A$1001,0)),"⚠ code article inconnu"))</f>
        <v/>
      </c>
      <c r="D1161" s="12"/>
      <c r="E1161" s="23"/>
      <c r="F1161" s="24"/>
      <c r="G1161" s="23"/>
      <c r="H1161" s="21" t="str">
        <f aca="true">IF(E1161="","",ROUND((E1161-TODAY())/30.4,1))</f>
        <v/>
      </c>
      <c r="I1161" s="17" t="str">
        <f aca="false">IF(E1161="","",IF(H1161&lt;0,IF(LEFT(A1161,1)="Q","Périmé (en quarantaine)","PÉRIMÉ → déplacer en zone Q"),IF(H1161&lt;3,"Péremption &lt; 3 mois",IF(H1161&lt;6,"Péremption &lt; 6 mois",""))))</f>
        <v/>
      </c>
      <c r="J1161" s="17" t="str">
        <f aca="false">IF(A1161="","",IF(COUNTIF(Emplacements!$A$2:$A$1001,A1161)=0,"⚠ emplacement inconnu","OK"))</f>
        <v/>
      </c>
      <c r="K1161" s="22" t="str">
        <f aca="false">IF(AND(B1161&lt;&gt;"",ISNUMBER(SEARCH(Recherche!$C$3,C1161&amp;" "&amp;B1161&amp;" "&amp;A1161&amp;" "&amp;D1161))),MAX($K$1:K1160)+1,"")</f>
        <v/>
      </c>
    </row>
    <row r="1162" customFormat="false" ht="15" hidden="false" customHeight="false" outlineLevel="0" collapsed="false">
      <c r="A1162" s="12"/>
      <c r="B1162" s="12"/>
      <c r="C1162" s="17" t="str">
        <f aca="false">IF(B1162="","",IFERROR(INDEX(Produits!$F$2:$F$1001,MATCH(B1162,Produits!$A$2:$A$1001,0)),"⚠ code article inconnu"))</f>
        <v/>
      </c>
      <c r="D1162" s="12"/>
      <c r="E1162" s="23"/>
      <c r="F1162" s="24"/>
      <c r="G1162" s="23"/>
      <c r="H1162" s="21" t="str">
        <f aca="true">IF(E1162="","",ROUND((E1162-TODAY())/30.4,1))</f>
        <v/>
      </c>
      <c r="I1162" s="17" t="str">
        <f aca="false">IF(E1162="","",IF(H1162&lt;0,IF(LEFT(A1162,1)="Q","Périmé (en quarantaine)","PÉRIMÉ → déplacer en zone Q"),IF(H1162&lt;3,"Péremption &lt; 3 mois",IF(H1162&lt;6,"Péremption &lt; 6 mois",""))))</f>
        <v/>
      </c>
      <c r="J1162" s="17" t="str">
        <f aca="false">IF(A1162="","",IF(COUNTIF(Emplacements!$A$2:$A$1001,A1162)=0,"⚠ emplacement inconnu","OK"))</f>
        <v/>
      </c>
      <c r="K1162" s="22" t="str">
        <f aca="false">IF(AND(B1162&lt;&gt;"",ISNUMBER(SEARCH(Recherche!$C$3,C1162&amp;" "&amp;B1162&amp;" "&amp;A1162&amp;" "&amp;D1162))),MAX($K$1:K1161)+1,"")</f>
        <v/>
      </c>
    </row>
    <row r="1163" customFormat="false" ht="15" hidden="false" customHeight="false" outlineLevel="0" collapsed="false">
      <c r="A1163" s="12"/>
      <c r="B1163" s="12"/>
      <c r="C1163" s="17" t="str">
        <f aca="false">IF(B1163="","",IFERROR(INDEX(Produits!$F$2:$F$1001,MATCH(B1163,Produits!$A$2:$A$1001,0)),"⚠ code article inconnu"))</f>
        <v/>
      </c>
      <c r="D1163" s="12"/>
      <c r="E1163" s="23"/>
      <c r="F1163" s="24"/>
      <c r="G1163" s="23"/>
      <c r="H1163" s="21" t="str">
        <f aca="true">IF(E1163="","",ROUND((E1163-TODAY())/30.4,1))</f>
        <v/>
      </c>
      <c r="I1163" s="17" t="str">
        <f aca="false">IF(E1163="","",IF(H1163&lt;0,IF(LEFT(A1163,1)="Q","Périmé (en quarantaine)","PÉRIMÉ → déplacer en zone Q"),IF(H1163&lt;3,"Péremption &lt; 3 mois",IF(H1163&lt;6,"Péremption &lt; 6 mois",""))))</f>
        <v/>
      </c>
      <c r="J1163" s="17" t="str">
        <f aca="false">IF(A1163="","",IF(COUNTIF(Emplacements!$A$2:$A$1001,A1163)=0,"⚠ emplacement inconnu","OK"))</f>
        <v/>
      </c>
      <c r="K1163" s="22" t="str">
        <f aca="false">IF(AND(B1163&lt;&gt;"",ISNUMBER(SEARCH(Recherche!$C$3,C1163&amp;" "&amp;B1163&amp;" "&amp;A1163&amp;" "&amp;D1163))),MAX($K$1:K1162)+1,"")</f>
        <v/>
      </c>
    </row>
    <row r="1164" customFormat="false" ht="15" hidden="false" customHeight="false" outlineLevel="0" collapsed="false">
      <c r="A1164" s="12"/>
      <c r="B1164" s="12"/>
      <c r="C1164" s="17" t="str">
        <f aca="false">IF(B1164="","",IFERROR(INDEX(Produits!$F$2:$F$1001,MATCH(B1164,Produits!$A$2:$A$1001,0)),"⚠ code article inconnu"))</f>
        <v/>
      </c>
      <c r="D1164" s="12"/>
      <c r="E1164" s="23"/>
      <c r="F1164" s="24"/>
      <c r="G1164" s="23"/>
      <c r="H1164" s="21" t="str">
        <f aca="true">IF(E1164="","",ROUND((E1164-TODAY())/30.4,1))</f>
        <v/>
      </c>
      <c r="I1164" s="17" t="str">
        <f aca="false">IF(E1164="","",IF(H1164&lt;0,IF(LEFT(A1164,1)="Q","Périmé (en quarantaine)","PÉRIMÉ → déplacer en zone Q"),IF(H1164&lt;3,"Péremption &lt; 3 mois",IF(H1164&lt;6,"Péremption &lt; 6 mois",""))))</f>
        <v/>
      </c>
      <c r="J1164" s="17" t="str">
        <f aca="false">IF(A1164="","",IF(COUNTIF(Emplacements!$A$2:$A$1001,A1164)=0,"⚠ emplacement inconnu","OK"))</f>
        <v/>
      </c>
      <c r="K1164" s="22" t="str">
        <f aca="false">IF(AND(B1164&lt;&gt;"",ISNUMBER(SEARCH(Recherche!$C$3,C1164&amp;" "&amp;B1164&amp;" "&amp;A1164&amp;" "&amp;D1164))),MAX($K$1:K1163)+1,"")</f>
        <v/>
      </c>
    </row>
    <row r="1165" customFormat="false" ht="15" hidden="false" customHeight="false" outlineLevel="0" collapsed="false">
      <c r="A1165" s="12"/>
      <c r="B1165" s="12"/>
      <c r="C1165" s="17" t="str">
        <f aca="false">IF(B1165="","",IFERROR(INDEX(Produits!$F$2:$F$1001,MATCH(B1165,Produits!$A$2:$A$1001,0)),"⚠ code article inconnu"))</f>
        <v/>
      </c>
      <c r="D1165" s="12"/>
      <c r="E1165" s="23"/>
      <c r="F1165" s="24"/>
      <c r="G1165" s="23"/>
      <c r="H1165" s="21" t="str">
        <f aca="true">IF(E1165="","",ROUND((E1165-TODAY())/30.4,1))</f>
        <v/>
      </c>
      <c r="I1165" s="17" t="str">
        <f aca="false">IF(E1165="","",IF(H1165&lt;0,IF(LEFT(A1165,1)="Q","Périmé (en quarantaine)","PÉRIMÉ → déplacer en zone Q"),IF(H1165&lt;3,"Péremption &lt; 3 mois",IF(H1165&lt;6,"Péremption &lt; 6 mois",""))))</f>
        <v/>
      </c>
      <c r="J1165" s="17" t="str">
        <f aca="false">IF(A1165="","",IF(COUNTIF(Emplacements!$A$2:$A$1001,A1165)=0,"⚠ emplacement inconnu","OK"))</f>
        <v/>
      </c>
      <c r="K1165" s="22" t="str">
        <f aca="false">IF(AND(B1165&lt;&gt;"",ISNUMBER(SEARCH(Recherche!$C$3,C1165&amp;" "&amp;B1165&amp;" "&amp;A1165&amp;" "&amp;D1165))),MAX($K$1:K1164)+1,"")</f>
        <v/>
      </c>
    </row>
    <row r="1166" customFormat="false" ht="15" hidden="false" customHeight="false" outlineLevel="0" collapsed="false">
      <c r="A1166" s="12"/>
      <c r="B1166" s="12"/>
      <c r="C1166" s="17" t="str">
        <f aca="false">IF(B1166="","",IFERROR(INDEX(Produits!$F$2:$F$1001,MATCH(B1166,Produits!$A$2:$A$1001,0)),"⚠ code article inconnu"))</f>
        <v/>
      </c>
      <c r="D1166" s="12"/>
      <c r="E1166" s="23"/>
      <c r="F1166" s="24"/>
      <c r="G1166" s="23"/>
      <c r="H1166" s="21" t="str">
        <f aca="true">IF(E1166="","",ROUND((E1166-TODAY())/30.4,1))</f>
        <v/>
      </c>
      <c r="I1166" s="17" t="str">
        <f aca="false">IF(E1166="","",IF(H1166&lt;0,IF(LEFT(A1166,1)="Q","Périmé (en quarantaine)","PÉRIMÉ → déplacer en zone Q"),IF(H1166&lt;3,"Péremption &lt; 3 mois",IF(H1166&lt;6,"Péremption &lt; 6 mois",""))))</f>
        <v/>
      </c>
      <c r="J1166" s="17" t="str">
        <f aca="false">IF(A1166="","",IF(COUNTIF(Emplacements!$A$2:$A$1001,A1166)=0,"⚠ emplacement inconnu","OK"))</f>
        <v/>
      </c>
      <c r="K1166" s="22" t="str">
        <f aca="false">IF(AND(B1166&lt;&gt;"",ISNUMBER(SEARCH(Recherche!$C$3,C1166&amp;" "&amp;B1166&amp;" "&amp;A1166&amp;" "&amp;D1166))),MAX($K$1:K1165)+1,"")</f>
        <v/>
      </c>
    </row>
    <row r="1167" customFormat="false" ht="15" hidden="false" customHeight="false" outlineLevel="0" collapsed="false">
      <c r="A1167" s="12"/>
      <c r="B1167" s="12"/>
      <c r="C1167" s="17" t="str">
        <f aca="false">IF(B1167="","",IFERROR(INDEX(Produits!$F$2:$F$1001,MATCH(B1167,Produits!$A$2:$A$1001,0)),"⚠ code article inconnu"))</f>
        <v/>
      </c>
      <c r="D1167" s="12"/>
      <c r="E1167" s="23"/>
      <c r="F1167" s="24"/>
      <c r="G1167" s="23"/>
      <c r="H1167" s="21" t="str">
        <f aca="true">IF(E1167="","",ROUND((E1167-TODAY())/30.4,1))</f>
        <v/>
      </c>
      <c r="I1167" s="17" t="str">
        <f aca="false">IF(E1167="","",IF(H1167&lt;0,IF(LEFT(A1167,1)="Q","Périmé (en quarantaine)","PÉRIMÉ → déplacer en zone Q"),IF(H1167&lt;3,"Péremption &lt; 3 mois",IF(H1167&lt;6,"Péremption &lt; 6 mois",""))))</f>
        <v/>
      </c>
      <c r="J1167" s="17" t="str">
        <f aca="false">IF(A1167="","",IF(COUNTIF(Emplacements!$A$2:$A$1001,A1167)=0,"⚠ emplacement inconnu","OK"))</f>
        <v/>
      </c>
      <c r="K1167" s="22" t="str">
        <f aca="false">IF(AND(B1167&lt;&gt;"",ISNUMBER(SEARCH(Recherche!$C$3,C1167&amp;" "&amp;B1167&amp;" "&amp;A1167&amp;" "&amp;D1167))),MAX($K$1:K1166)+1,"")</f>
        <v/>
      </c>
    </row>
    <row r="1168" customFormat="false" ht="15" hidden="false" customHeight="false" outlineLevel="0" collapsed="false">
      <c r="A1168" s="12"/>
      <c r="B1168" s="12"/>
      <c r="C1168" s="17" t="str">
        <f aca="false">IF(B1168="","",IFERROR(INDEX(Produits!$F$2:$F$1001,MATCH(B1168,Produits!$A$2:$A$1001,0)),"⚠ code article inconnu"))</f>
        <v/>
      </c>
      <c r="D1168" s="12"/>
      <c r="E1168" s="23"/>
      <c r="F1168" s="24"/>
      <c r="G1168" s="23"/>
      <c r="H1168" s="21" t="str">
        <f aca="true">IF(E1168="","",ROUND((E1168-TODAY())/30.4,1))</f>
        <v/>
      </c>
      <c r="I1168" s="17" t="str">
        <f aca="false">IF(E1168="","",IF(H1168&lt;0,IF(LEFT(A1168,1)="Q","Périmé (en quarantaine)","PÉRIMÉ → déplacer en zone Q"),IF(H1168&lt;3,"Péremption &lt; 3 mois",IF(H1168&lt;6,"Péremption &lt; 6 mois",""))))</f>
        <v/>
      </c>
      <c r="J1168" s="17" t="str">
        <f aca="false">IF(A1168="","",IF(COUNTIF(Emplacements!$A$2:$A$1001,A1168)=0,"⚠ emplacement inconnu","OK"))</f>
        <v/>
      </c>
      <c r="K1168" s="22" t="str">
        <f aca="false">IF(AND(B1168&lt;&gt;"",ISNUMBER(SEARCH(Recherche!$C$3,C1168&amp;" "&amp;B1168&amp;" "&amp;A1168&amp;" "&amp;D1168))),MAX($K$1:K1167)+1,"")</f>
        <v/>
      </c>
    </row>
    <row r="1169" customFormat="false" ht="15" hidden="false" customHeight="false" outlineLevel="0" collapsed="false">
      <c r="A1169" s="12"/>
      <c r="B1169" s="12"/>
      <c r="C1169" s="17" t="str">
        <f aca="false">IF(B1169="","",IFERROR(INDEX(Produits!$F$2:$F$1001,MATCH(B1169,Produits!$A$2:$A$1001,0)),"⚠ code article inconnu"))</f>
        <v/>
      </c>
      <c r="D1169" s="12"/>
      <c r="E1169" s="23"/>
      <c r="F1169" s="24"/>
      <c r="G1169" s="23"/>
      <c r="H1169" s="21" t="str">
        <f aca="true">IF(E1169="","",ROUND((E1169-TODAY())/30.4,1))</f>
        <v/>
      </c>
      <c r="I1169" s="17" t="str">
        <f aca="false">IF(E1169="","",IF(H1169&lt;0,IF(LEFT(A1169,1)="Q","Périmé (en quarantaine)","PÉRIMÉ → déplacer en zone Q"),IF(H1169&lt;3,"Péremption &lt; 3 mois",IF(H1169&lt;6,"Péremption &lt; 6 mois",""))))</f>
        <v/>
      </c>
      <c r="J1169" s="17" t="str">
        <f aca="false">IF(A1169="","",IF(COUNTIF(Emplacements!$A$2:$A$1001,A1169)=0,"⚠ emplacement inconnu","OK"))</f>
        <v/>
      </c>
      <c r="K1169" s="22" t="str">
        <f aca="false">IF(AND(B1169&lt;&gt;"",ISNUMBER(SEARCH(Recherche!$C$3,C1169&amp;" "&amp;B1169&amp;" "&amp;A1169&amp;" "&amp;D1169))),MAX($K$1:K1168)+1,"")</f>
        <v/>
      </c>
    </row>
    <row r="1170" customFormat="false" ht="15" hidden="false" customHeight="false" outlineLevel="0" collapsed="false">
      <c r="A1170" s="12"/>
      <c r="B1170" s="12"/>
      <c r="C1170" s="17" t="str">
        <f aca="false">IF(B1170="","",IFERROR(INDEX(Produits!$F$2:$F$1001,MATCH(B1170,Produits!$A$2:$A$1001,0)),"⚠ code article inconnu"))</f>
        <v/>
      </c>
      <c r="D1170" s="12"/>
      <c r="E1170" s="23"/>
      <c r="F1170" s="24"/>
      <c r="G1170" s="23"/>
      <c r="H1170" s="21" t="str">
        <f aca="true">IF(E1170="","",ROUND((E1170-TODAY())/30.4,1))</f>
        <v/>
      </c>
      <c r="I1170" s="17" t="str">
        <f aca="false">IF(E1170="","",IF(H1170&lt;0,IF(LEFT(A1170,1)="Q","Périmé (en quarantaine)","PÉRIMÉ → déplacer en zone Q"),IF(H1170&lt;3,"Péremption &lt; 3 mois",IF(H1170&lt;6,"Péremption &lt; 6 mois",""))))</f>
        <v/>
      </c>
      <c r="J1170" s="17" t="str">
        <f aca="false">IF(A1170="","",IF(COUNTIF(Emplacements!$A$2:$A$1001,A1170)=0,"⚠ emplacement inconnu","OK"))</f>
        <v/>
      </c>
      <c r="K1170" s="22" t="str">
        <f aca="false">IF(AND(B1170&lt;&gt;"",ISNUMBER(SEARCH(Recherche!$C$3,C1170&amp;" "&amp;B1170&amp;" "&amp;A1170&amp;" "&amp;D1170))),MAX($K$1:K1169)+1,"")</f>
        <v/>
      </c>
    </row>
    <row r="1171" customFormat="false" ht="15" hidden="false" customHeight="false" outlineLevel="0" collapsed="false">
      <c r="A1171" s="12"/>
      <c r="B1171" s="12"/>
      <c r="C1171" s="17" t="str">
        <f aca="false">IF(B1171="","",IFERROR(INDEX(Produits!$F$2:$F$1001,MATCH(B1171,Produits!$A$2:$A$1001,0)),"⚠ code article inconnu"))</f>
        <v/>
      </c>
      <c r="D1171" s="12"/>
      <c r="E1171" s="23"/>
      <c r="F1171" s="24"/>
      <c r="G1171" s="23"/>
      <c r="H1171" s="21" t="str">
        <f aca="true">IF(E1171="","",ROUND((E1171-TODAY())/30.4,1))</f>
        <v/>
      </c>
      <c r="I1171" s="17" t="str">
        <f aca="false">IF(E1171="","",IF(H1171&lt;0,IF(LEFT(A1171,1)="Q","Périmé (en quarantaine)","PÉRIMÉ → déplacer en zone Q"),IF(H1171&lt;3,"Péremption &lt; 3 mois",IF(H1171&lt;6,"Péremption &lt; 6 mois",""))))</f>
        <v/>
      </c>
      <c r="J1171" s="17" t="str">
        <f aca="false">IF(A1171="","",IF(COUNTIF(Emplacements!$A$2:$A$1001,A1171)=0,"⚠ emplacement inconnu","OK"))</f>
        <v/>
      </c>
      <c r="K1171" s="22" t="str">
        <f aca="false">IF(AND(B1171&lt;&gt;"",ISNUMBER(SEARCH(Recherche!$C$3,C1171&amp;" "&amp;B1171&amp;" "&amp;A1171&amp;" "&amp;D1171))),MAX($K$1:K1170)+1,"")</f>
        <v/>
      </c>
    </row>
    <row r="1172" customFormat="false" ht="15" hidden="false" customHeight="false" outlineLevel="0" collapsed="false">
      <c r="A1172" s="12"/>
      <c r="B1172" s="12"/>
      <c r="C1172" s="17" t="str">
        <f aca="false">IF(B1172="","",IFERROR(INDEX(Produits!$F$2:$F$1001,MATCH(B1172,Produits!$A$2:$A$1001,0)),"⚠ code article inconnu"))</f>
        <v/>
      </c>
      <c r="D1172" s="12"/>
      <c r="E1172" s="23"/>
      <c r="F1172" s="24"/>
      <c r="G1172" s="23"/>
      <c r="H1172" s="21" t="str">
        <f aca="true">IF(E1172="","",ROUND((E1172-TODAY())/30.4,1))</f>
        <v/>
      </c>
      <c r="I1172" s="17" t="str">
        <f aca="false">IF(E1172="","",IF(H1172&lt;0,IF(LEFT(A1172,1)="Q","Périmé (en quarantaine)","PÉRIMÉ → déplacer en zone Q"),IF(H1172&lt;3,"Péremption &lt; 3 mois",IF(H1172&lt;6,"Péremption &lt; 6 mois",""))))</f>
        <v/>
      </c>
      <c r="J1172" s="17" t="str">
        <f aca="false">IF(A1172="","",IF(COUNTIF(Emplacements!$A$2:$A$1001,A1172)=0,"⚠ emplacement inconnu","OK"))</f>
        <v/>
      </c>
      <c r="K1172" s="22" t="str">
        <f aca="false">IF(AND(B1172&lt;&gt;"",ISNUMBER(SEARCH(Recherche!$C$3,C1172&amp;" "&amp;B1172&amp;" "&amp;A1172&amp;" "&amp;D1172))),MAX($K$1:K1171)+1,"")</f>
        <v/>
      </c>
    </row>
    <row r="1173" customFormat="false" ht="15" hidden="false" customHeight="false" outlineLevel="0" collapsed="false">
      <c r="A1173" s="12"/>
      <c r="B1173" s="12"/>
      <c r="C1173" s="17" t="str">
        <f aca="false">IF(B1173="","",IFERROR(INDEX(Produits!$F$2:$F$1001,MATCH(B1173,Produits!$A$2:$A$1001,0)),"⚠ code article inconnu"))</f>
        <v/>
      </c>
      <c r="D1173" s="12"/>
      <c r="E1173" s="23"/>
      <c r="F1173" s="24"/>
      <c r="G1173" s="23"/>
      <c r="H1173" s="21" t="str">
        <f aca="true">IF(E1173="","",ROUND((E1173-TODAY())/30.4,1))</f>
        <v/>
      </c>
      <c r="I1173" s="17" t="str">
        <f aca="false">IF(E1173="","",IF(H1173&lt;0,IF(LEFT(A1173,1)="Q","Périmé (en quarantaine)","PÉRIMÉ → déplacer en zone Q"),IF(H1173&lt;3,"Péremption &lt; 3 mois",IF(H1173&lt;6,"Péremption &lt; 6 mois",""))))</f>
        <v/>
      </c>
      <c r="J1173" s="17" t="str">
        <f aca="false">IF(A1173="","",IF(COUNTIF(Emplacements!$A$2:$A$1001,A1173)=0,"⚠ emplacement inconnu","OK"))</f>
        <v/>
      </c>
      <c r="K1173" s="22" t="str">
        <f aca="false">IF(AND(B1173&lt;&gt;"",ISNUMBER(SEARCH(Recherche!$C$3,C1173&amp;" "&amp;B1173&amp;" "&amp;A1173&amp;" "&amp;D1173))),MAX($K$1:K1172)+1,"")</f>
        <v/>
      </c>
    </row>
    <row r="1174" customFormat="false" ht="15" hidden="false" customHeight="false" outlineLevel="0" collapsed="false">
      <c r="A1174" s="12"/>
      <c r="B1174" s="12"/>
      <c r="C1174" s="17" t="str">
        <f aca="false">IF(B1174="","",IFERROR(INDEX(Produits!$F$2:$F$1001,MATCH(B1174,Produits!$A$2:$A$1001,0)),"⚠ code article inconnu"))</f>
        <v/>
      </c>
      <c r="D1174" s="12"/>
      <c r="E1174" s="23"/>
      <c r="F1174" s="24"/>
      <c r="G1174" s="23"/>
      <c r="H1174" s="21" t="str">
        <f aca="true">IF(E1174="","",ROUND((E1174-TODAY())/30.4,1))</f>
        <v/>
      </c>
      <c r="I1174" s="17" t="str">
        <f aca="false">IF(E1174="","",IF(H1174&lt;0,IF(LEFT(A1174,1)="Q","Périmé (en quarantaine)","PÉRIMÉ → déplacer en zone Q"),IF(H1174&lt;3,"Péremption &lt; 3 mois",IF(H1174&lt;6,"Péremption &lt; 6 mois",""))))</f>
        <v/>
      </c>
      <c r="J1174" s="17" t="str">
        <f aca="false">IF(A1174="","",IF(COUNTIF(Emplacements!$A$2:$A$1001,A1174)=0,"⚠ emplacement inconnu","OK"))</f>
        <v/>
      </c>
      <c r="K1174" s="22" t="str">
        <f aca="false">IF(AND(B1174&lt;&gt;"",ISNUMBER(SEARCH(Recherche!$C$3,C1174&amp;" "&amp;B1174&amp;" "&amp;A1174&amp;" "&amp;D1174))),MAX($K$1:K1173)+1,"")</f>
        <v/>
      </c>
    </row>
    <row r="1175" customFormat="false" ht="15" hidden="false" customHeight="false" outlineLevel="0" collapsed="false">
      <c r="A1175" s="12"/>
      <c r="B1175" s="12"/>
      <c r="C1175" s="17" t="str">
        <f aca="false">IF(B1175="","",IFERROR(INDEX(Produits!$F$2:$F$1001,MATCH(B1175,Produits!$A$2:$A$1001,0)),"⚠ code article inconnu"))</f>
        <v/>
      </c>
      <c r="D1175" s="12"/>
      <c r="E1175" s="23"/>
      <c r="F1175" s="24"/>
      <c r="G1175" s="23"/>
      <c r="H1175" s="21" t="str">
        <f aca="true">IF(E1175="","",ROUND((E1175-TODAY())/30.4,1))</f>
        <v/>
      </c>
      <c r="I1175" s="17" t="str">
        <f aca="false">IF(E1175="","",IF(H1175&lt;0,IF(LEFT(A1175,1)="Q","Périmé (en quarantaine)","PÉRIMÉ → déplacer en zone Q"),IF(H1175&lt;3,"Péremption &lt; 3 mois",IF(H1175&lt;6,"Péremption &lt; 6 mois",""))))</f>
        <v/>
      </c>
      <c r="J1175" s="17" t="str">
        <f aca="false">IF(A1175="","",IF(COUNTIF(Emplacements!$A$2:$A$1001,A1175)=0,"⚠ emplacement inconnu","OK"))</f>
        <v/>
      </c>
      <c r="K1175" s="22" t="str">
        <f aca="false">IF(AND(B1175&lt;&gt;"",ISNUMBER(SEARCH(Recherche!$C$3,C1175&amp;" "&amp;B1175&amp;" "&amp;A1175&amp;" "&amp;D1175))),MAX($K$1:K1174)+1,"")</f>
        <v/>
      </c>
    </row>
    <row r="1176" customFormat="false" ht="15" hidden="false" customHeight="false" outlineLevel="0" collapsed="false">
      <c r="A1176" s="12"/>
      <c r="B1176" s="12"/>
      <c r="C1176" s="17" t="str">
        <f aca="false">IF(B1176="","",IFERROR(INDEX(Produits!$F$2:$F$1001,MATCH(B1176,Produits!$A$2:$A$1001,0)),"⚠ code article inconnu"))</f>
        <v/>
      </c>
      <c r="D1176" s="12"/>
      <c r="E1176" s="23"/>
      <c r="F1176" s="24"/>
      <c r="G1176" s="23"/>
      <c r="H1176" s="21" t="str">
        <f aca="true">IF(E1176="","",ROUND((E1176-TODAY())/30.4,1))</f>
        <v/>
      </c>
      <c r="I1176" s="17" t="str">
        <f aca="false">IF(E1176="","",IF(H1176&lt;0,IF(LEFT(A1176,1)="Q","Périmé (en quarantaine)","PÉRIMÉ → déplacer en zone Q"),IF(H1176&lt;3,"Péremption &lt; 3 mois",IF(H1176&lt;6,"Péremption &lt; 6 mois",""))))</f>
        <v/>
      </c>
      <c r="J1176" s="17" t="str">
        <f aca="false">IF(A1176="","",IF(COUNTIF(Emplacements!$A$2:$A$1001,A1176)=0,"⚠ emplacement inconnu","OK"))</f>
        <v/>
      </c>
      <c r="K1176" s="22" t="str">
        <f aca="false">IF(AND(B1176&lt;&gt;"",ISNUMBER(SEARCH(Recherche!$C$3,C1176&amp;" "&amp;B1176&amp;" "&amp;A1176&amp;" "&amp;D1176))),MAX($K$1:K1175)+1,"")</f>
        <v/>
      </c>
    </row>
    <row r="1177" customFormat="false" ht="15" hidden="false" customHeight="false" outlineLevel="0" collapsed="false">
      <c r="A1177" s="12"/>
      <c r="B1177" s="12"/>
      <c r="C1177" s="17" t="str">
        <f aca="false">IF(B1177="","",IFERROR(INDEX(Produits!$F$2:$F$1001,MATCH(B1177,Produits!$A$2:$A$1001,0)),"⚠ code article inconnu"))</f>
        <v/>
      </c>
      <c r="D1177" s="12"/>
      <c r="E1177" s="23"/>
      <c r="F1177" s="24"/>
      <c r="G1177" s="23"/>
      <c r="H1177" s="21" t="str">
        <f aca="true">IF(E1177="","",ROUND((E1177-TODAY())/30.4,1))</f>
        <v/>
      </c>
      <c r="I1177" s="17" t="str">
        <f aca="false">IF(E1177="","",IF(H1177&lt;0,IF(LEFT(A1177,1)="Q","Périmé (en quarantaine)","PÉRIMÉ → déplacer en zone Q"),IF(H1177&lt;3,"Péremption &lt; 3 mois",IF(H1177&lt;6,"Péremption &lt; 6 mois",""))))</f>
        <v/>
      </c>
      <c r="J1177" s="17" t="str">
        <f aca="false">IF(A1177="","",IF(COUNTIF(Emplacements!$A$2:$A$1001,A1177)=0,"⚠ emplacement inconnu","OK"))</f>
        <v/>
      </c>
      <c r="K1177" s="22" t="str">
        <f aca="false">IF(AND(B1177&lt;&gt;"",ISNUMBER(SEARCH(Recherche!$C$3,C1177&amp;" "&amp;B1177&amp;" "&amp;A1177&amp;" "&amp;D1177))),MAX($K$1:K1176)+1,"")</f>
        <v/>
      </c>
    </row>
    <row r="1178" customFormat="false" ht="15" hidden="false" customHeight="false" outlineLevel="0" collapsed="false">
      <c r="A1178" s="12"/>
      <c r="B1178" s="12"/>
      <c r="C1178" s="17" t="str">
        <f aca="false">IF(B1178="","",IFERROR(INDEX(Produits!$F$2:$F$1001,MATCH(B1178,Produits!$A$2:$A$1001,0)),"⚠ code article inconnu"))</f>
        <v/>
      </c>
      <c r="D1178" s="12"/>
      <c r="E1178" s="23"/>
      <c r="F1178" s="24"/>
      <c r="G1178" s="23"/>
      <c r="H1178" s="21" t="str">
        <f aca="true">IF(E1178="","",ROUND((E1178-TODAY())/30.4,1))</f>
        <v/>
      </c>
      <c r="I1178" s="17" t="str">
        <f aca="false">IF(E1178="","",IF(H1178&lt;0,IF(LEFT(A1178,1)="Q","Périmé (en quarantaine)","PÉRIMÉ → déplacer en zone Q"),IF(H1178&lt;3,"Péremption &lt; 3 mois",IF(H1178&lt;6,"Péremption &lt; 6 mois",""))))</f>
        <v/>
      </c>
      <c r="J1178" s="17" t="str">
        <f aca="false">IF(A1178="","",IF(COUNTIF(Emplacements!$A$2:$A$1001,A1178)=0,"⚠ emplacement inconnu","OK"))</f>
        <v/>
      </c>
      <c r="K1178" s="22" t="str">
        <f aca="false">IF(AND(B1178&lt;&gt;"",ISNUMBER(SEARCH(Recherche!$C$3,C1178&amp;" "&amp;B1178&amp;" "&amp;A1178&amp;" "&amp;D1178))),MAX($K$1:K1177)+1,"")</f>
        <v/>
      </c>
    </row>
    <row r="1179" customFormat="false" ht="15" hidden="false" customHeight="false" outlineLevel="0" collapsed="false">
      <c r="A1179" s="12"/>
      <c r="B1179" s="12"/>
      <c r="C1179" s="17" t="str">
        <f aca="false">IF(B1179="","",IFERROR(INDEX(Produits!$F$2:$F$1001,MATCH(B1179,Produits!$A$2:$A$1001,0)),"⚠ code article inconnu"))</f>
        <v/>
      </c>
      <c r="D1179" s="12"/>
      <c r="E1179" s="23"/>
      <c r="F1179" s="24"/>
      <c r="G1179" s="23"/>
      <c r="H1179" s="21" t="str">
        <f aca="true">IF(E1179="","",ROUND((E1179-TODAY())/30.4,1))</f>
        <v/>
      </c>
      <c r="I1179" s="17" t="str">
        <f aca="false">IF(E1179="","",IF(H1179&lt;0,IF(LEFT(A1179,1)="Q","Périmé (en quarantaine)","PÉRIMÉ → déplacer en zone Q"),IF(H1179&lt;3,"Péremption &lt; 3 mois",IF(H1179&lt;6,"Péremption &lt; 6 mois",""))))</f>
        <v/>
      </c>
      <c r="J1179" s="17" t="str">
        <f aca="false">IF(A1179="","",IF(COUNTIF(Emplacements!$A$2:$A$1001,A1179)=0,"⚠ emplacement inconnu","OK"))</f>
        <v/>
      </c>
      <c r="K1179" s="22" t="str">
        <f aca="false">IF(AND(B1179&lt;&gt;"",ISNUMBER(SEARCH(Recherche!$C$3,C1179&amp;" "&amp;B1179&amp;" "&amp;A1179&amp;" "&amp;D1179))),MAX($K$1:K1178)+1,"")</f>
        <v/>
      </c>
    </row>
    <row r="1180" customFormat="false" ht="15" hidden="false" customHeight="false" outlineLevel="0" collapsed="false">
      <c r="A1180" s="12"/>
      <c r="B1180" s="12"/>
      <c r="C1180" s="17" t="str">
        <f aca="false">IF(B1180="","",IFERROR(INDEX(Produits!$F$2:$F$1001,MATCH(B1180,Produits!$A$2:$A$1001,0)),"⚠ code article inconnu"))</f>
        <v/>
      </c>
      <c r="D1180" s="12"/>
      <c r="E1180" s="23"/>
      <c r="F1180" s="24"/>
      <c r="G1180" s="23"/>
      <c r="H1180" s="21" t="str">
        <f aca="true">IF(E1180="","",ROUND((E1180-TODAY())/30.4,1))</f>
        <v/>
      </c>
      <c r="I1180" s="17" t="str">
        <f aca="false">IF(E1180="","",IF(H1180&lt;0,IF(LEFT(A1180,1)="Q","Périmé (en quarantaine)","PÉRIMÉ → déplacer en zone Q"),IF(H1180&lt;3,"Péremption &lt; 3 mois",IF(H1180&lt;6,"Péremption &lt; 6 mois",""))))</f>
        <v/>
      </c>
      <c r="J1180" s="17" t="str">
        <f aca="false">IF(A1180="","",IF(COUNTIF(Emplacements!$A$2:$A$1001,A1180)=0,"⚠ emplacement inconnu","OK"))</f>
        <v/>
      </c>
      <c r="K1180" s="22" t="str">
        <f aca="false">IF(AND(B1180&lt;&gt;"",ISNUMBER(SEARCH(Recherche!$C$3,C1180&amp;" "&amp;B1180&amp;" "&amp;A1180&amp;" "&amp;D1180))),MAX($K$1:K1179)+1,"")</f>
        <v/>
      </c>
    </row>
    <row r="1181" customFormat="false" ht="15" hidden="false" customHeight="false" outlineLevel="0" collapsed="false">
      <c r="A1181" s="12"/>
      <c r="B1181" s="12"/>
      <c r="C1181" s="17" t="str">
        <f aca="false">IF(B1181="","",IFERROR(INDEX(Produits!$F$2:$F$1001,MATCH(B1181,Produits!$A$2:$A$1001,0)),"⚠ code article inconnu"))</f>
        <v/>
      </c>
      <c r="D1181" s="12"/>
      <c r="E1181" s="23"/>
      <c r="F1181" s="24"/>
      <c r="G1181" s="23"/>
      <c r="H1181" s="21" t="str">
        <f aca="true">IF(E1181="","",ROUND((E1181-TODAY())/30.4,1))</f>
        <v/>
      </c>
      <c r="I1181" s="17" t="str">
        <f aca="false">IF(E1181="","",IF(H1181&lt;0,IF(LEFT(A1181,1)="Q","Périmé (en quarantaine)","PÉRIMÉ → déplacer en zone Q"),IF(H1181&lt;3,"Péremption &lt; 3 mois",IF(H1181&lt;6,"Péremption &lt; 6 mois",""))))</f>
        <v/>
      </c>
      <c r="J1181" s="17" t="str">
        <f aca="false">IF(A1181="","",IF(COUNTIF(Emplacements!$A$2:$A$1001,A1181)=0,"⚠ emplacement inconnu","OK"))</f>
        <v/>
      </c>
      <c r="K1181" s="22" t="str">
        <f aca="false">IF(AND(B1181&lt;&gt;"",ISNUMBER(SEARCH(Recherche!$C$3,C1181&amp;" "&amp;B1181&amp;" "&amp;A1181&amp;" "&amp;D1181))),MAX($K$1:K1180)+1,"")</f>
        <v/>
      </c>
    </row>
    <row r="1182" customFormat="false" ht="15" hidden="false" customHeight="false" outlineLevel="0" collapsed="false">
      <c r="A1182" s="12"/>
      <c r="B1182" s="12"/>
      <c r="C1182" s="17" t="str">
        <f aca="false">IF(B1182="","",IFERROR(INDEX(Produits!$F$2:$F$1001,MATCH(B1182,Produits!$A$2:$A$1001,0)),"⚠ code article inconnu"))</f>
        <v/>
      </c>
      <c r="D1182" s="12"/>
      <c r="E1182" s="23"/>
      <c r="F1182" s="24"/>
      <c r="G1182" s="23"/>
      <c r="H1182" s="21" t="str">
        <f aca="true">IF(E1182="","",ROUND((E1182-TODAY())/30.4,1))</f>
        <v/>
      </c>
      <c r="I1182" s="17" t="str">
        <f aca="false">IF(E1182="","",IF(H1182&lt;0,IF(LEFT(A1182,1)="Q","Périmé (en quarantaine)","PÉRIMÉ → déplacer en zone Q"),IF(H1182&lt;3,"Péremption &lt; 3 mois",IF(H1182&lt;6,"Péremption &lt; 6 mois",""))))</f>
        <v/>
      </c>
      <c r="J1182" s="17" t="str">
        <f aca="false">IF(A1182="","",IF(COUNTIF(Emplacements!$A$2:$A$1001,A1182)=0,"⚠ emplacement inconnu","OK"))</f>
        <v/>
      </c>
      <c r="K1182" s="22" t="str">
        <f aca="false">IF(AND(B1182&lt;&gt;"",ISNUMBER(SEARCH(Recherche!$C$3,C1182&amp;" "&amp;B1182&amp;" "&amp;A1182&amp;" "&amp;D1182))),MAX($K$1:K1181)+1,"")</f>
        <v/>
      </c>
    </row>
    <row r="1183" customFormat="false" ht="15" hidden="false" customHeight="false" outlineLevel="0" collapsed="false">
      <c r="A1183" s="12"/>
      <c r="B1183" s="12"/>
      <c r="C1183" s="17" t="str">
        <f aca="false">IF(B1183="","",IFERROR(INDEX(Produits!$F$2:$F$1001,MATCH(B1183,Produits!$A$2:$A$1001,0)),"⚠ code article inconnu"))</f>
        <v/>
      </c>
      <c r="D1183" s="12"/>
      <c r="E1183" s="23"/>
      <c r="F1183" s="24"/>
      <c r="G1183" s="23"/>
      <c r="H1183" s="21" t="str">
        <f aca="true">IF(E1183="","",ROUND((E1183-TODAY())/30.4,1))</f>
        <v/>
      </c>
      <c r="I1183" s="17" t="str">
        <f aca="false">IF(E1183="","",IF(H1183&lt;0,IF(LEFT(A1183,1)="Q","Périmé (en quarantaine)","PÉRIMÉ → déplacer en zone Q"),IF(H1183&lt;3,"Péremption &lt; 3 mois",IF(H1183&lt;6,"Péremption &lt; 6 mois",""))))</f>
        <v/>
      </c>
      <c r="J1183" s="17" t="str">
        <f aca="false">IF(A1183="","",IF(COUNTIF(Emplacements!$A$2:$A$1001,A1183)=0,"⚠ emplacement inconnu","OK"))</f>
        <v/>
      </c>
      <c r="K1183" s="22" t="str">
        <f aca="false">IF(AND(B1183&lt;&gt;"",ISNUMBER(SEARCH(Recherche!$C$3,C1183&amp;" "&amp;B1183&amp;" "&amp;A1183&amp;" "&amp;D1183))),MAX($K$1:K1182)+1,"")</f>
        <v/>
      </c>
    </row>
    <row r="1184" customFormat="false" ht="15" hidden="false" customHeight="false" outlineLevel="0" collapsed="false">
      <c r="A1184" s="12"/>
      <c r="B1184" s="12"/>
      <c r="C1184" s="17" t="str">
        <f aca="false">IF(B1184="","",IFERROR(INDEX(Produits!$F$2:$F$1001,MATCH(B1184,Produits!$A$2:$A$1001,0)),"⚠ code article inconnu"))</f>
        <v/>
      </c>
      <c r="D1184" s="12"/>
      <c r="E1184" s="23"/>
      <c r="F1184" s="24"/>
      <c r="G1184" s="23"/>
      <c r="H1184" s="21" t="str">
        <f aca="true">IF(E1184="","",ROUND((E1184-TODAY())/30.4,1))</f>
        <v/>
      </c>
      <c r="I1184" s="17" t="str">
        <f aca="false">IF(E1184="","",IF(H1184&lt;0,IF(LEFT(A1184,1)="Q","Périmé (en quarantaine)","PÉRIMÉ → déplacer en zone Q"),IF(H1184&lt;3,"Péremption &lt; 3 mois",IF(H1184&lt;6,"Péremption &lt; 6 mois",""))))</f>
        <v/>
      </c>
      <c r="J1184" s="17" t="str">
        <f aca="false">IF(A1184="","",IF(COUNTIF(Emplacements!$A$2:$A$1001,A1184)=0,"⚠ emplacement inconnu","OK"))</f>
        <v/>
      </c>
      <c r="K1184" s="22" t="str">
        <f aca="false">IF(AND(B1184&lt;&gt;"",ISNUMBER(SEARCH(Recherche!$C$3,C1184&amp;" "&amp;B1184&amp;" "&amp;A1184&amp;" "&amp;D1184))),MAX($K$1:K1183)+1,"")</f>
        <v/>
      </c>
    </row>
    <row r="1185" customFormat="false" ht="15" hidden="false" customHeight="false" outlineLevel="0" collapsed="false">
      <c r="A1185" s="12"/>
      <c r="B1185" s="12"/>
      <c r="C1185" s="17" t="str">
        <f aca="false">IF(B1185="","",IFERROR(INDEX(Produits!$F$2:$F$1001,MATCH(B1185,Produits!$A$2:$A$1001,0)),"⚠ code article inconnu"))</f>
        <v/>
      </c>
      <c r="D1185" s="12"/>
      <c r="E1185" s="23"/>
      <c r="F1185" s="24"/>
      <c r="G1185" s="23"/>
      <c r="H1185" s="21" t="str">
        <f aca="true">IF(E1185="","",ROUND((E1185-TODAY())/30.4,1))</f>
        <v/>
      </c>
      <c r="I1185" s="17" t="str">
        <f aca="false">IF(E1185="","",IF(H1185&lt;0,IF(LEFT(A1185,1)="Q","Périmé (en quarantaine)","PÉRIMÉ → déplacer en zone Q"),IF(H1185&lt;3,"Péremption &lt; 3 mois",IF(H1185&lt;6,"Péremption &lt; 6 mois",""))))</f>
        <v/>
      </c>
      <c r="J1185" s="17" t="str">
        <f aca="false">IF(A1185="","",IF(COUNTIF(Emplacements!$A$2:$A$1001,A1185)=0,"⚠ emplacement inconnu","OK"))</f>
        <v/>
      </c>
      <c r="K1185" s="22" t="str">
        <f aca="false">IF(AND(B1185&lt;&gt;"",ISNUMBER(SEARCH(Recherche!$C$3,C1185&amp;" "&amp;B1185&amp;" "&amp;A1185&amp;" "&amp;D1185))),MAX($K$1:K1184)+1,"")</f>
        <v/>
      </c>
    </row>
    <row r="1186" customFormat="false" ht="15" hidden="false" customHeight="false" outlineLevel="0" collapsed="false">
      <c r="A1186" s="12"/>
      <c r="B1186" s="12"/>
      <c r="C1186" s="17" t="str">
        <f aca="false">IF(B1186="","",IFERROR(INDEX(Produits!$F$2:$F$1001,MATCH(B1186,Produits!$A$2:$A$1001,0)),"⚠ code article inconnu"))</f>
        <v/>
      </c>
      <c r="D1186" s="12"/>
      <c r="E1186" s="23"/>
      <c r="F1186" s="24"/>
      <c r="G1186" s="23"/>
      <c r="H1186" s="21" t="str">
        <f aca="true">IF(E1186="","",ROUND((E1186-TODAY())/30.4,1))</f>
        <v/>
      </c>
      <c r="I1186" s="17" t="str">
        <f aca="false">IF(E1186="","",IF(H1186&lt;0,IF(LEFT(A1186,1)="Q","Périmé (en quarantaine)","PÉRIMÉ → déplacer en zone Q"),IF(H1186&lt;3,"Péremption &lt; 3 mois",IF(H1186&lt;6,"Péremption &lt; 6 mois",""))))</f>
        <v/>
      </c>
      <c r="J1186" s="17" t="str">
        <f aca="false">IF(A1186="","",IF(COUNTIF(Emplacements!$A$2:$A$1001,A1186)=0,"⚠ emplacement inconnu","OK"))</f>
        <v/>
      </c>
      <c r="K1186" s="22" t="str">
        <f aca="false">IF(AND(B1186&lt;&gt;"",ISNUMBER(SEARCH(Recherche!$C$3,C1186&amp;" "&amp;B1186&amp;" "&amp;A1186&amp;" "&amp;D1186))),MAX($K$1:K1185)+1,"")</f>
        <v/>
      </c>
    </row>
    <row r="1187" customFormat="false" ht="15" hidden="false" customHeight="false" outlineLevel="0" collapsed="false">
      <c r="A1187" s="12"/>
      <c r="B1187" s="12"/>
      <c r="C1187" s="17" t="str">
        <f aca="false">IF(B1187="","",IFERROR(INDEX(Produits!$F$2:$F$1001,MATCH(B1187,Produits!$A$2:$A$1001,0)),"⚠ code article inconnu"))</f>
        <v/>
      </c>
      <c r="D1187" s="12"/>
      <c r="E1187" s="23"/>
      <c r="F1187" s="24"/>
      <c r="G1187" s="23"/>
      <c r="H1187" s="21" t="str">
        <f aca="true">IF(E1187="","",ROUND((E1187-TODAY())/30.4,1))</f>
        <v/>
      </c>
      <c r="I1187" s="17" t="str">
        <f aca="false">IF(E1187="","",IF(H1187&lt;0,IF(LEFT(A1187,1)="Q","Périmé (en quarantaine)","PÉRIMÉ → déplacer en zone Q"),IF(H1187&lt;3,"Péremption &lt; 3 mois",IF(H1187&lt;6,"Péremption &lt; 6 mois",""))))</f>
        <v/>
      </c>
      <c r="J1187" s="17" t="str">
        <f aca="false">IF(A1187="","",IF(COUNTIF(Emplacements!$A$2:$A$1001,A1187)=0,"⚠ emplacement inconnu","OK"))</f>
        <v/>
      </c>
      <c r="K1187" s="22" t="str">
        <f aca="false">IF(AND(B1187&lt;&gt;"",ISNUMBER(SEARCH(Recherche!$C$3,C1187&amp;" "&amp;B1187&amp;" "&amp;A1187&amp;" "&amp;D1187))),MAX($K$1:K1186)+1,"")</f>
        <v/>
      </c>
    </row>
    <row r="1188" customFormat="false" ht="15" hidden="false" customHeight="false" outlineLevel="0" collapsed="false">
      <c r="A1188" s="12"/>
      <c r="B1188" s="12"/>
      <c r="C1188" s="17" t="str">
        <f aca="false">IF(B1188="","",IFERROR(INDEX(Produits!$F$2:$F$1001,MATCH(B1188,Produits!$A$2:$A$1001,0)),"⚠ code article inconnu"))</f>
        <v/>
      </c>
      <c r="D1188" s="12"/>
      <c r="E1188" s="23"/>
      <c r="F1188" s="24"/>
      <c r="G1188" s="23"/>
      <c r="H1188" s="21" t="str">
        <f aca="true">IF(E1188="","",ROUND((E1188-TODAY())/30.4,1))</f>
        <v/>
      </c>
      <c r="I1188" s="17" t="str">
        <f aca="false">IF(E1188="","",IF(H1188&lt;0,IF(LEFT(A1188,1)="Q","Périmé (en quarantaine)","PÉRIMÉ → déplacer en zone Q"),IF(H1188&lt;3,"Péremption &lt; 3 mois",IF(H1188&lt;6,"Péremption &lt; 6 mois",""))))</f>
        <v/>
      </c>
      <c r="J1188" s="17" t="str">
        <f aca="false">IF(A1188="","",IF(COUNTIF(Emplacements!$A$2:$A$1001,A1188)=0,"⚠ emplacement inconnu","OK"))</f>
        <v/>
      </c>
      <c r="K1188" s="22" t="str">
        <f aca="false">IF(AND(B1188&lt;&gt;"",ISNUMBER(SEARCH(Recherche!$C$3,C1188&amp;" "&amp;B1188&amp;" "&amp;A1188&amp;" "&amp;D1188))),MAX($K$1:K1187)+1,"")</f>
        <v/>
      </c>
    </row>
    <row r="1189" customFormat="false" ht="15" hidden="false" customHeight="false" outlineLevel="0" collapsed="false">
      <c r="A1189" s="12"/>
      <c r="B1189" s="12"/>
      <c r="C1189" s="17" t="str">
        <f aca="false">IF(B1189="","",IFERROR(INDEX(Produits!$F$2:$F$1001,MATCH(B1189,Produits!$A$2:$A$1001,0)),"⚠ code article inconnu"))</f>
        <v/>
      </c>
      <c r="D1189" s="12"/>
      <c r="E1189" s="23"/>
      <c r="F1189" s="24"/>
      <c r="G1189" s="23"/>
      <c r="H1189" s="21" t="str">
        <f aca="true">IF(E1189="","",ROUND((E1189-TODAY())/30.4,1))</f>
        <v/>
      </c>
      <c r="I1189" s="17" t="str">
        <f aca="false">IF(E1189="","",IF(H1189&lt;0,IF(LEFT(A1189,1)="Q","Périmé (en quarantaine)","PÉRIMÉ → déplacer en zone Q"),IF(H1189&lt;3,"Péremption &lt; 3 mois",IF(H1189&lt;6,"Péremption &lt; 6 mois",""))))</f>
        <v/>
      </c>
      <c r="J1189" s="17" t="str">
        <f aca="false">IF(A1189="","",IF(COUNTIF(Emplacements!$A$2:$A$1001,A1189)=0,"⚠ emplacement inconnu","OK"))</f>
        <v/>
      </c>
      <c r="K1189" s="22" t="str">
        <f aca="false">IF(AND(B1189&lt;&gt;"",ISNUMBER(SEARCH(Recherche!$C$3,C1189&amp;" "&amp;B1189&amp;" "&amp;A1189&amp;" "&amp;D1189))),MAX($K$1:K1188)+1,"")</f>
        <v/>
      </c>
    </row>
    <row r="1190" customFormat="false" ht="15" hidden="false" customHeight="false" outlineLevel="0" collapsed="false">
      <c r="A1190" s="12"/>
      <c r="B1190" s="12"/>
      <c r="C1190" s="17" t="str">
        <f aca="false">IF(B1190="","",IFERROR(INDEX(Produits!$F$2:$F$1001,MATCH(B1190,Produits!$A$2:$A$1001,0)),"⚠ code article inconnu"))</f>
        <v/>
      </c>
      <c r="D1190" s="12"/>
      <c r="E1190" s="23"/>
      <c r="F1190" s="24"/>
      <c r="G1190" s="23"/>
      <c r="H1190" s="21" t="str">
        <f aca="true">IF(E1190="","",ROUND((E1190-TODAY())/30.4,1))</f>
        <v/>
      </c>
      <c r="I1190" s="17" t="str">
        <f aca="false">IF(E1190="","",IF(H1190&lt;0,IF(LEFT(A1190,1)="Q","Périmé (en quarantaine)","PÉRIMÉ → déplacer en zone Q"),IF(H1190&lt;3,"Péremption &lt; 3 mois",IF(H1190&lt;6,"Péremption &lt; 6 mois",""))))</f>
        <v/>
      </c>
      <c r="J1190" s="17" t="str">
        <f aca="false">IF(A1190="","",IF(COUNTIF(Emplacements!$A$2:$A$1001,A1190)=0,"⚠ emplacement inconnu","OK"))</f>
        <v/>
      </c>
      <c r="K1190" s="22" t="str">
        <f aca="false">IF(AND(B1190&lt;&gt;"",ISNUMBER(SEARCH(Recherche!$C$3,C1190&amp;" "&amp;B1190&amp;" "&amp;A1190&amp;" "&amp;D1190))),MAX($K$1:K1189)+1,"")</f>
        <v/>
      </c>
    </row>
    <row r="1191" customFormat="false" ht="15" hidden="false" customHeight="false" outlineLevel="0" collapsed="false">
      <c r="A1191" s="12"/>
      <c r="B1191" s="12"/>
      <c r="C1191" s="17" t="str">
        <f aca="false">IF(B1191="","",IFERROR(INDEX(Produits!$F$2:$F$1001,MATCH(B1191,Produits!$A$2:$A$1001,0)),"⚠ code article inconnu"))</f>
        <v/>
      </c>
      <c r="D1191" s="12"/>
      <c r="E1191" s="23"/>
      <c r="F1191" s="24"/>
      <c r="G1191" s="23"/>
      <c r="H1191" s="21" t="str">
        <f aca="true">IF(E1191="","",ROUND((E1191-TODAY())/30.4,1))</f>
        <v/>
      </c>
      <c r="I1191" s="17" t="str">
        <f aca="false">IF(E1191="","",IF(H1191&lt;0,IF(LEFT(A1191,1)="Q","Périmé (en quarantaine)","PÉRIMÉ → déplacer en zone Q"),IF(H1191&lt;3,"Péremption &lt; 3 mois",IF(H1191&lt;6,"Péremption &lt; 6 mois",""))))</f>
        <v/>
      </c>
      <c r="J1191" s="17" t="str">
        <f aca="false">IF(A1191="","",IF(COUNTIF(Emplacements!$A$2:$A$1001,A1191)=0,"⚠ emplacement inconnu","OK"))</f>
        <v/>
      </c>
      <c r="K1191" s="22" t="str">
        <f aca="false">IF(AND(B1191&lt;&gt;"",ISNUMBER(SEARCH(Recherche!$C$3,C1191&amp;" "&amp;B1191&amp;" "&amp;A1191&amp;" "&amp;D1191))),MAX($K$1:K1190)+1,"")</f>
        <v/>
      </c>
    </row>
    <row r="1192" customFormat="false" ht="15" hidden="false" customHeight="false" outlineLevel="0" collapsed="false">
      <c r="A1192" s="12"/>
      <c r="B1192" s="12"/>
      <c r="C1192" s="17" t="str">
        <f aca="false">IF(B1192="","",IFERROR(INDEX(Produits!$F$2:$F$1001,MATCH(B1192,Produits!$A$2:$A$1001,0)),"⚠ code article inconnu"))</f>
        <v/>
      </c>
      <c r="D1192" s="12"/>
      <c r="E1192" s="23"/>
      <c r="F1192" s="24"/>
      <c r="G1192" s="23"/>
      <c r="H1192" s="21" t="str">
        <f aca="true">IF(E1192="","",ROUND((E1192-TODAY())/30.4,1))</f>
        <v/>
      </c>
      <c r="I1192" s="17" t="str">
        <f aca="false">IF(E1192="","",IF(H1192&lt;0,IF(LEFT(A1192,1)="Q","Périmé (en quarantaine)","PÉRIMÉ → déplacer en zone Q"),IF(H1192&lt;3,"Péremption &lt; 3 mois",IF(H1192&lt;6,"Péremption &lt; 6 mois",""))))</f>
        <v/>
      </c>
      <c r="J1192" s="17" t="str">
        <f aca="false">IF(A1192="","",IF(COUNTIF(Emplacements!$A$2:$A$1001,A1192)=0,"⚠ emplacement inconnu","OK"))</f>
        <v/>
      </c>
      <c r="K1192" s="22" t="str">
        <f aca="false">IF(AND(B1192&lt;&gt;"",ISNUMBER(SEARCH(Recherche!$C$3,C1192&amp;" "&amp;B1192&amp;" "&amp;A1192&amp;" "&amp;D1192))),MAX($K$1:K1191)+1,"")</f>
        <v/>
      </c>
    </row>
    <row r="1193" customFormat="false" ht="15" hidden="false" customHeight="false" outlineLevel="0" collapsed="false">
      <c r="A1193" s="12"/>
      <c r="B1193" s="12"/>
      <c r="C1193" s="17" t="str">
        <f aca="false">IF(B1193="","",IFERROR(INDEX(Produits!$F$2:$F$1001,MATCH(B1193,Produits!$A$2:$A$1001,0)),"⚠ code article inconnu"))</f>
        <v/>
      </c>
      <c r="D1193" s="12"/>
      <c r="E1193" s="23"/>
      <c r="F1193" s="24"/>
      <c r="G1193" s="23"/>
      <c r="H1193" s="21" t="str">
        <f aca="true">IF(E1193="","",ROUND((E1193-TODAY())/30.4,1))</f>
        <v/>
      </c>
      <c r="I1193" s="17" t="str">
        <f aca="false">IF(E1193="","",IF(H1193&lt;0,IF(LEFT(A1193,1)="Q","Périmé (en quarantaine)","PÉRIMÉ → déplacer en zone Q"),IF(H1193&lt;3,"Péremption &lt; 3 mois",IF(H1193&lt;6,"Péremption &lt; 6 mois",""))))</f>
        <v/>
      </c>
      <c r="J1193" s="17" t="str">
        <f aca="false">IF(A1193="","",IF(COUNTIF(Emplacements!$A$2:$A$1001,A1193)=0,"⚠ emplacement inconnu","OK"))</f>
        <v/>
      </c>
      <c r="K1193" s="22" t="str">
        <f aca="false">IF(AND(B1193&lt;&gt;"",ISNUMBER(SEARCH(Recherche!$C$3,C1193&amp;" "&amp;B1193&amp;" "&amp;A1193&amp;" "&amp;D1193))),MAX($K$1:K1192)+1,"")</f>
        <v/>
      </c>
    </row>
    <row r="1194" customFormat="false" ht="15" hidden="false" customHeight="false" outlineLevel="0" collapsed="false">
      <c r="A1194" s="12"/>
      <c r="B1194" s="12"/>
      <c r="C1194" s="17" t="str">
        <f aca="false">IF(B1194="","",IFERROR(INDEX(Produits!$F$2:$F$1001,MATCH(B1194,Produits!$A$2:$A$1001,0)),"⚠ code article inconnu"))</f>
        <v/>
      </c>
      <c r="D1194" s="12"/>
      <c r="E1194" s="23"/>
      <c r="F1194" s="24"/>
      <c r="G1194" s="23"/>
      <c r="H1194" s="21" t="str">
        <f aca="true">IF(E1194="","",ROUND((E1194-TODAY())/30.4,1))</f>
        <v/>
      </c>
      <c r="I1194" s="17" t="str">
        <f aca="false">IF(E1194="","",IF(H1194&lt;0,IF(LEFT(A1194,1)="Q","Périmé (en quarantaine)","PÉRIMÉ → déplacer en zone Q"),IF(H1194&lt;3,"Péremption &lt; 3 mois",IF(H1194&lt;6,"Péremption &lt; 6 mois",""))))</f>
        <v/>
      </c>
      <c r="J1194" s="17" t="str">
        <f aca="false">IF(A1194="","",IF(COUNTIF(Emplacements!$A$2:$A$1001,A1194)=0,"⚠ emplacement inconnu","OK"))</f>
        <v/>
      </c>
      <c r="K1194" s="22" t="str">
        <f aca="false">IF(AND(B1194&lt;&gt;"",ISNUMBER(SEARCH(Recherche!$C$3,C1194&amp;" "&amp;B1194&amp;" "&amp;A1194&amp;" "&amp;D1194))),MAX($K$1:K1193)+1,"")</f>
        <v/>
      </c>
    </row>
    <row r="1195" customFormat="false" ht="15" hidden="false" customHeight="false" outlineLevel="0" collapsed="false">
      <c r="A1195" s="12"/>
      <c r="B1195" s="12"/>
      <c r="C1195" s="17" t="str">
        <f aca="false">IF(B1195="","",IFERROR(INDEX(Produits!$F$2:$F$1001,MATCH(B1195,Produits!$A$2:$A$1001,0)),"⚠ code article inconnu"))</f>
        <v/>
      </c>
      <c r="D1195" s="12"/>
      <c r="E1195" s="23"/>
      <c r="F1195" s="24"/>
      <c r="G1195" s="23"/>
      <c r="H1195" s="21" t="str">
        <f aca="true">IF(E1195="","",ROUND((E1195-TODAY())/30.4,1))</f>
        <v/>
      </c>
      <c r="I1195" s="17" t="str">
        <f aca="false">IF(E1195="","",IF(H1195&lt;0,IF(LEFT(A1195,1)="Q","Périmé (en quarantaine)","PÉRIMÉ → déplacer en zone Q"),IF(H1195&lt;3,"Péremption &lt; 3 mois",IF(H1195&lt;6,"Péremption &lt; 6 mois",""))))</f>
        <v/>
      </c>
      <c r="J1195" s="17" t="str">
        <f aca="false">IF(A1195="","",IF(COUNTIF(Emplacements!$A$2:$A$1001,A1195)=0,"⚠ emplacement inconnu","OK"))</f>
        <v/>
      </c>
      <c r="K1195" s="22" t="str">
        <f aca="false">IF(AND(B1195&lt;&gt;"",ISNUMBER(SEARCH(Recherche!$C$3,C1195&amp;" "&amp;B1195&amp;" "&amp;A1195&amp;" "&amp;D1195))),MAX($K$1:K1194)+1,"")</f>
        <v/>
      </c>
    </row>
    <row r="1196" customFormat="false" ht="15" hidden="false" customHeight="false" outlineLevel="0" collapsed="false">
      <c r="A1196" s="12"/>
      <c r="B1196" s="12"/>
      <c r="C1196" s="17" t="str">
        <f aca="false">IF(B1196="","",IFERROR(INDEX(Produits!$F$2:$F$1001,MATCH(B1196,Produits!$A$2:$A$1001,0)),"⚠ code article inconnu"))</f>
        <v/>
      </c>
      <c r="D1196" s="12"/>
      <c r="E1196" s="23"/>
      <c r="F1196" s="24"/>
      <c r="G1196" s="23"/>
      <c r="H1196" s="21" t="str">
        <f aca="true">IF(E1196="","",ROUND((E1196-TODAY())/30.4,1))</f>
        <v/>
      </c>
      <c r="I1196" s="17" t="str">
        <f aca="false">IF(E1196="","",IF(H1196&lt;0,IF(LEFT(A1196,1)="Q","Périmé (en quarantaine)","PÉRIMÉ → déplacer en zone Q"),IF(H1196&lt;3,"Péremption &lt; 3 mois",IF(H1196&lt;6,"Péremption &lt; 6 mois",""))))</f>
        <v/>
      </c>
      <c r="J1196" s="17" t="str">
        <f aca="false">IF(A1196="","",IF(COUNTIF(Emplacements!$A$2:$A$1001,A1196)=0,"⚠ emplacement inconnu","OK"))</f>
        <v/>
      </c>
      <c r="K1196" s="22" t="str">
        <f aca="false">IF(AND(B1196&lt;&gt;"",ISNUMBER(SEARCH(Recherche!$C$3,C1196&amp;" "&amp;B1196&amp;" "&amp;A1196&amp;" "&amp;D1196))),MAX($K$1:K1195)+1,"")</f>
        <v/>
      </c>
    </row>
    <row r="1197" customFormat="false" ht="15" hidden="false" customHeight="false" outlineLevel="0" collapsed="false">
      <c r="A1197" s="12"/>
      <c r="B1197" s="12"/>
      <c r="C1197" s="17" t="str">
        <f aca="false">IF(B1197="","",IFERROR(INDEX(Produits!$F$2:$F$1001,MATCH(B1197,Produits!$A$2:$A$1001,0)),"⚠ code article inconnu"))</f>
        <v/>
      </c>
      <c r="D1197" s="12"/>
      <c r="E1197" s="23"/>
      <c r="F1197" s="24"/>
      <c r="G1197" s="23"/>
      <c r="H1197" s="21" t="str">
        <f aca="true">IF(E1197="","",ROUND((E1197-TODAY())/30.4,1))</f>
        <v/>
      </c>
      <c r="I1197" s="17" t="str">
        <f aca="false">IF(E1197="","",IF(H1197&lt;0,IF(LEFT(A1197,1)="Q","Périmé (en quarantaine)","PÉRIMÉ → déplacer en zone Q"),IF(H1197&lt;3,"Péremption &lt; 3 mois",IF(H1197&lt;6,"Péremption &lt; 6 mois",""))))</f>
        <v/>
      </c>
      <c r="J1197" s="17" t="str">
        <f aca="false">IF(A1197="","",IF(COUNTIF(Emplacements!$A$2:$A$1001,A1197)=0,"⚠ emplacement inconnu","OK"))</f>
        <v/>
      </c>
      <c r="K1197" s="22" t="str">
        <f aca="false">IF(AND(B1197&lt;&gt;"",ISNUMBER(SEARCH(Recherche!$C$3,C1197&amp;" "&amp;B1197&amp;" "&amp;A1197&amp;" "&amp;D1197))),MAX($K$1:K1196)+1,"")</f>
        <v/>
      </c>
    </row>
    <row r="1198" customFormat="false" ht="15" hidden="false" customHeight="false" outlineLevel="0" collapsed="false">
      <c r="A1198" s="12"/>
      <c r="B1198" s="12"/>
      <c r="C1198" s="17" t="str">
        <f aca="false">IF(B1198="","",IFERROR(INDEX(Produits!$F$2:$F$1001,MATCH(B1198,Produits!$A$2:$A$1001,0)),"⚠ code article inconnu"))</f>
        <v/>
      </c>
      <c r="D1198" s="12"/>
      <c r="E1198" s="23"/>
      <c r="F1198" s="24"/>
      <c r="G1198" s="23"/>
      <c r="H1198" s="21" t="str">
        <f aca="true">IF(E1198="","",ROUND((E1198-TODAY())/30.4,1))</f>
        <v/>
      </c>
      <c r="I1198" s="17" t="str">
        <f aca="false">IF(E1198="","",IF(H1198&lt;0,IF(LEFT(A1198,1)="Q","Périmé (en quarantaine)","PÉRIMÉ → déplacer en zone Q"),IF(H1198&lt;3,"Péremption &lt; 3 mois",IF(H1198&lt;6,"Péremption &lt; 6 mois",""))))</f>
        <v/>
      </c>
      <c r="J1198" s="17" t="str">
        <f aca="false">IF(A1198="","",IF(COUNTIF(Emplacements!$A$2:$A$1001,A1198)=0,"⚠ emplacement inconnu","OK"))</f>
        <v/>
      </c>
      <c r="K1198" s="22" t="str">
        <f aca="false">IF(AND(B1198&lt;&gt;"",ISNUMBER(SEARCH(Recherche!$C$3,C1198&amp;" "&amp;B1198&amp;" "&amp;A1198&amp;" "&amp;D1198))),MAX($K$1:K1197)+1,"")</f>
        <v/>
      </c>
    </row>
    <row r="1199" customFormat="false" ht="15" hidden="false" customHeight="false" outlineLevel="0" collapsed="false">
      <c r="A1199" s="12"/>
      <c r="B1199" s="12"/>
      <c r="C1199" s="17" t="str">
        <f aca="false">IF(B1199="","",IFERROR(INDEX(Produits!$F$2:$F$1001,MATCH(B1199,Produits!$A$2:$A$1001,0)),"⚠ code article inconnu"))</f>
        <v/>
      </c>
      <c r="D1199" s="12"/>
      <c r="E1199" s="23"/>
      <c r="F1199" s="24"/>
      <c r="G1199" s="23"/>
      <c r="H1199" s="21" t="str">
        <f aca="true">IF(E1199="","",ROUND((E1199-TODAY())/30.4,1))</f>
        <v/>
      </c>
      <c r="I1199" s="17" t="str">
        <f aca="false">IF(E1199="","",IF(H1199&lt;0,IF(LEFT(A1199,1)="Q","Périmé (en quarantaine)","PÉRIMÉ → déplacer en zone Q"),IF(H1199&lt;3,"Péremption &lt; 3 mois",IF(H1199&lt;6,"Péremption &lt; 6 mois",""))))</f>
        <v/>
      </c>
      <c r="J1199" s="17" t="str">
        <f aca="false">IF(A1199="","",IF(COUNTIF(Emplacements!$A$2:$A$1001,A1199)=0,"⚠ emplacement inconnu","OK"))</f>
        <v/>
      </c>
      <c r="K1199" s="22" t="str">
        <f aca="false">IF(AND(B1199&lt;&gt;"",ISNUMBER(SEARCH(Recherche!$C$3,C1199&amp;" "&amp;B1199&amp;" "&amp;A1199&amp;" "&amp;D1199))),MAX($K$1:K1198)+1,"")</f>
        <v/>
      </c>
    </row>
    <row r="1200" customFormat="false" ht="15" hidden="false" customHeight="false" outlineLevel="0" collapsed="false">
      <c r="A1200" s="12"/>
      <c r="B1200" s="12"/>
      <c r="C1200" s="17" t="str">
        <f aca="false">IF(B1200="","",IFERROR(INDEX(Produits!$F$2:$F$1001,MATCH(B1200,Produits!$A$2:$A$1001,0)),"⚠ code article inconnu"))</f>
        <v/>
      </c>
      <c r="D1200" s="12"/>
      <c r="E1200" s="23"/>
      <c r="F1200" s="24"/>
      <c r="G1200" s="23"/>
      <c r="H1200" s="21" t="str">
        <f aca="true">IF(E1200="","",ROUND((E1200-TODAY())/30.4,1))</f>
        <v/>
      </c>
      <c r="I1200" s="17" t="str">
        <f aca="false">IF(E1200="","",IF(H1200&lt;0,IF(LEFT(A1200,1)="Q","Périmé (en quarantaine)","PÉRIMÉ → déplacer en zone Q"),IF(H1200&lt;3,"Péremption &lt; 3 mois",IF(H1200&lt;6,"Péremption &lt; 6 mois",""))))</f>
        <v/>
      </c>
      <c r="J1200" s="17" t="str">
        <f aca="false">IF(A1200="","",IF(COUNTIF(Emplacements!$A$2:$A$1001,A1200)=0,"⚠ emplacement inconnu","OK"))</f>
        <v/>
      </c>
      <c r="K1200" s="22" t="str">
        <f aca="false">IF(AND(B1200&lt;&gt;"",ISNUMBER(SEARCH(Recherche!$C$3,C1200&amp;" "&amp;B1200&amp;" "&amp;A1200&amp;" "&amp;D1200))),MAX($K$1:K1199)+1,"")</f>
        <v/>
      </c>
    </row>
    <row r="1201" customFormat="false" ht="15" hidden="false" customHeight="false" outlineLevel="0" collapsed="false">
      <c r="A1201" s="12"/>
      <c r="B1201" s="12"/>
      <c r="C1201" s="17" t="str">
        <f aca="false">IF(B1201="","",IFERROR(INDEX(Produits!$F$2:$F$1001,MATCH(B1201,Produits!$A$2:$A$1001,0)),"⚠ code article inconnu"))</f>
        <v/>
      </c>
      <c r="D1201" s="12"/>
      <c r="E1201" s="23"/>
      <c r="F1201" s="24"/>
      <c r="G1201" s="23"/>
      <c r="H1201" s="21" t="str">
        <f aca="true">IF(E1201="","",ROUND((E1201-TODAY())/30.4,1))</f>
        <v/>
      </c>
      <c r="I1201" s="17" t="str">
        <f aca="false">IF(E1201="","",IF(H1201&lt;0,IF(LEFT(A1201,1)="Q","Périmé (en quarantaine)","PÉRIMÉ → déplacer en zone Q"),IF(H1201&lt;3,"Péremption &lt; 3 mois",IF(H1201&lt;6,"Péremption &lt; 6 mois",""))))</f>
        <v/>
      </c>
      <c r="J1201" s="17" t="str">
        <f aca="false">IF(A1201="","",IF(COUNTIF(Emplacements!$A$2:$A$1001,A1201)=0,"⚠ emplacement inconnu","OK"))</f>
        <v/>
      </c>
      <c r="K1201" s="22" t="str">
        <f aca="false">IF(AND(B1201&lt;&gt;"",ISNUMBER(SEARCH(Recherche!$C$3,C1201&amp;" "&amp;B1201&amp;" "&amp;A1201&amp;" "&amp;D1201))),MAX($K$1:K1200)+1,"")</f>
        <v/>
      </c>
    </row>
    <row r="1202" customFormat="false" ht="15" hidden="false" customHeight="false" outlineLevel="0" collapsed="false">
      <c r="A1202" s="12"/>
      <c r="B1202" s="12"/>
      <c r="C1202" s="17" t="str">
        <f aca="false">IF(B1202="","",IFERROR(INDEX(Produits!$F$2:$F$1001,MATCH(B1202,Produits!$A$2:$A$1001,0)),"⚠ code article inconnu"))</f>
        <v/>
      </c>
      <c r="D1202" s="12"/>
      <c r="E1202" s="23"/>
      <c r="F1202" s="24"/>
      <c r="G1202" s="23"/>
      <c r="H1202" s="21" t="str">
        <f aca="true">IF(E1202="","",ROUND((E1202-TODAY())/30.4,1))</f>
        <v/>
      </c>
      <c r="I1202" s="17" t="str">
        <f aca="false">IF(E1202="","",IF(H1202&lt;0,IF(LEFT(A1202,1)="Q","Périmé (en quarantaine)","PÉRIMÉ → déplacer en zone Q"),IF(H1202&lt;3,"Péremption &lt; 3 mois",IF(H1202&lt;6,"Péremption &lt; 6 mois",""))))</f>
        <v/>
      </c>
      <c r="J1202" s="17" t="str">
        <f aca="false">IF(A1202="","",IF(COUNTIF(Emplacements!$A$2:$A$1001,A1202)=0,"⚠ emplacement inconnu","OK"))</f>
        <v/>
      </c>
      <c r="K1202" s="22" t="str">
        <f aca="false">IF(AND(B1202&lt;&gt;"",ISNUMBER(SEARCH(Recherche!$C$3,C1202&amp;" "&amp;B1202&amp;" "&amp;A1202&amp;" "&amp;D1202))),MAX($K$1:K1201)+1,"")</f>
        <v/>
      </c>
    </row>
    <row r="1203" customFormat="false" ht="15" hidden="false" customHeight="false" outlineLevel="0" collapsed="false">
      <c r="A1203" s="12"/>
      <c r="B1203" s="12"/>
      <c r="C1203" s="17" t="str">
        <f aca="false">IF(B1203="","",IFERROR(INDEX(Produits!$F$2:$F$1001,MATCH(B1203,Produits!$A$2:$A$1001,0)),"⚠ code article inconnu"))</f>
        <v/>
      </c>
      <c r="D1203" s="12"/>
      <c r="E1203" s="23"/>
      <c r="F1203" s="24"/>
      <c r="G1203" s="23"/>
      <c r="H1203" s="21" t="str">
        <f aca="true">IF(E1203="","",ROUND((E1203-TODAY())/30.4,1))</f>
        <v/>
      </c>
      <c r="I1203" s="17" t="str">
        <f aca="false">IF(E1203="","",IF(H1203&lt;0,IF(LEFT(A1203,1)="Q","Périmé (en quarantaine)","PÉRIMÉ → déplacer en zone Q"),IF(H1203&lt;3,"Péremption &lt; 3 mois",IF(H1203&lt;6,"Péremption &lt; 6 mois",""))))</f>
        <v/>
      </c>
      <c r="J1203" s="17" t="str">
        <f aca="false">IF(A1203="","",IF(COUNTIF(Emplacements!$A$2:$A$1001,A1203)=0,"⚠ emplacement inconnu","OK"))</f>
        <v/>
      </c>
      <c r="K1203" s="22" t="str">
        <f aca="false">IF(AND(B1203&lt;&gt;"",ISNUMBER(SEARCH(Recherche!$C$3,C1203&amp;" "&amp;B1203&amp;" "&amp;A1203&amp;" "&amp;D1203))),MAX($K$1:K1202)+1,"")</f>
        <v/>
      </c>
    </row>
    <row r="1204" customFormat="false" ht="15" hidden="false" customHeight="false" outlineLevel="0" collapsed="false">
      <c r="A1204" s="12"/>
      <c r="B1204" s="12"/>
      <c r="C1204" s="17" t="str">
        <f aca="false">IF(B1204="","",IFERROR(INDEX(Produits!$F$2:$F$1001,MATCH(B1204,Produits!$A$2:$A$1001,0)),"⚠ code article inconnu"))</f>
        <v/>
      </c>
      <c r="D1204" s="12"/>
      <c r="E1204" s="23"/>
      <c r="F1204" s="24"/>
      <c r="G1204" s="23"/>
      <c r="H1204" s="21" t="str">
        <f aca="true">IF(E1204="","",ROUND((E1204-TODAY())/30.4,1))</f>
        <v/>
      </c>
      <c r="I1204" s="17" t="str">
        <f aca="false">IF(E1204="","",IF(H1204&lt;0,IF(LEFT(A1204,1)="Q","Périmé (en quarantaine)","PÉRIMÉ → déplacer en zone Q"),IF(H1204&lt;3,"Péremption &lt; 3 mois",IF(H1204&lt;6,"Péremption &lt; 6 mois",""))))</f>
        <v/>
      </c>
      <c r="J1204" s="17" t="str">
        <f aca="false">IF(A1204="","",IF(COUNTIF(Emplacements!$A$2:$A$1001,A1204)=0,"⚠ emplacement inconnu","OK"))</f>
        <v/>
      </c>
      <c r="K1204" s="22" t="str">
        <f aca="false">IF(AND(B1204&lt;&gt;"",ISNUMBER(SEARCH(Recherche!$C$3,C1204&amp;" "&amp;B1204&amp;" "&amp;A1204&amp;" "&amp;D1204))),MAX($K$1:K1203)+1,"")</f>
        <v/>
      </c>
    </row>
    <row r="1205" customFormat="false" ht="15" hidden="false" customHeight="false" outlineLevel="0" collapsed="false">
      <c r="A1205" s="12"/>
      <c r="B1205" s="12"/>
      <c r="C1205" s="17" t="str">
        <f aca="false">IF(B1205="","",IFERROR(INDEX(Produits!$F$2:$F$1001,MATCH(B1205,Produits!$A$2:$A$1001,0)),"⚠ code article inconnu"))</f>
        <v/>
      </c>
      <c r="D1205" s="12"/>
      <c r="E1205" s="23"/>
      <c r="F1205" s="24"/>
      <c r="G1205" s="23"/>
      <c r="H1205" s="21" t="str">
        <f aca="true">IF(E1205="","",ROUND((E1205-TODAY())/30.4,1))</f>
        <v/>
      </c>
      <c r="I1205" s="17" t="str">
        <f aca="false">IF(E1205="","",IF(H1205&lt;0,IF(LEFT(A1205,1)="Q","Périmé (en quarantaine)","PÉRIMÉ → déplacer en zone Q"),IF(H1205&lt;3,"Péremption &lt; 3 mois",IF(H1205&lt;6,"Péremption &lt; 6 mois",""))))</f>
        <v/>
      </c>
      <c r="J1205" s="17" t="str">
        <f aca="false">IF(A1205="","",IF(COUNTIF(Emplacements!$A$2:$A$1001,A1205)=0,"⚠ emplacement inconnu","OK"))</f>
        <v/>
      </c>
      <c r="K1205" s="22" t="str">
        <f aca="false">IF(AND(B1205&lt;&gt;"",ISNUMBER(SEARCH(Recherche!$C$3,C1205&amp;" "&amp;B1205&amp;" "&amp;A1205&amp;" "&amp;D1205))),MAX($K$1:K1204)+1,"")</f>
        <v/>
      </c>
    </row>
    <row r="1206" customFormat="false" ht="15" hidden="false" customHeight="false" outlineLevel="0" collapsed="false">
      <c r="A1206" s="12"/>
      <c r="B1206" s="12"/>
      <c r="C1206" s="17" t="str">
        <f aca="false">IF(B1206="","",IFERROR(INDEX(Produits!$F$2:$F$1001,MATCH(B1206,Produits!$A$2:$A$1001,0)),"⚠ code article inconnu"))</f>
        <v/>
      </c>
      <c r="D1206" s="12"/>
      <c r="E1206" s="23"/>
      <c r="F1206" s="24"/>
      <c r="G1206" s="23"/>
      <c r="H1206" s="21" t="str">
        <f aca="true">IF(E1206="","",ROUND((E1206-TODAY())/30.4,1))</f>
        <v/>
      </c>
      <c r="I1206" s="17" t="str">
        <f aca="false">IF(E1206="","",IF(H1206&lt;0,IF(LEFT(A1206,1)="Q","Périmé (en quarantaine)","PÉRIMÉ → déplacer en zone Q"),IF(H1206&lt;3,"Péremption &lt; 3 mois",IF(H1206&lt;6,"Péremption &lt; 6 mois",""))))</f>
        <v/>
      </c>
      <c r="J1206" s="17" t="str">
        <f aca="false">IF(A1206="","",IF(COUNTIF(Emplacements!$A$2:$A$1001,A1206)=0,"⚠ emplacement inconnu","OK"))</f>
        <v/>
      </c>
      <c r="K1206" s="22" t="str">
        <f aca="false">IF(AND(B1206&lt;&gt;"",ISNUMBER(SEARCH(Recherche!$C$3,C1206&amp;" "&amp;B1206&amp;" "&amp;A1206&amp;" "&amp;D1206))),MAX($K$1:K1205)+1,"")</f>
        <v/>
      </c>
    </row>
    <row r="1207" customFormat="false" ht="15" hidden="false" customHeight="false" outlineLevel="0" collapsed="false">
      <c r="A1207" s="12"/>
      <c r="B1207" s="12"/>
      <c r="C1207" s="17" t="str">
        <f aca="false">IF(B1207="","",IFERROR(INDEX(Produits!$F$2:$F$1001,MATCH(B1207,Produits!$A$2:$A$1001,0)),"⚠ code article inconnu"))</f>
        <v/>
      </c>
      <c r="D1207" s="12"/>
      <c r="E1207" s="23"/>
      <c r="F1207" s="24"/>
      <c r="G1207" s="23"/>
      <c r="H1207" s="21" t="str">
        <f aca="true">IF(E1207="","",ROUND((E1207-TODAY())/30.4,1))</f>
        <v/>
      </c>
      <c r="I1207" s="17" t="str">
        <f aca="false">IF(E1207="","",IF(H1207&lt;0,IF(LEFT(A1207,1)="Q","Périmé (en quarantaine)","PÉRIMÉ → déplacer en zone Q"),IF(H1207&lt;3,"Péremption &lt; 3 mois",IF(H1207&lt;6,"Péremption &lt; 6 mois",""))))</f>
        <v/>
      </c>
      <c r="J1207" s="17" t="str">
        <f aca="false">IF(A1207="","",IF(COUNTIF(Emplacements!$A$2:$A$1001,A1207)=0,"⚠ emplacement inconnu","OK"))</f>
        <v/>
      </c>
      <c r="K1207" s="22" t="str">
        <f aca="false">IF(AND(B1207&lt;&gt;"",ISNUMBER(SEARCH(Recherche!$C$3,C1207&amp;" "&amp;B1207&amp;" "&amp;A1207&amp;" "&amp;D1207))),MAX($K$1:K1206)+1,"")</f>
        <v/>
      </c>
    </row>
    <row r="1208" customFormat="false" ht="15" hidden="false" customHeight="false" outlineLevel="0" collapsed="false">
      <c r="A1208" s="12"/>
      <c r="B1208" s="12"/>
      <c r="C1208" s="17" t="str">
        <f aca="false">IF(B1208="","",IFERROR(INDEX(Produits!$F$2:$F$1001,MATCH(B1208,Produits!$A$2:$A$1001,0)),"⚠ code article inconnu"))</f>
        <v/>
      </c>
      <c r="D1208" s="12"/>
      <c r="E1208" s="23"/>
      <c r="F1208" s="24"/>
      <c r="G1208" s="23"/>
      <c r="H1208" s="21" t="str">
        <f aca="true">IF(E1208="","",ROUND((E1208-TODAY())/30.4,1))</f>
        <v/>
      </c>
      <c r="I1208" s="17" t="str">
        <f aca="false">IF(E1208="","",IF(H1208&lt;0,IF(LEFT(A1208,1)="Q","Périmé (en quarantaine)","PÉRIMÉ → déplacer en zone Q"),IF(H1208&lt;3,"Péremption &lt; 3 mois",IF(H1208&lt;6,"Péremption &lt; 6 mois",""))))</f>
        <v/>
      </c>
      <c r="J1208" s="17" t="str">
        <f aca="false">IF(A1208="","",IF(COUNTIF(Emplacements!$A$2:$A$1001,A1208)=0,"⚠ emplacement inconnu","OK"))</f>
        <v/>
      </c>
      <c r="K1208" s="22" t="str">
        <f aca="false">IF(AND(B1208&lt;&gt;"",ISNUMBER(SEARCH(Recherche!$C$3,C1208&amp;" "&amp;B1208&amp;" "&amp;A1208&amp;" "&amp;D1208))),MAX($K$1:K1207)+1,"")</f>
        <v/>
      </c>
    </row>
    <row r="1209" customFormat="false" ht="15" hidden="false" customHeight="false" outlineLevel="0" collapsed="false">
      <c r="A1209" s="12"/>
      <c r="B1209" s="12"/>
      <c r="C1209" s="17" t="str">
        <f aca="false">IF(B1209="","",IFERROR(INDEX(Produits!$F$2:$F$1001,MATCH(B1209,Produits!$A$2:$A$1001,0)),"⚠ code article inconnu"))</f>
        <v/>
      </c>
      <c r="D1209" s="12"/>
      <c r="E1209" s="23"/>
      <c r="F1209" s="24"/>
      <c r="G1209" s="23"/>
      <c r="H1209" s="21" t="str">
        <f aca="true">IF(E1209="","",ROUND((E1209-TODAY())/30.4,1))</f>
        <v/>
      </c>
      <c r="I1209" s="17" t="str">
        <f aca="false">IF(E1209="","",IF(H1209&lt;0,IF(LEFT(A1209,1)="Q","Périmé (en quarantaine)","PÉRIMÉ → déplacer en zone Q"),IF(H1209&lt;3,"Péremption &lt; 3 mois",IF(H1209&lt;6,"Péremption &lt; 6 mois",""))))</f>
        <v/>
      </c>
      <c r="J1209" s="17" t="str">
        <f aca="false">IF(A1209="","",IF(COUNTIF(Emplacements!$A$2:$A$1001,A1209)=0,"⚠ emplacement inconnu","OK"))</f>
        <v/>
      </c>
      <c r="K1209" s="22" t="str">
        <f aca="false">IF(AND(B1209&lt;&gt;"",ISNUMBER(SEARCH(Recherche!$C$3,C1209&amp;" "&amp;B1209&amp;" "&amp;A1209&amp;" "&amp;D1209))),MAX($K$1:K1208)+1,"")</f>
        <v/>
      </c>
    </row>
    <row r="1210" customFormat="false" ht="15" hidden="false" customHeight="false" outlineLevel="0" collapsed="false">
      <c r="A1210" s="12"/>
      <c r="B1210" s="12"/>
      <c r="C1210" s="17" t="str">
        <f aca="false">IF(B1210="","",IFERROR(INDEX(Produits!$F$2:$F$1001,MATCH(B1210,Produits!$A$2:$A$1001,0)),"⚠ code article inconnu"))</f>
        <v/>
      </c>
      <c r="D1210" s="12"/>
      <c r="E1210" s="23"/>
      <c r="F1210" s="24"/>
      <c r="G1210" s="23"/>
      <c r="H1210" s="21" t="str">
        <f aca="true">IF(E1210="","",ROUND((E1210-TODAY())/30.4,1))</f>
        <v/>
      </c>
      <c r="I1210" s="17" t="str">
        <f aca="false">IF(E1210="","",IF(H1210&lt;0,IF(LEFT(A1210,1)="Q","Périmé (en quarantaine)","PÉRIMÉ → déplacer en zone Q"),IF(H1210&lt;3,"Péremption &lt; 3 mois",IF(H1210&lt;6,"Péremption &lt; 6 mois",""))))</f>
        <v/>
      </c>
      <c r="J1210" s="17" t="str">
        <f aca="false">IF(A1210="","",IF(COUNTIF(Emplacements!$A$2:$A$1001,A1210)=0,"⚠ emplacement inconnu","OK"))</f>
        <v/>
      </c>
      <c r="K1210" s="22" t="str">
        <f aca="false">IF(AND(B1210&lt;&gt;"",ISNUMBER(SEARCH(Recherche!$C$3,C1210&amp;" "&amp;B1210&amp;" "&amp;A1210&amp;" "&amp;D1210))),MAX($K$1:K1209)+1,"")</f>
        <v/>
      </c>
    </row>
    <row r="1211" customFormat="false" ht="15" hidden="false" customHeight="false" outlineLevel="0" collapsed="false">
      <c r="A1211" s="12"/>
      <c r="B1211" s="12"/>
      <c r="C1211" s="17" t="str">
        <f aca="false">IF(B1211="","",IFERROR(INDEX(Produits!$F$2:$F$1001,MATCH(B1211,Produits!$A$2:$A$1001,0)),"⚠ code article inconnu"))</f>
        <v/>
      </c>
      <c r="D1211" s="12"/>
      <c r="E1211" s="23"/>
      <c r="F1211" s="24"/>
      <c r="G1211" s="23"/>
      <c r="H1211" s="21" t="str">
        <f aca="true">IF(E1211="","",ROUND((E1211-TODAY())/30.4,1))</f>
        <v/>
      </c>
      <c r="I1211" s="17" t="str">
        <f aca="false">IF(E1211="","",IF(H1211&lt;0,IF(LEFT(A1211,1)="Q","Périmé (en quarantaine)","PÉRIMÉ → déplacer en zone Q"),IF(H1211&lt;3,"Péremption &lt; 3 mois",IF(H1211&lt;6,"Péremption &lt; 6 mois",""))))</f>
        <v/>
      </c>
      <c r="J1211" s="17" t="str">
        <f aca="false">IF(A1211="","",IF(COUNTIF(Emplacements!$A$2:$A$1001,A1211)=0,"⚠ emplacement inconnu","OK"))</f>
        <v/>
      </c>
      <c r="K1211" s="22" t="str">
        <f aca="false">IF(AND(B1211&lt;&gt;"",ISNUMBER(SEARCH(Recherche!$C$3,C1211&amp;" "&amp;B1211&amp;" "&amp;A1211&amp;" "&amp;D1211))),MAX($K$1:K1210)+1,"")</f>
        <v/>
      </c>
    </row>
    <row r="1212" customFormat="false" ht="15" hidden="false" customHeight="false" outlineLevel="0" collapsed="false">
      <c r="A1212" s="12"/>
      <c r="B1212" s="12"/>
      <c r="C1212" s="17" t="str">
        <f aca="false">IF(B1212="","",IFERROR(INDEX(Produits!$F$2:$F$1001,MATCH(B1212,Produits!$A$2:$A$1001,0)),"⚠ code article inconnu"))</f>
        <v/>
      </c>
      <c r="D1212" s="12"/>
      <c r="E1212" s="23"/>
      <c r="F1212" s="24"/>
      <c r="G1212" s="23"/>
      <c r="H1212" s="21" t="str">
        <f aca="true">IF(E1212="","",ROUND((E1212-TODAY())/30.4,1))</f>
        <v/>
      </c>
      <c r="I1212" s="17" t="str">
        <f aca="false">IF(E1212="","",IF(H1212&lt;0,IF(LEFT(A1212,1)="Q","Périmé (en quarantaine)","PÉRIMÉ → déplacer en zone Q"),IF(H1212&lt;3,"Péremption &lt; 3 mois",IF(H1212&lt;6,"Péremption &lt; 6 mois",""))))</f>
        <v/>
      </c>
      <c r="J1212" s="17" t="str">
        <f aca="false">IF(A1212="","",IF(COUNTIF(Emplacements!$A$2:$A$1001,A1212)=0,"⚠ emplacement inconnu","OK"))</f>
        <v/>
      </c>
      <c r="K1212" s="22" t="str">
        <f aca="false">IF(AND(B1212&lt;&gt;"",ISNUMBER(SEARCH(Recherche!$C$3,C1212&amp;" "&amp;B1212&amp;" "&amp;A1212&amp;" "&amp;D1212))),MAX($K$1:K1211)+1,"")</f>
        <v/>
      </c>
    </row>
    <row r="1213" customFormat="false" ht="15" hidden="false" customHeight="false" outlineLevel="0" collapsed="false">
      <c r="A1213" s="12"/>
      <c r="B1213" s="12"/>
      <c r="C1213" s="17" t="str">
        <f aca="false">IF(B1213="","",IFERROR(INDEX(Produits!$F$2:$F$1001,MATCH(B1213,Produits!$A$2:$A$1001,0)),"⚠ code article inconnu"))</f>
        <v/>
      </c>
      <c r="D1213" s="12"/>
      <c r="E1213" s="23"/>
      <c r="F1213" s="24"/>
      <c r="G1213" s="23"/>
      <c r="H1213" s="21" t="str">
        <f aca="true">IF(E1213="","",ROUND((E1213-TODAY())/30.4,1))</f>
        <v/>
      </c>
      <c r="I1213" s="17" t="str">
        <f aca="false">IF(E1213="","",IF(H1213&lt;0,IF(LEFT(A1213,1)="Q","Périmé (en quarantaine)","PÉRIMÉ → déplacer en zone Q"),IF(H1213&lt;3,"Péremption &lt; 3 mois",IF(H1213&lt;6,"Péremption &lt; 6 mois",""))))</f>
        <v/>
      </c>
      <c r="J1213" s="17" t="str">
        <f aca="false">IF(A1213="","",IF(COUNTIF(Emplacements!$A$2:$A$1001,A1213)=0,"⚠ emplacement inconnu","OK"))</f>
        <v/>
      </c>
      <c r="K1213" s="22" t="str">
        <f aca="false">IF(AND(B1213&lt;&gt;"",ISNUMBER(SEARCH(Recherche!$C$3,C1213&amp;" "&amp;B1213&amp;" "&amp;A1213&amp;" "&amp;D1213))),MAX($K$1:K1212)+1,"")</f>
        <v/>
      </c>
    </row>
    <row r="1214" customFormat="false" ht="15" hidden="false" customHeight="false" outlineLevel="0" collapsed="false">
      <c r="A1214" s="12"/>
      <c r="B1214" s="12"/>
      <c r="C1214" s="17" t="str">
        <f aca="false">IF(B1214="","",IFERROR(INDEX(Produits!$F$2:$F$1001,MATCH(B1214,Produits!$A$2:$A$1001,0)),"⚠ code article inconnu"))</f>
        <v/>
      </c>
      <c r="D1214" s="12"/>
      <c r="E1214" s="23"/>
      <c r="F1214" s="24"/>
      <c r="G1214" s="23"/>
      <c r="H1214" s="21" t="str">
        <f aca="true">IF(E1214="","",ROUND((E1214-TODAY())/30.4,1))</f>
        <v/>
      </c>
      <c r="I1214" s="17" t="str">
        <f aca="false">IF(E1214="","",IF(H1214&lt;0,IF(LEFT(A1214,1)="Q","Périmé (en quarantaine)","PÉRIMÉ → déplacer en zone Q"),IF(H1214&lt;3,"Péremption &lt; 3 mois",IF(H1214&lt;6,"Péremption &lt; 6 mois",""))))</f>
        <v/>
      </c>
      <c r="J1214" s="17" t="str">
        <f aca="false">IF(A1214="","",IF(COUNTIF(Emplacements!$A$2:$A$1001,A1214)=0,"⚠ emplacement inconnu","OK"))</f>
        <v/>
      </c>
      <c r="K1214" s="22" t="str">
        <f aca="false">IF(AND(B1214&lt;&gt;"",ISNUMBER(SEARCH(Recherche!$C$3,C1214&amp;" "&amp;B1214&amp;" "&amp;A1214&amp;" "&amp;D1214))),MAX($K$1:K1213)+1,"")</f>
        <v/>
      </c>
    </row>
    <row r="1215" customFormat="false" ht="15" hidden="false" customHeight="false" outlineLevel="0" collapsed="false">
      <c r="A1215" s="12"/>
      <c r="B1215" s="12"/>
      <c r="C1215" s="17" t="str">
        <f aca="false">IF(B1215="","",IFERROR(INDEX(Produits!$F$2:$F$1001,MATCH(B1215,Produits!$A$2:$A$1001,0)),"⚠ code article inconnu"))</f>
        <v/>
      </c>
      <c r="D1215" s="12"/>
      <c r="E1215" s="23"/>
      <c r="F1215" s="24"/>
      <c r="G1215" s="23"/>
      <c r="H1215" s="21" t="str">
        <f aca="true">IF(E1215="","",ROUND((E1215-TODAY())/30.4,1))</f>
        <v/>
      </c>
      <c r="I1215" s="17" t="str">
        <f aca="false">IF(E1215="","",IF(H1215&lt;0,IF(LEFT(A1215,1)="Q","Périmé (en quarantaine)","PÉRIMÉ → déplacer en zone Q"),IF(H1215&lt;3,"Péremption &lt; 3 mois",IF(H1215&lt;6,"Péremption &lt; 6 mois",""))))</f>
        <v/>
      </c>
      <c r="J1215" s="17" t="str">
        <f aca="false">IF(A1215="","",IF(COUNTIF(Emplacements!$A$2:$A$1001,A1215)=0,"⚠ emplacement inconnu","OK"))</f>
        <v/>
      </c>
      <c r="K1215" s="22" t="str">
        <f aca="false">IF(AND(B1215&lt;&gt;"",ISNUMBER(SEARCH(Recherche!$C$3,C1215&amp;" "&amp;B1215&amp;" "&amp;A1215&amp;" "&amp;D1215))),MAX($K$1:K1214)+1,"")</f>
        <v/>
      </c>
    </row>
    <row r="1216" customFormat="false" ht="15" hidden="false" customHeight="false" outlineLevel="0" collapsed="false">
      <c r="A1216" s="12"/>
      <c r="B1216" s="12"/>
      <c r="C1216" s="17" t="str">
        <f aca="false">IF(B1216="","",IFERROR(INDEX(Produits!$F$2:$F$1001,MATCH(B1216,Produits!$A$2:$A$1001,0)),"⚠ code article inconnu"))</f>
        <v/>
      </c>
      <c r="D1216" s="12"/>
      <c r="E1216" s="23"/>
      <c r="F1216" s="24"/>
      <c r="G1216" s="23"/>
      <c r="H1216" s="21" t="str">
        <f aca="true">IF(E1216="","",ROUND((E1216-TODAY())/30.4,1))</f>
        <v/>
      </c>
      <c r="I1216" s="17" t="str">
        <f aca="false">IF(E1216="","",IF(H1216&lt;0,IF(LEFT(A1216,1)="Q","Périmé (en quarantaine)","PÉRIMÉ → déplacer en zone Q"),IF(H1216&lt;3,"Péremption &lt; 3 mois",IF(H1216&lt;6,"Péremption &lt; 6 mois",""))))</f>
        <v/>
      </c>
      <c r="J1216" s="17" t="str">
        <f aca="false">IF(A1216="","",IF(COUNTIF(Emplacements!$A$2:$A$1001,A1216)=0,"⚠ emplacement inconnu","OK"))</f>
        <v/>
      </c>
      <c r="K1216" s="22" t="str">
        <f aca="false">IF(AND(B1216&lt;&gt;"",ISNUMBER(SEARCH(Recherche!$C$3,C1216&amp;" "&amp;B1216&amp;" "&amp;A1216&amp;" "&amp;D1216))),MAX($K$1:K1215)+1,"")</f>
        <v/>
      </c>
    </row>
    <row r="1217" customFormat="false" ht="15" hidden="false" customHeight="false" outlineLevel="0" collapsed="false">
      <c r="A1217" s="12"/>
      <c r="B1217" s="12"/>
      <c r="C1217" s="17" t="str">
        <f aca="false">IF(B1217="","",IFERROR(INDEX(Produits!$F$2:$F$1001,MATCH(B1217,Produits!$A$2:$A$1001,0)),"⚠ code article inconnu"))</f>
        <v/>
      </c>
      <c r="D1217" s="12"/>
      <c r="E1217" s="23"/>
      <c r="F1217" s="24"/>
      <c r="G1217" s="23"/>
      <c r="H1217" s="21" t="str">
        <f aca="true">IF(E1217="","",ROUND((E1217-TODAY())/30.4,1))</f>
        <v/>
      </c>
      <c r="I1217" s="17" t="str">
        <f aca="false">IF(E1217="","",IF(H1217&lt;0,IF(LEFT(A1217,1)="Q","Périmé (en quarantaine)","PÉRIMÉ → déplacer en zone Q"),IF(H1217&lt;3,"Péremption &lt; 3 mois",IF(H1217&lt;6,"Péremption &lt; 6 mois",""))))</f>
        <v/>
      </c>
      <c r="J1217" s="17" t="str">
        <f aca="false">IF(A1217="","",IF(COUNTIF(Emplacements!$A$2:$A$1001,A1217)=0,"⚠ emplacement inconnu","OK"))</f>
        <v/>
      </c>
      <c r="K1217" s="22" t="str">
        <f aca="false">IF(AND(B1217&lt;&gt;"",ISNUMBER(SEARCH(Recherche!$C$3,C1217&amp;" "&amp;B1217&amp;" "&amp;A1217&amp;" "&amp;D1217))),MAX($K$1:K1216)+1,"")</f>
        <v/>
      </c>
    </row>
    <row r="1218" customFormat="false" ht="15" hidden="false" customHeight="false" outlineLevel="0" collapsed="false">
      <c r="A1218" s="12"/>
      <c r="B1218" s="12"/>
      <c r="C1218" s="17" t="str">
        <f aca="false">IF(B1218="","",IFERROR(INDEX(Produits!$F$2:$F$1001,MATCH(B1218,Produits!$A$2:$A$1001,0)),"⚠ code article inconnu"))</f>
        <v/>
      </c>
      <c r="D1218" s="12"/>
      <c r="E1218" s="23"/>
      <c r="F1218" s="24"/>
      <c r="G1218" s="23"/>
      <c r="H1218" s="21" t="str">
        <f aca="true">IF(E1218="","",ROUND((E1218-TODAY())/30.4,1))</f>
        <v/>
      </c>
      <c r="I1218" s="17" t="str">
        <f aca="false">IF(E1218="","",IF(H1218&lt;0,IF(LEFT(A1218,1)="Q","Périmé (en quarantaine)","PÉRIMÉ → déplacer en zone Q"),IF(H1218&lt;3,"Péremption &lt; 3 mois",IF(H1218&lt;6,"Péremption &lt; 6 mois",""))))</f>
        <v/>
      </c>
      <c r="J1218" s="17" t="str">
        <f aca="false">IF(A1218="","",IF(COUNTIF(Emplacements!$A$2:$A$1001,A1218)=0,"⚠ emplacement inconnu","OK"))</f>
        <v/>
      </c>
      <c r="K1218" s="22" t="str">
        <f aca="false">IF(AND(B1218&lt;&gt;"",ISNUMBER(SEARCH(Recherche!$C$3,C1218&amp;" "&amp;B1218&amp;" "&amp;A1218&amp;" "&amp;D1218))),MAX($K$1:K1217)+1,"")</f>
        <v/>
      </c>
    </row>
    <row r="1219" customFormat="false" ht="15" hidden="false" customHeight="false" outlineLevel="0" collapsed="false">
      <c r="A1219" s="12"/>
      <c r="B1219" s="12"/>
      <c r="C1219" s="17" t="str">
        <f aca="false">IF(B1219="","",IFERROR(INDEX(Produits!$F$2:$F$1001,MATCH(B1219,Produits!$A$2:$A$1001,0)),"⚠ code article inconnu"))</f>
        <v/>
      </c>
      <c r="D1219" s="12"/>
      <c r="E1219" s="23"/>
      <c r="F1219" s="24"/>
      <c r="G1219" s="23"/>
      <c r="H1219" s="21" t="str">
        <f aca="true">IF(E1219="","",ROUND((E1219-TODAY())/30.4,1))</f>
        <v/>
      </c>
      <c r="I1219" s="17" t="str">
        <f aca="false">IF(E1219="","",IF(H1219&lt;0,IF(LEFT(A1219,1)="Q","Périmé (en quarantaine)","PÉRIMÉ → déplacer en zone Q"),IF(H1219&lt;3,"Péremption &lt; 3 mois",IF(H1219&lt;6,"Péremption &lt; 6 mois",""))))</f>
        <v/>
      </c>
      <c r="J1219" s="17" t="str">
        <f aca="false">IF(A1219="","",IF(COUNTIF(Emplacements!$A$2:$A$1001,A1219)=0,"⚠ emplacement inconnu","OK"))</f>
        <v/>
      </c>
      <c r="K1219" s="22" t="str">
        <f aca="false">IF(AND(B1219&lt;&gt;"",ISNUMBER(SEARCH(Recherche!$C$3,C1219&amp;" "&amp;B1219&amp;" "&amp;A1219&amp;" "&amp;D1219))),MAX($K$1:K1218)+1,"")</f>
        <v/>
      </c>
    </row>
    <row r="1220" customFormat="false" ht="15" hidden="false" customHeight="false" outlineLevel="0" collapsed="false">
      <c r="A1220" s="12"/>
      <c r="B1220" s="12"/>
      <c r="C1220" s="17" t="str">
        <f aca="false">IF(B1220="","",IFERROR(INDEX(Produits!$F$2:$F$1001,MATCH(B1220,Produits!$A$2:$A$1001,0)),"⚠ code article inconnu"))</f>
        <v/>
      </c>
      <c r="D1220" s="12"/>
      <c r="E1220" s="23"/>
      <c r="F1220" s="24"/>
      <c r="G1220" s="23"/>
      <c r="H1220" s="21" t="str">
        <f aca="true">IF(E1220="","",ROUND((E1220-TODAY())/30.4,1))</f>
        <v/>
      </c>
      <c r="I1220" s="17" t="str">
        <f aca="false">IF(E1220="","",IF(H1220&lt;0,IF(LEFT(A1220,1)="Q","Périmé (en quarantaine)","PÉRIMÉ → déplacer en zone Q"),IF(H1220&lt;3,"Péremption &lt; 3 mois",IF(H1220&lt;6,"Péremption &lt; 6 mois",""))))</f>
        <v/>
      </c>
      <c r="J1220" s="17" t="str">
        <f aca="false">IF(A1220="","",IF(COUNTIF(Emplacements!$A$2:$A$1001,A1220)=0,"⚠ emplacement inconnu","OK"))</f>
        <v/>
      </c>
      <c r="K1220" s="22" t="str">
        <f aca="false">IF(AND(B1220&lt;&gt;"",ISNUMBER(SEARCH(Recherche!$C$3,C1220&amp;" "&amp;B1220&amp;" "&amp;A1220&amp;" "&amp;D1220))),MAX($K$1:K1219)+1,"")</f>
        <v/>
      </c>
    </row>
    <row r="1221" customFormat="false" ht="15" hidden="false" customHeight="false" outlineLevel="0" collapsed="false">
      <c r="A1221" s="12"/>
      <c r="B1221" s="12"/>
      <c r="C1221" s="17" t="str">
        <f aca="false">IF(B1221="","",IFERROR(INDEX(Produits!$F$2:$F$1001,MATCH(B1221,Produits!$A$2:$A$1001,0)),"⚠ code article inconnu"))</f>
        <v/>
      </c>
      <c r="D1221" s="12"/>
      <c r="E1221" s="23"/>
      <c r="F1221" s="24"/>
      <c r="G1221" s="23"/>
      <c r="H1221" s="21" t="str">
        <f aca="true">IF(E1221="","",ROUND((E1221-TODAY())/30.4,1))</f>
        <v/>
      </c>
      <c r="I1221" s="17" t="str">
        <f aca="false">IF(E1221="","",IF(H1221&lt;0,IF(LEFT(A1221,1)="Q","Périmé (en quarantaine)","PÉRIMÉ → déplacer en zone Q"),IF(H1221&lt;3,"Péremption &lt; 3 mois",IF(H1221&lt;6,"Péremption &lt; 6 mois",""))))</f>
        <v/>
      </c>
      <c r="J1221" s="17" t="str">
        <f aca="false">IF(A1221="","",IF(COUNTIF(Emplacements!$A$2:$A$1001,A1221)=0,"⚠ emplacement inconnu","OK"))</f>
        <v/>
      </c>
      <c r="K1221" s="22" t="str">
        <f aca="false">IF(AND(B1221&lt;&gt;"",ISNUMBER(SEARCH(Recherche!$C$3,C1221&amp;" "&amp;B1221&amp;" "&amp;A1221&amp;" "&amp;D1221))),MAX($K$1:K1220)+1,"")</f>
        <v/>
      </c>
    </row>
    <row r="1222" customFormat="false" ht="15" hidden="false" customHeight="false" outlineLevel="0" collapsed="false">
      <c r="A1222" s="12"/>
      <c r="B1222" s="12"/>
      <c r="C1222" s="17" t="str">
        <f aca="false">IF(B1222="","",IFERROR(INDEX(Produits!$F$2:$F$1001,MATCH(B1222,Produits!$A$2:$A$1001,0)),"⚠ code article inconnu"))</f>
        <v/>
      </c>
      <c r="D1222" s="12"/>
      <c r="E1222" s="23"/>
      <c r="F1222" s="24"/>
      <c r="G1222" s="23"/>
      <c r="H1222" s="21" t="str">
        <f aca="true">IF(E1222="","",ROUND((E1222-TODAY())/30.4,1))</f>
        <v/>
      </c>
      <c r="I1222" s="17" t="str">
        <f aca="false">IF(E1222="","",IF(H1222&lt;0,IF(LEFT(A1222,1)="Q","Périmé (en quarantaine)","PÉRIMÉ → déplacer en zone Q"),IF(H1222&lt;3,"Péremption &lt; 3 mois",IF(H1222&lt;6,"Péremption &lt; 6 mois",""))))</f>
        <v/>
      </c>
      <c r="J1222" s="17" t="str">
        <f aca="false">IF(A1222="","",IF(COUNTIF(Emplacements!$A$2:$A$1001,A1222)=0,"⚠ emplacement inconnu","OK"))</f>
        <v/>
      </c>
      <c r="K1222" s="22" t="str">
        <f aca="false">IF(AND(B1222&lt;&gt;"",ISNUMBER(SEARCH(Recherche!$C$3,C1222&amp;" "&amp;B1222&amp;" "&amp;A1222&amp;" "&amp;D1222))),MAX($K$1:K1221)+1,"")</f>
        <v/>
      </c>
    </row>
    <row r="1223" customFormat="false" ht="15" hidden="false" customHeight="false" outlineLevel="0" collapsed="false">
      <c r="A1223" s="12"/>
      <c r="B1223" s="12"/>
      <c r="C1223" s="17" t="str">
        <f aca="false">IF(B1223="","",IFERROR(INDEX(Produits!$F$2:$F$1001,MATCH(B1223,Produits!$A$2:$A$1001,0)),"⚠ code article inconnu"))</f>
        <v/>
      </c>
      <c r="D1223" s="12"/>
      <c r="E1223" s="23"/>
      <c r="F1223" s="24"/>
      <c r="G1223" s="23"/>
      <c r="H1223" s="21" t="str">
        <f aca="true">IF(E1223="","",ROUND((E1223-TODAY())/30.4,1))</f>
        <v/>
      </c>
      <c r="I1223" s="17" t="str">
        <f aca="false">IF(E1223="","",IF(H1223&lt;0,IF(LEFT(A1223,1)="Q","Périmé (en quarantaine)","PÉRIMÉ → déplacer en zone Q"),IF(H1223&lt;3,"Péremption &lt; 3 mois",IF(H1223&lt;6,"Péremption &lt; 6 mois",""))))</f>
        <v/>
      </c>
      <c r="J1223" s="17" t="str">
        <f aca="false">IF(A1223="","",IF(COUNTIF(Emplacements!$A$2:$A$1001,A1223)=0,"⚠ emplacement inconnu","OK"))</f>
        <v/>
      </c>
      <c r="K1223" s="22" t="str">
        <f aca="false">IF(AND(B1223&lt;&gt;"",ISNUMBER(SEARCH(Recherche!$C$3,C1223&amp;" "&amp;B1223&amp;" "&amp;A1223&amp;" "&amp;D1223))),MAX($K$1:K1222)+1,"")</f>
        <v/>
      </c>
    </row>
    <row r="1224" customFormat="false" ht="15" hidden="false" customHeight="false" outlineLevel="0" collapsed="false">
      <c r="A1224" s="12"/>
      <c r="B1224" s="12"/>
      <c r="C1224" s="17" t="str">
        <f aca="false">IF(B1224="","",IFERROR(INDEX(Produits!$F$2:$F$1001,MATCH(B1224,Produits!$A$2:$A$1001,0)),"⚠ code article inconnu"))</f>
        <v/>
      </c>
      <c r="D1224" s="12"/>
      <c r="E1224" s="23"/>
      <c r="F1224" s="24"/>
      <c r="G1224" s="23"/>
      <c r="H1224" s="21" t="str">
        <f aca="true">IF(E1224="","",ROUND((E1224-TODAY())/30.4,1))</f>
        <v/>
      </c>
      <c r="I1224" s="17" t="str">
        <f aca="false">IF(E1224="","",IF(H1224&lt;0,IF(LEFT(A1224,1)="Q","Périmé (en quarantaine)","PÉRIMÉ → déplacer en zone Q"),IF(H1224&lt;3,"Péremption &lt; 3 mois",IF(H1224&lt;6,"Péremption &lt; 6 mois",""))))</f>
        <v/>
      </c>
      <c r="J1224" s="17" t="str">
        <f aca="false">IF(A1224="","",IF(COUNTIF(Emplacements!$A$2:$A$1001,A1224)=0,"⚠ emplacement inconnu","OK"))</f>
        <v/>
      </c>
      <c r="K1224" s="22" t="str">
        <f aca="false">IF(AND(B1224&lt;&gt;"",ISNUMBER(SEARCH(Recherche!$C$3,C1224&amp;" "&amp;B1224&amp;" "&amp;A1224&amp;" "&amp;D1224))),MAX($K$1:K1223)+1,"")</f>
        <v/>
      </c>
    </row>
    <row r="1225" customFormat="false" ht="15" hidden="false" customHeight="false" outlineLevel="0" collapsed="false">
      <c r="A1225" s="12"/>
      <c r="B1225" s="12"/>
      <c r="C1225" s="17" t="str">
        <f aca="false">IF(B1225="","",IFERROR(INDEX(Produits!$F$2:$F$1001,MATCH(B1225,Produits!$A$2:$A$1001,0)),"⚠ code article inconnu"))</f>
        <v/>
      </c>
      <c r="D1225" s="12"/>
      <c r="E1225" s="23"/>
      <c r="F1225" s="24"/>
      <c r="G1225" s="23"/>
      <c r="H1225" s="21" t="str">
        <f aca="true">IF(E1225="","",ROUND((E1225-TODAY())/30.4,1))</f>
        <v/>
      </c>
      <c r="I1225" s="17" t="str">
        <f aca="false">IF(E1225="","",IF(H1225&lt;0,IF(LEFT(A1225,1)="Q","Périmé (en quarantaine)","PÉRIMÉ → déplacer en zone Q"),IF(H1225&lt;3,"Péremption &lt; 3 mois",IF(H1225&lt;6,"Péremption &lt; 6 mois",""))))</f>
        <v/>
      </c>
      <c r="J1225" s="17" t="str">
        <f aca="false">IF(A1225="","",IF(COUNTIF(Emplacements!$A$2:$A$1001,A1225)=0,"⚠ emplacement inconnu","OK"))</f>
        <v/>
      </c>
      <c r="K1225" s="22" t="str">
        <f aca="false">IF(AND(B1225&lt;&gt;"",ISNUMBER(SEARCH(Recherche!$C$3,C1225&amp;" "&amp;B1225&amp;" "&amp;A1225&amp;" "&amp;D1225))),MAX($K$1:K1224)+1,"")</f>
        <v/>
      </c>
    </row>
    <row r="1226" customFormat="false" ht="15" hidden="false" customHeight="false" outlineLevel="0" collapsed="false">
      <c r="A1226" s="12"/>
      <c r="B1226" s="12"/>
      <c r="C1226" s="17" t="str">
        <f aca="false">IF(B1226="","",IFERROR(INDEX(Produits!$F$2:$F$1001,MATCH(B1226,Produits!$A$2:$A$1001,0)),"⚠ code article inconnu"))</f>
        <v/>
      </c>
      <c r="D1226" s="12"/>
      <c r="E1226" s="23"/>
      <c r="F1226" s="24"/>
      <c r="G1226" s="23"/>
      <c r="H1226" s="21" t="str">
        <f aca="true">IF(E1226="","",ROUND((E1226-TODAY())/30.4,1))</f>
        <v/>
      </c>
      <c r="I1226" s="17" t="str">
        <f aca="false">IF(E1226="","",IF(H1226&lt;0,IF(LEFT(A1226,1)="Q","Périmé (en quarantaine)","PÉRIMÉ → déplacer en zone Q"),IF(H1226&lt;3,"Péremption &lt; 3 mois",IF(H1226&lt;6,"Péremption &lt; 6 mois",""))))</f>
        <v/>
      </c>
      <c r="J1226" s="17" t="str">
        <f aca="false">IF(A1226="","",IF(COUNTIF(Emplacements!$A$2:$A$1001,A1226)=0,"⚠ emplacement inconnu","OK"))</f>
        <v/>
      </c>
      <c r="K1226" s="22" t="str">
        <f aca="false">IF(AND(B1226&lt;&gt;"",ISNUMBER(SEARCH(Recherche!$C$3,C1226&amp;" "&amp;B1226&amp;" "&amp;A1226&amp;" "&amp;D1226))),MAX($K$1:K1225)+1,"")</f>
        <v/>
      </c>
    </row>
    <row r="1227" customFormat="false" ht="15" hidden="false" customHeight="false" outlineLevel="0" collapsed="false">
      <c r="A1227" s="12"/>
      <c r="B1227" s="12"/>
      <c r="C1227" s="17" t="str">
        <f aca="false">IF(B1227="","",IFERROR(INDEX(Produits!$F$2:$F$1001,MATCH(B1227,Produits!$A$2:$A$1001,0)),"⚠ code article inconnu"))</f>
        <v/>
      </c>
      <c r="D1227" s="12"/>
      <c r="E1227" s="23"/>
      <c r="F1227" s="24"/>
      <c r="G1227" s="23"/>
      <c r="H1227" s="21" t="str">
        <f aca="true">IF(E1227="","",ROUND((E1227-TODAY())/30.4,1))</f>
        <v/>
      </c>
      <c r="I1227" s="17" t="str">
        <f aca="false">IF(E1227="","",IF(H1227&lt;0,IF(LEFT(A1227,1)="Q","Périmé (en quarantaine)","PÉRIMÉ → déplacer en zone Q"),IF(H1227&lt;3,"Péremption &lt; 3 mois",IF(H1227&lt;6,"Péremption &lt; 6 mois",""))))</f>
        <v/>
      </c>
      <c r="J1227" s="17" t="str">
        <f aca="false">IF(A1227="","",IF(COUNTIF(Emplacements!$A$2:$A$1001,A1227)=0,"⚠ emplacement inconnu","OK"))</f>
        <v/>
      </c>
      <c r="K1227" s="22" t="str">
        <f aca="false">IF(AND(B1227&lt;&gt;"",ISNUMBER(SEARCH(Recherche!$C$3,C1227&amp;" "&amp;B1227&amp;" "&amp;A1227&amp;" "&amp;D1227))),MAX($K$1:K1226)+1,"")</f>
        <v/>
      </c>
    </row>
    <row r="1228" customFormat="false" ht="15" hidden="false" customHeight="false" outlineLevel="0" collapsed="false">
      <c r="A1228" s="12"/>
      <c r="B1228" s="12"/>
      <c r="C1228" s="17" t="str">
        <f aca="false">IF(B1228="","",IFERROR(INDEX(Produits!$F$2:$F$1001,MATCH(B1228,Produits!$A$2:$A$1001,0)),"⚠ code article inconnu"))</f>
        <v/>
      </c>
      <c r="D1228" s="12"/>
      <c r="E1228" s="23"/>
      <c r="F1228" s="24"/>
      <c r="G1228" s="23"/>
      <c r="H1228" s="21" t="str">
        <f aca="true">IF(E1228="","",ROUND((E1228-TODAY())/30.4,1))</f>
        <v/>
      </c>
      <c r="I1228" s="17" t="str">
        <f aca="false">IF(E1228="","",IF(H1228&lt;0,IF(LEFT(A1228,1)="Q","Périmé (en quarantaine)","PÉRIMÉ → déplacer en zone Q"),IF(H1228&lt;3,"Péremption &lt; 3 mois",IF(H1228&lt;6,"Péremption &lt; 6 mois",""))))</f>
        <v/>
      </c>
      <c r="J1228" s="17" t="str">
        <f aca="false">IF(A1228="","",IF(COUNTIF(Emplacements!$A$2:$A$1001,A1228)=0,"⚠ emplacement inconnu","OK"))</f>
        <v/>
      </c>
      <c r="K1228" s="22" t="str">
        <f aca="false">IF(AND(B1228&lt;&gt;"",ISNUMBER(SEARCH(Recherche!$C$3,C1228&amp;" "&amp;B1228&amp;" "&amp;A1228&amp;" "&amp;D1228))),MAX($K$1:K1227)+1,"")</f>
        <v/>
      </c>
    </row>
    <row r="1229" customFormat="false" ht="15" hidden="false" customHeight="false" outlineLevel="0" collapsed="false">
      <c r="A1229" s="12"/>
      <c r="B1229" s="12"/>
      <c r="C1229" s="17" t="str">
        <f aca="false">IF(B1229="","",IFERROR(INDEX(Produits!$F$2:$F$1001,MATCH(B1229,Produits!$A$2:$A$1001,0)),"⚠ code article inconnu"))</f>
        <v/>
      </c>
      <c r="D1229" s="12"/>
      <c r="E1229" s="23"/>
      <c r="F1229" s="24"/>
      <c r="G1229" s="23"/>
      <c r="H1229" s="21" t="str">
        <f aca="true">IF(E1229="","",ROUND((E1229-TODAY())/30.4,1))</f>
        <v/>
      </c>
      <c r="I1229" s="17" t="str">
        <f aca="false">IF(E1229="","",IF(H1229&lt;0,IF(LEFT(A1229,1)="Q","Périmé (en quarantaine)","PÉRIMÉ → déplacer en zone Q"),IF(H1229&lt;3,"Péremption &lt; 3 mois",IF(H1229&lt;6,"Péremption &lt; 6 mois",""))))</f>
        <v/>
      </c>
      <c r="J1229" s="17" t="str">
        <f aca="false">IF(A1229="","",IF(COUNTIF(Emplacements!$A$2:$A$1001,A1229)=0,"⚠ emplacement inconnu","OK"))</f>
        <v/>
      </c>
      <c r="K1229" s="22" t="str">
        <f aca="false">IF(AND(B1229&lt;&gt;"",ISNUMBER(SEARCH(Recherche!$C$3,C1229&amp;" "&amp;B1229&amp;" "&amp;A1229&amp;" "&amp;D1229))),MAX($K$1:K1228)+1,"")</f>
        <v/>
      </c>
    </row>
    <row r="1230" customFormat="false" ht="15" hidden="false" customHeight="false" outlineLevel="0" collapsed="false">
      <c r="A1230" s="12"/>
      <c r="B1230" s="12"/>
      <c r="C1230" s="17" t="str">
        <f aca="false">IF(B1230="","",IFERROR(INDEX(Produits!$F$2:$F$1001,MATCH(B1230,Produits!$A$2:$A$1001,0)),"⚠ code article inconnu"))</f>
        <v/>
      </c>
      <c r="D1230" s="12"/>
      <c r="E1230" s="23"/>
      <c r="F1230" s="24"/>
      <c r="G1230" s="23"/>
      <c r="H1230" s="21" t="str">
        <f aca="true">IF(E1230="","",ROUND((E1230-TODAY())/30.4,1))</f>
        <v/>
      </c>
      <c r="I1230" s="17" t="str">
        <f aca="false">IF(E1230="","",IF(H1230&lt;0,IF(LEFT(A1230,1)="Q","Périmé (en quarantaine)","PÉRIMÉ → déplacer en zone Q"),IF(H1230&lt;3,"Péremption &lt; 3 mois",IF(H1230&lt;6,"Péremption &lt; 6 mois",""))))</f>
        <v/>
      </c>
      <c r="J1230" s="17" t="str">
        <f aca="false">IF(A1230="","",IF(COUNTIF(Emplacements!$A$2:$A$1001,A1230)=0,"⚠ emplacement inconnu","OK"))</f>
        <v/>
      </c>
      <c r="K1230" s="22" t="str">
        <f aca="false">IF(AND(B1230&lt;&gt;"",ISNUMBER(SEARCH(Recherche!$C$3,C1230&amp;" "&amp;B1230&amp;" "&amp;A1230&amp;" "&amp;D1230))),MAX($K$1:K1229)+1,"")</f>
        <v/>
      </c>
    </row>
    <row r="1231" customFormat="false" ht="15" hidden="false" customHeight="false" outlineLevel="0" collapsed="false">
      <c r="A1231" s="12"/>
      <c r="B1231" s="12"/>
      <c r="C1231" s="17" t="str">
        <f aca="false">IF(B1231="","",IFERROR(INDEX(Produits!$F$2:$F$1001,MATCH(B1231,Produits!$A$2:$A$1001,0)),"⚠ code article inconnu"))</f>
        <v/>
      </c>
      <c r="D1231" s="12"/>
      <c r="E1231" s="23"/>
      <c r="F1231" s="24"/>
      <c r="G1231" s="23"/>
      <c r="H1231" s="21" t="str">
        <f aca="true">IF(E1231="","",ROUND((E1231-TODAY())/30.4,1))</f>
        <v/>
      </c>
      <c r="I1231" s="17" t="str">
        <f aca="false">IF(E1231="","",IF(H1231&lt;0,IF(LEFT(A1231,1)="Q","Périmé (en quarantaine)","PÉRIMÉ → déplacer en zone Q"),IF(H1231&lt;3,"Péremption &lt; 3 mois",IF(H1231&lt;6,"Péremption &lt; 6 mois",""))))</f>
        <v/>
      </c>
      <c r="J1231" s="17" t="str">
        <f aca="false">IF(A1231="","",IF(COUNTIF(Emplacements!$A$2:$A$1001,A1231)=0,"⚠ emplacement inconnu","OK"))</f>
        <v/>
      </c>
      <c r="K1231" s="22" t="str">
        <f aca="false">IF(AND(B1231&lt;&gt;"",ISNUMBER(SEARCH(Recherche!$C$3,C1231&amp;" "&amp;B1231&amp;" "&amp;A1231&amp;" "&amp;D1231))),MAX($K$1:K1230)+1,"")</f>
        <v/>
      </c>
    </row>
    <row r="1232" customFormat="false" ht="15" hidden="false" customHeight="false" outlineLevel="0" collapsed="false">
      <c r="A1232" s="12"/>
      <c r="B1232" s="12"/>
      <c r="C1232" s="17" t="str">
        <f aca="false">IF(B1232="","",IFERROR(INDEX(Produits!$F$2:$F$1001,MATCH(B1232,Produits!$A$2:$A$1001,0)),"⚠ code article inconnu"))</f>
        <v/>
      </c>
      <c r="D1232" s="12"/>
      <c r="E1232" s="23"/>
      <c r="F1232" s="24"/>
      <c r="G1232" s="23"/>
      <c r="H1232" s="21" t="str">
        <f aca="true">IF(E1232="","",ROUND((E1232-TODAY())/30.4,1))</f>
        <v/>
      </c>
      <c r="I1232" s="17" t="str">
        <f aca="false">IF(E1232="","",IF(H1232&lt;0,IF(LEFT(A1232,1)="Q","Périmé (en quarantaine)","PÉRIMÉ → déplacer en zone Q"),IF(H1232&lt;3,"Péremption &lt; 3 mois",IF(H1232&lt;6,"Péremption &lt; 6 mois",""))))</f>
        <v/>
      </c>
      <c r="J1232" s="17" t="str">
        <f aca="false">IF(A1232="","",IF(COUNTIF(Emplacements!$A$2:$A$1001,A1232)=0,"⚠ emplacement inconnu","OK"))</f>
        <v/>
      </c>
      <c r="K1232" s="22" t="str">
        <f aca="false">IF(AND(B1232&lt;&gt;"",ISNUMBER(SEARCH(Recherche!$C$3,C1232&amp;" "&amp;B1232&amp;" "&amp;A1232&amp;" "&amp;D1232))),MAX($K$1:K1231)+1,"")</f>
        <v/>
      </c>
    </row>
    <row r="1233" customFormat="false" ht="15" hidden="false" customHeight="false" outlineLevel="0" collapsed="false">
      <c r="A1233" s="12"/>
      <c r="B1233" s="12"/>
      <c r="C1233" s="17" t="str">
        <f aca="false">IF(B1233="","",IFERROR(INDEX(Produits!$F$2:$F$1001,MATCH(B1233,Produits!$A$2:$A$1001,0)),"⚠ code article inconnu"))</f>
        <v/>
      </c>
      <c r="D1233" s="12"/>
      <c r="E1233" s="23"/>
      <c r="F1233" s="24"/>
      <c r="G1233" s="23"/>
      <c r="H1233" s="21" t="str">
        <f aca="true">IF(E1233="","",ROUND((E1233-TODAY())/30.4,1))</f>
        <v/>
      </c>
      <c r="I1233" s="17" t="str">
        <f aca="false">IF(E1233="","",IF(H1233&lt;0,IF(LEFT(A1233,1)="Q","Périmé (en quarantaine)","PÉRIMÉ → déplacer en zone Q"),IF(H1233&lt;3,"Péremption &lt; 3 mois",IF(H1233&lt;6,"Péremption &lt; 6 mois",""))))</f>
        <v/>
      </c>
      <c r="J1233" s="17" t="str">
        <f aca="false">IF(A1233="","",IF(COUNTIF(Emplacements!$A$2:$A$1001,A1233)=0,"⚠ emplacement inconnu","OK"))</f>
        <v/>
      </c>
      <c r="K1233" s="22" t="str">
        <f aca="false">IF(AND(B1233&lt;&gt;"",ISNUMBER(SEARCH(Recherche!$C$3,C1233&amp;" "&amp;B1233&amp;" "&amp;A1233&amp;" "&amp;D1233))),MAX($K$1:K1232)+1,"")</f>
        <v/>
      </c>
    </row>
    <row r="1234" customFormat="false" ht="15" hidden="false" customHeight="false" outlineLevel="0" collapsed="false">
      <c r="A1234" s="12"/>
      <c r="B1234" s="12"/>
      <c r="C1234" s="17" t="str">
        <f aca="false">IF(B1234="","",IFERROR(INDEX(Produits!$F$2:$F$1001,MATCH(B1234,Produits!$A$2:$A$1001,0)),"⚠ code article inconnu"))</f>
        <v/>
      </c>
      <c r="D1234" s="12"/>
      <c r="E1234" s="23"/>
      <c r="F1234" s="24"/>
      <c r="G1234" s="23"/>
      <c r="H1234" s="21" t="str">
        <f aca="true">IF(E1234="","",ROUND((E1234-TODAY())/30.4,1))</f>
        <v/>
      </c>
      <c r="I1234" s="17" t="str">
        <f aca="false">IF(E1234="","",IF(H1234&lt;0,IF(LEFT(A1234,1)="Q","Périmé (en quarantaine)","PÉRIMÉ → déplacer en zone Q"),IF(H1234&lt;3,"Péremption &lt; 3 mois",IF(H1234&lt;6,"Péremption &lt; 6 mois",""))))</f>
        <v/>
      </c>
      <c r="J1234" s="17" t="str">
        <f aca="false">IF(A1234="","",IF(COUNTIF(Emplacements!$A$2:$A$1001,A1234)=0,"⚠ emplacement inconnu","OK"))</f>
        <v/>
      </c>
      <c r="K1234" s="22" t="str">
        <f aca="false">IF(AND(B1234&lt;&gt;"",ISNUMBER(SEARCH(Recherche!$C$3,C1234&amp;" "&amp;B1234&amp;" "&amp;A1234&amp;" "&amp;D1234))),MAX($K$1:K1233)+1,"")</f>
        <v/>
      </c>
    </row>
    <row r="1235" customFormat="false" ht="15" hidden="false" customHeight="false" outlineLevel="0" collapsed="false">
      <c r="A1235" s="12"/>
      <c r="B1235" s="12"/>
      <c r="C1235" s="17" t="str">
        <f aca="false">IF(B1235="","",IFERROR(INDEX(Produits!$F$2:$F$1001,MATCH(B1235,Produits!$A$2:$A$1001,0)),"⚠ code article inconnu"))</f>
        <v/>
      </c>
      <c r="D1235" s="12"/>
      <c r="E1235" s="23"/>
      <c r="F1235" s="24"/>
      <c r="G1235" s="23"/>
      <c r="H1235" s="21" t="str">
        <f aca="true">IF(E1235="","",ROUND((E1235-TODAY())/30.4,1))</f>
        <v/>
      </c>
      <c r="I1235" s="17" t="str">
        <f aca="false">IF(E1235="","",IF(H1235&lt;0,IF(LEFT(A1235,1)="Q","Périmé (en quarantaine)","PÉRIMÉ → déplacer en zone Q"),IF(H1235&lt;3,"Péremption &lt; 3 mois",IF(H1235&lt;6,"Péremption &lt; 6 mois",""))))</f>
        <v/>
      </c>
      <c r="J1235" s="17" t="str">
        <f aca="false">IF(A1235="","",IF(COUNTIF(Emplacements!$A$2:$A$1001,A1235)=0,"⚠ emplacement inconnu","OK"))</f>
        <v/>
      </c>
      <c r="K1235" s="22" t="str">
        <f aca="false">IF(AND(B1235&lt;&gt;"",ISNUMBER(SEARCH(Recherche!$C$3,C1235&amp;" "&amp;B1235&amp;" "&amp;A1235&amp;" "&amp;D1235))),MAX($K$1:K1234)+1,"")</f>
        <v/>
      </c>
    </row>
    <row r="1236" customFormat="false" ht="15" hidden="false" customHeight="false" outlineLevel="0" collapsed="false">
      <c r="A1236" s="12"/>
      <c r="B1236" s="12"/>
      <c r="C1236" s="17" t="str">
        <f aca="false">IF(B1236="","",IFERROR(INDEX(Produits!$F$2:$F$1001,MATCH(B1236,Produits!$A$2:$A$1001,0)),"⚠ code article inconnu"))</f>
        <v/>
      </c>
      <c r="D1236" s="12"/>
      <c r="E1236" s="23"/>
      <c r="F1236" s="24"/>
      <c r="G1236" s="23"/>
      <c r="H1236" s="21" t="str">
        <f aca="true">IF(E1236="","",ROUND((E1236-TODAY())/30.4,1))</f>
        <v/>
      </c>
      <c r="I1236" s="17" t="str">
        <f aca="false">IF(E1236="","",IF(H1236&lt;0,IF(LEFT(A1236,1)="Q","Périmé (en quarantaine)","PÉRIMÉ → déplacer en zone Q"),IF(H1236&lt;3,"Péremption &lt; 3 mois",IF(H1236&lt;6,"Péremption &lt; 6 mois",""))))</f>
        <v/>
      </c>
      <c r="J1236" s="17" t="str">
        <f aca="false">IF(A1236="","",IF(COUNTIF(Emplacements!$A$2:$A$1001,A1236)=0,"⚠ emplacement inconnu","OK"))</f>
        <v/>
      </c>
      <c r="K1236" s="22" t="str">
        <f aca="false">IF(AND(B1236&lt;&gt;"",ISNUMBER(SEARCH(Recherche!$C$3,C1236&amp;" "&amp;B1236&amp;" "&amp;A1236&amp;" "&amp;D1236))),MAX($K$1:K1235)+1,"")</f>
        <v/>
      </c>
    </row>
    <row r="1237" customFormat="false" ht="15" hidden="false" customHeight="false" outlineLevel="0" collapsed="false">
      <c r="A1237" s="12"/>
      <c r="B1237" s="12"/>
      <c r="C1237" s="17" t="str">
        <f aca="false">IF(B1237="","",IFERROR(INDEX(Produits!$F$2:$F$1001,MATCH(B1237,Produits!$A$2:$A$1001,0)),"⚠ code article inconnu"))</f>
        <v/>
      </c>
      <c r="D1237" s="12"/>
      <c r="E1237" s="23"/>
      <c r="F1237" s="24"/>
      <c r="G1237" s="23"/>
      <c r="H1237" s="21" t="str">
        <f aca="true">IF(E1237="","",ROUND((E1237-TODAY())/30.4,1))</f>
        <v/>
      </c>
      <c r="I1237" s="17" t="str">
        <f aca="false">IF(E1237="","",IF(H1237&lt;0,IF(LEFT(A1237,1)="Q","Périmé (en quarantaine)","PÉRIMÉ → déplacer en zone Q"),IF(H1237&lt;3,"Péremption &lt; 3 mois",IF(H1237&lt;6,"Péremption &lt; 6 mois",""))))</f>
        <v/>
      </c>
      <c r="J1237" s="17" t="str">
        <f aca="false">IF(A1237="","",IF(COUNTIF(Emplacements!$A$2:$A$1001,A1237)=0,"⚠ emplacement inconnu","OK"))</f>
        <v/>
      </c>
      <c r="K1237" s="22" t="str">
        <f aca="false">IF(AND(B1237&lt;&gt;"",ISNUMBER(SEARCH(Recherche!$C$3,C1237&amp;" "&amp;B1237&amp;" "&amp;A1237&amp;" "&amp;D1237))),MAX($K$1:K1236)+1,"")</f>
        <v/>
      </c>
    </row>
    <row r="1238" customFormat="false" ht="15" hidden="false" customHeight="false" outlineLevel="0" collapsed="false">
      <c r="A1238" s="12"/>
      <c r="B1238" s="12"/>
      <c r="C1238" s="17" t="str">
        <f aca="false">IF(B1238="","",IFERROR(INDEX(Produits!$F$2:$F$1001,MATCH(B1238,Produits!$A$2:$A$1001,0)),"⚠ code article inconnu"))</f>
        <v/>
      </c>
      <c r="D1238" s="12"/>
      <c r="E1238" s="23"/>
      <c r="F1238" s="24"/>
      <c r="G1238" s="23"/>
      <c r="H1238" s="21" t="str">
        <f aca="true">IF(E1238="","",ROUND((E1238-TODAY())/30.4,1))</f>
        <v/>
      </c>
      <c r="I1238" s="17" t="str">
        <f aca="false">IF(E1238="","",IF(H1238&lt;0,IF(LEFT(A1238,1)="Q","Périmé (en quarantaine)","PÉRIMÉ → déplacer en zone Q"),IF(H1238&lt;3,"Péremption &lt; 3 mois",IF(H1238&lt;6,"Péremption &lt; 6 mois",""))))</f>
        <v/>
      </c>
      <c r="J1238" s="17" t="str">
        <f aca="false">IF(A1238="","",IF(COUNTIF(Emplacements!$A$2:$A$1001,A1238)=0,"⚠ emplacement inconnu","OK"))</f>
        <v/>
      </c>
      <c r="K1238" s="22" t="str">
        <f aca="false">IF(AND(B1238&lt;&gt;"",ISNUMBER(SEARCH(Recherche!$C$3,C1238&amp;" "&amp;B1238&amp;" "&amp;A1238&amp;" "&amp;D1238))),MAX($K$1:K1237)+1,"")</f>
        <v/>
      </c>
    </row>
    <row r="1239" customFormat="false" ht="15" hidden="false" customHeight="false" outlineLevel="0" collapsed="false">
      <c r="A1239" s="12"/>
      <c r="B1239" s="12"/>
      <c r="C1239" s="17" t="str">
        <f aca="false">IF(B1239="","",IFERROR(INDEX(Produits!$F$2:$F$1001,MATCH(B1239,Produits!$A$2:$A$1001,0)),"⚠ code article inconnu"))</f>
        <v/>
      </c>
      <c r="D1239" s="12"/>
      <c r="E1239" s="23"/>
      <c r="F1239" s="24"/>
      <c r="G1239" s="23"/>
      <c r="H1239" s="21" t="str">
        <f aca="true">IF(E1239="","",ROUND((E1239-TODAY())/30.4,1))</f>
        <v/>
      </c>
      <c r="I1239" s="17" t="str">
        <f aca="false">IF(E1239="","",IF(H1239&lt;0,IF(LEFT(A1239,1)="Q","Périmé (en quarantaine)","PÉRIMÉ → déplacer en zone Q"),IF(H1239&lt;3,"Péremption &lt; 3 mois",IF(H1239&lt;6,"Péremption &lt; 6 mois",""))))</f>
        <v/>
      </c>
      <c r="J1239" s="17" t="str">
        <f aca="false">IF(A1239="","",IF(COUNTIF(Emplacements!$A$2:$A$1001,A1239)=0,"⚠ emplacement inconnu","OK"))</f>
        <v/>
      </c>
      <c r="K1239" s="22" t="str">
        <f aca="false">IF(AND(B1239&lt;&gt;"",ISNUMBER(SEARCH(Recherche!$C$3,C1239&amp;" "&amp;B1239&amp;" "&amp;A1239&amp;" "&amp;D1239))),MAX($K$1:K1238)+1,"")</f>
        <v/>
      </c>
    </row>
    <row r="1240" customFormat="false" ht="15" hidden="false" customHeight="false" outlineLevel="0" collapsed="false">
      <c r="A1240" s="12"/>
      <c r="B1240" s="12"/>
      <c r="C1240" s="17" t="str">
        <f aca="false">IF(B1240="","",IFERROR(INDEX(Produits!$F$2:$F$1001,MATCH(B1240,Produits!$A$2:$A$1001,0)),"⚠ code article inconnu"))</f>
        <v/>
      </c>
      <c r="D1240" s="12"/>
      <c r="E1240" s="23"/>
      <c r="F1240" s="24"/>
      <c r="G1240" s="23"/>
      <c r="H1240" s="21" t="str">
        <f aca="true">IF(E1240="","",ROUND((E1240-TODAY())/30.4,1))</f>
        <v/>
      </c>
      <c r="I1240" s="17" t="str">
        <f aca="false">IF(E1240="","",IF(H1240&lt;0,IF(LEFT(A1240,1)="Q","Périmé (en quarantaine)","PÉRIMÉ → déplacer en zone Q"),IF(H1240&lt;3,"Péremption &lt; 3 mois",IF(H1240&lt;6,"Péremption &lt; 6 mois",""))))</f>
        <v/>
      </c>
      <c r="J1240" s="17" t="str">
        <f aca="false">IF(A1240="","",IF(COUNTIF(Emplacements!$A$2:$A$1001,A1240)=0,"⚠ emplacement inconnu","OK"))</f>
        <v/>
      </c>
      <c r="K1240" s="22" t="str">
        <f aca="false">IF(AND(B1240&lt;&gt;"",ISNUMBER(SEARCH(Recherche!$C$3,C1240&amp;" "&amp;B1240&amp;" "&amp;A1240&amp;" "&amp;D1240))),MAX($K$1:K1239)+1,"")</f>
        <v/>
      </c>
    </row>
    <row r="1241" customFormat="false" ht="15" hidden="false" customHeight="false" outlineLevel="0" collapsed="false">
      <c r="A1241" s="12"/>
      <c r="B1241" s="12"/>
      <c r="C1241" s="17" t="str">
        <f aca="false">IF(B1241="","",IFERROR(INDEX(Produits!$F$2:$F$1001,MATCH(B1241,Produits!$A$2:$A$1001,0)),"⚠ code article inconnu"))</f>
        <v/>
      </c>
      <c r="D1241" s="12"/>
      <c r="E1241" s="23"/>
      <c r="F1241" s="24"/>
      <c r="G1241" s="23"/>
      <c r="H1241" s="21" t="str">
        <f aca="true">IF(E1241="","",ROUND((E1241-TODAY())/30.4,1))</f>
        <v/>
      </c>
      <c r="I1241" s="17" t="str">
        <f aca="false">IF(E1241="","",IF(H1241&lt;0,IF(LEFT(A1241,1)="Q","Périmé (en quarantaine)","PÉRIMÉ → déplacer en zone Q"),IF(H1241&lt;3,"Péremption &lt; 3 mois",IF(H1241&lt;6,"Péremption &lt; 6 mois",""))))</f>
        <v/>
      </c>
      <c r="J1241" s="17" t="str">
        <f aca="false">IF(A1241="","",IF(COUNTIF(Emplacements!$A$2:$A$1001,A1241)=0,"⚠ emplacement inconnu","OK"))</f>
        <v/>
      </c>
      <c r="K1241" s="22" t="str">
        <f aca="false">IF(AND(B1241&lt;&gt;"",ISNUMBER(SEARCH(Recherche!$C$3,C1241&amp;" "&amp;B1241&amp;" "&amp;A1241&amp;" "&amp;D1241))),MAX($K$1:K1240)+1,"")</f>
        <v/>
      </c>
    </row>
    <row r="1242" customFormat="false" ht="15" hidden="false" customHeight="false" outlineLevel="0" collapsed="false">
      <c r="A1242" s="12"/>
      <c r="B1242" s="12"/>
      <c r="C1242" s="17" t="str">
        <f aca="false">IF(B1242="","",IFERROR(INDEX(Produits!$F$2:$F$1001,MATCH(B1242,Produits!$A$2:$A$1001,0)),"⚠ code article inconnu"))</f>
        <v/>
      </c>
      <c r="D1242" s="12"/>
      <c r="E1242" s="23"/>
      <c r="F1242" s="24"/>
      <c r="G1242" s="23"/>
      <c r="H1242" s="21" t="str">
        <f aca="true">IF(E1242="","",ROUND((E1242-TODAY())/30.4,1))</f>
        <v/>
      </c>
      <c r="I1242" s="17" t="str">
        <f aca="false">IF(E1242="","",IF(H1242&lt;0,IF(LEFT(A1242,1)="Q","Périmé (en quarantaine)","PÉRIMÉ → déplacer en zone Q"),IF(H1242&lt;3,"Péremption &lt; 3 mois",IF(H1242&lt;6,"Péremption &lt; 6 mois",""))))</f>
        <v/>
      </c>
      <c r="J1242" s="17" t="str">
        <f aca="false">IF(A1242="","",IF(COUNTIF(Emplacements!$A$2:$A$1001,A1242)=0,"⚠ emplacement inconnu","OK"))</f>
        <v/>
      </c>
      <c r="K1242" s="22" t="str">
        <f aca="false">IF(AND(B1242&lt;&gt;"",ISNUMBER(SEARCH(Recherche!$C$3,C1242&amp;" "&amp;B1242&amp;" "&amp;A1242&amp;" "&amp;D1242))),MAX($K$1:K1241)+1,"")</f>
        <v/>
      </c>
    </row>
    <row r="1243" customFormat="false" ht="15" hidden="false" customHeight="false" outlineLevel="0" collapsed="false">
      <c r="A1243" s="12"/>
      <c r="B1243" s="12"/>
      <c r="C1243" s="17" t="str">
        <f aca="false">IF(B1243="","",IFERROR(INDEX(Produits!$F$2:$F$1001,MATCH(B1243,Produits!$A$2:$A$1001,0)),"⚠ code article inconnu"))</f>
        <v/>
      </c>
      <c r="D1243" s="12"/>
      <c r="E1243" s="23"/>
      <c r="F1243" s="24"/>
      <c r="G1243" s="23"/>
      <c r="H1243" s="21" t="str">
        <f aca="true">IF(E1243="","",ROUND((E1243-TODAY())/30.4,1))</f>
        <v/>
      </c>
      <c r="I1243" s="17" t="str">
        <f aca="false">IF(E1243="","",IF(H1243&lt;0,IF(LEFT(A1243,1)="Q","Périmé (en quarantaine)","PÉRIMÉ → déplacer en zone Q"),IF(H1243&lt;3,"Péremption &lt; 3 mois",IF(H1243&lt;6,"Péremption &lt; 6 mois",""))))</f>
        <v/>
      </c>
      <c r="J1243" s="17" t="str">
        <f aca="false">IF(A1243="","",IF(COUNTIF(Emplacements!$A$2:$A$1001,A1243)=0,"⚠ emplacement inconnu","OK"))</f>
        <v/>
      </c>
      <c r="K1243" s="22" t="str">
        <f aca="false">IF(AND(B1243&lt;&gt;"",ISNUMBER(SEARCH(Recherche!$C$3,C1243&amp;" "&amp;B1243&amp;" "&amp;A1243&amp;" "&amp;D1243))),MAX($K$1:K1242)+1,"")</f>
        <v/>
      </c>
    </row>
    <row r="1244" customFormat="false" ht="15" hidden="false" customHeight="false" outlineLevel="0" collapsed="false">
      <c r="A1244" s="12"/>
      <c r="B1244" s="12"/>
      <c r="C1244" s="17" t="str">
        <f aca="false">IF(B1244="","",IFERROR(INDEX(Produits!$F$2:$F$1001,MATCH(B1244,Produits!$A$2:$A$1001,0)),"⚠ code article inconnu"))</f>
        <v/>
      </c>
      <c r="D1244" s="12"/>
      <c r="E1244" s="23"/>
      <c r="F1244" s="24"/>
      <c r="G1244" s="23"/>
      <c r="H1244" s="21" t="str">
        <f aca="true">IF(E1244="","",ROUND((E1244-TODAY())/30.4,1))</f>
        <v/>
      </c>
      <c r="I1244" s="17" t="str">
        <f aca="false">IF(E1244="","",IF(H1244&lt;0,IF(LEFT(A1244,1)="Q","Périmé (en quarantaine)","PÉRIMÉ → déplacer en zone Q"),IF(H1244&lt;3,"Péremption &lt; 3 mois",IF(H1244&lt;6,"Péremption &lt; 6 mois",""))))</f>
        <v/>
      </c>
      <c r="J1244" s="17" t="str">
        <f aca="false">IF(A1244="","",IF(COUNTIF(Emplacements!$A$2:$A$1001,A1244)=0,"⚠ emplacement inconnu","OK"))</f>
        <v/>
      </c>
      <c r="K1244" s="22" t="str">
        <f aca="false">IF(AND(B1244&lt;&gt;"",ISNUMBER(SEARCH(Recherche!$C$3,C1244&amp;" "&amp;B1244&amp;" "&amp;A1244&amp;" "&amp;D1244))),MAX($K$1:K1243)+1,"")</f>
        <v/>
      </c>
    </row>
    <row r="1245" customFormat="false" ht="15" hidden="false" customHeight="false" outlineLevel="0" collapsed="false">
      <c r="A1245" s="12"/>
      <c r="B1245" s="12"/>
      <c r="C1245" s="17" t="str">
        <f aca="false">IF(B1245="","",IFERROR(INDEX(Produits!$F$2:$F$1001,MATCH(B1245,Produits!$A$2:$A$1001,0)),"⚠ code article inconnu"))</f>
        <v/>
      </c>
      <c r="D1245" s="12"/>
      <c r="E1245" s="23"/>
      <c r="F1245" s="24"/>
      <c r="G1245" s="23"/>
      <c r="H1245" s="21" t="str">
        <f aca="true">IF(E1245="","",ROUND((E1245-TODAY())/30.4,1))</f>
        <v/>
      </c>
      <c r="I1245" s="17" t="str">
        <f aca="false">IF(E1245="","",IF(H1245&lt;0,IF(LEFT(A1245,1)="Q","Périmé (en quarantaine)","PÉRIMÉ → déplacer en zone Q"),IF(H1245&lt;3,"Péremption &lt; 3 mois",IF(H1245&lt;6,"Péremption &lt; 6 mois",""))))</f>
        <v/>
      </c>
      <c r="J1245" s="17" t="str">
        <f aca="false">IF(A1245="","",IF(COUNTIF(Emplacements!$A$2:$A$1001,A1245)=0,"⚠ emplacement inconnu","OK"))</f>
        <v/>
      </c>
      <c r="K1245" s="22" t="str">
        <f aca="false">IF(AND(B1245&lt;&gt;"",ISNUMBER(SEARCH(Recherche!$C$3,C1245&amp;" "&amp;B1245&amp;" "&amp;A1245&amp;" "&amp;D1245))),MAX($K$1:K1244)+1,"")</f>
        <v/>
      </c>
    </row>
    <row r="1246" customFormat="false" ht="15" hidden="false" customHeight="false" outlineLevel="0" collapsed="false">
      <c r="A1246" s="12"/>
      <c r="B1246" s="12"/>
      <c r="C1246" s="17" t="str">
        <f aca="false">IF(B1246="","",IFERROR(INDEX(Produits!$F$2:$F$1001,MATCH(B1246,Produits!$A$2:$A$1001,0)),"⚠ code article inconnu"))</f>
        <v/>
      </c>
      <c r="D1246" s="12"/>
      <c r="E1246" s="23"/>
      <c r="F1246" s="24"/>
      <c r="G1246" s="23"/>
      <c r="H1246" s="21" t="str">
        <f aca="true">IF(E1246="","",ROUND((E1246-TODAY())/30.4,1))</f>
        <v/>
      </c>
      <c r="I1246" s="17" t="str">
        <f aca="false">IF(E1246="","",IF(H1246&lt;0,IF(LEFT(A1246,1)="Q","Périmé (en quarantaine)","PÉRIMÉ → déplacer en zone Q"),IF(H1246&lt;3,"Péremption &lt; 3 mois",IF(H1246&lt;6,"Péremption &lt; 6 mois",""))))</f>
        <v/>
      </c>
      <c r="J1246" s="17" t="str">
        <f aca="false">IF(A1246="","",IF(COUNTIF(Emplacements!$A$2:$A$1001,A1246)=0,"⚠ emplacement inconnu","OK"))</f>
        <v/>
      </c>
      <c r="K1246" s="22" t="str">
        <f aca="false">IF(AND(B1246&lt;&gt;"",ISNUMBER(SEARCH(Recherche!$C$3,C1246&amp;" "&amp;B1246&amp;" "&amp;A1246&amp;" "&amp;D1246))),MAX($K$1:K1245)+1,"")</f>
        <v/>
      </c>
    </row>
    <row r="1247" customFormat="false" ht="15" hidden="false" customHeight="false" outlineLevel="0" collapsed="false">
      <c r="A1247" s="12"/>
      <c r="B1247" s="12"/>
      <c r="C1247" s="17" t="str">
        <f aca="false">IF(B1247="","",IFERROR(INDEX(Produits!$F$2:$F$1001,MATCH(B1247,Produits!$A$2:$A$1001,0)),"⚠ code article inconnu"))</f>
        <v/>
      </c>
      <c r="D1247" s="12"/>
      <c r="E1247" s="23"/>
      <c r="F1247" s="24"/>
      <c r="G1247" s="23"/>
      <c r="H1247" s="21" t="str">
        <f aca="true">IF(E1247="","",ROUND((E1247-TODAY())/30.4,1))</f>
        <v/>
      </c>
      <c r="I1247" s="17" t="str">
        <f aca="false">IF(E1247="","",IF(H1247&lt;0,IF(LEFT(A1247,1)="Q","Périmé (en quarantaine)","PÉRIMÉ → déplacer en zone Q"),IF(H1247&lt;3,"Péremption &lt; 3 mois",IF(H1247&lt;6,"Péremption &lt; 6 mois",""))))</f>
        <v/>
      </c>
      <c r="J1247" s="17" t="str">
        <f aca="false">IF(A1247="","",IF(COUNTIF(Emplacements!$A$2:$A$1001,A1247)=0,"⚠ emplacement inconnu","OK"))</f>
        <v/>
      </c>
      <c r="K1247" s="22" t="str">
        <f aca="false">IF(AND(B1247&lt;&gt;"",ISNUMBER(SEARCH(Recherche!$C$3,C1247&amp;" "&amp;B1247&amp;" "&amp;A1247&amp;" "&amp;D1247))),MAX($K$1:K1246)+1,"")</f>
        <v/>
      </c>
    </row>
    <row r="1248" customFormat="false" ht="15" hidden="false" customHeight="false" outlineLevel="0" collapsed="false">
      <c r="A1248" s="12"/>
      <c r="B1248" s="12"/>
      <c r="C1248" s="17" t="str">
        <f aca="false">IF(B1248="","",IFERROR(INDEX(Produits!$F$2:$F$1001,MATCH(B1248,Produits!$A$2:$A$1001,0)),"⚠ code article inconnu"))</f>
        <v/>
      </c>
      <c r="D1248" s="12"/>
      <c r="E1248" s="23"/>
      <c r="F1248" s="24"/>
      <c r="G1248" s="23"/>
      <c r="H1248" s="21" t="str">
        <f aca="true">IF(E1248="","",ROUND((E1248-TODAY())/30.4,1))</f>
        <v/>
      </c>
      <c r="I1248" s="17" t="str">
        <f aca="false">IF(E1248="","",IF(H1248&lt;0,IF(LEFT(A1248,1)="Q","Périmé (en quarantaine)","PÉRIMÉ → déplacer en zone Q"),IF(H1248&lt;3,"Péremption &lt; 3 mois",IF(H1248&lt;6,"Péremption &lt; 6 mois",""))))</f>
        <v/>
      </c>
      <c r="J1248" s="17" t="str">
        <f aca="false">IF(A1248="","",IF(COUNTIF(Emplacements!$A$2:$A$1001,A1248)=0,"⚠ emplacement inconnu","OK"))</f>
        <v/>
      </c>
      <c r="K1248" s="22" t="str">
        <f aca="false">IF(AND(B1248&lt;&gt;"",ISNUMBER(SEARCH(Recherche!$C$3,C1248&amp;" "&amp;B1248&amp;" "&amp;A1248&amp;" "&amp;D1248))),MAX($K$1:K1247)+1,"")</f>
        <v/>
      </c>
    </row>
    <row r="1249" customFormat="false" ht="15" hidden="false" customHeight="false" outlineLevel="0" collapsed="false">
      <c r="A1249" s="12"/>
      <c r="B1249" s="12"/>
      <c r="C1249" s="17" t="str">
        <f aca="false">IF(B1249="","",IFERROR(INDEX(Produits!$F$2:$F$1001,MATCH(B1249,Produits!$A$2:$A$1001,0)),"⚠ code article inconnu"))</f>
        <v/>
      </c>
      <c r="D1249" s="12"/>
      <c r="E1249" s="23"/>
      <c r="F1249" s="24"/>
      <c r="G1249" s="23"/>
      <c r="H1249" s="21" t="str">
        <f aca="true">IF(E1249="","",ROUND((E1249-TODAY())/30.4,1))</f>
        <v/>
      </c>
      <c r="I1249" s="17" t="str">
        <f aca="false">IF(E1249="","",IF(H1249&lt;0,IF(LEFT(A1249,1)="Q","Périmé (en quarantaine)","PÉRIMÉ → déplacer en zone Q"),IF(H1249&lt;3,"Péremption &lt; 3 mois",IF(H1249&lt;6,"Péremption &lt; 6 mois",""))))</f>
        <v/>
      </c>
      <c r="J1249" s="17" t="str">
        <f aca="false">IF(A1249="","",IF(COUNTIF(Emplacements!$A$2:$A$1001,A1249)=0,"⚠ emplacement inconnu","OK"))</f>
        <v/>
      </c>
      <c r="K1249" s="22" t="str">
        <f aca="false">IF(AND(B1249&lt;&gt;"",ISNUMBER(SEARCH(Recherche!$C$3,C1249&amp;" "&amp;B1249&amp;" "&amp;A1249&amp;" "&amp;D1249))),MAX($K$1:K1248)+1,"")</f>
        <v/>
      </c>
    </row>
    <row r="1250" customFormat="false" ht="15" hidden="false" customHeight="false" outlineLevel="0" collapsed="false">
      <c r="A1250" s="12"/>
      <c r="B1250" s="12"/>
      <c r="C1250" s="17" t="str">
        <f aca="false">IF(B1250="","",IFERROR(INDEX(Produits!$F$2:$F$1001,MATCH(B1250,Produits!$A$2:$A$1001,0)),"⚠ code article inconnu"))</f>
        <v/>
      </c>
      <c r="D1250" s="12"/>
      <c r="E1250" s="23"/>
      <c r="F1250" s="24"/>
      <c r="G1250" s="23"/>
      <c r="H1250" s="21" t="str">
        <f aca="true">IF(E1250="","",ROUND((E1250-TODAY())/30.4,1))</f>
        <v/>
      </c>
      <c r="I1250" s="17" t="str">
        <f aca="false">IF(E1250="","",IF(H1250&lt;0,IF(LEFT(A1250,1)="Q","Périmé (en quarantaine)","PÉRIMÉ → déplacer en zone Q"),IF(H1250&lt;3,"Péremption &lt; 3 mois",IF(H1250&lt;6,"Péremption &lt; 6 mois",""))))</f>
        <v/>
      </c>
      <c r="J1250" s="17" t="str">
        <f aca="false">IF(A1250="","",IF(COUNTIF(Emplacements!$A$2:$A$1001,A1250)=0,"⚠ emplacement inconnu","OK"))</f>
        <v/>
      </c>
      <c r="K1250" s="22" t="str">
        <f aca="false">IF(AND(B1250&lt;&gt;"",ISNUMBER(SEARCH(Recherche!$C$3,C1250&amp;" "&amp;B1250&amp;" "&amp;A1250&amp;" "&amp;D1250))),MAX($K$1:K1249)+1,"")</f>
        <v/>
      </c>
    </row>
    <row r="1251" customFormat="false" ht="15" hidden="false" customHeight="false" outlineLevel="0" collapsed="false">
      <c r="A1251" s="12"/>
      <c r="B1251" s="12"/>
      <c r="C1251" s="17" t="str">
        <f aca="false">IF(B1251="","",IFERROR(INDEX(Produits!$F$2:$F$1001,MATCH(B1251,Produits!$A$2:$A$1001,0)),"⚠ code article inconnu"))</f>
        <v/>
      </c>
      <c r="D1251" s="12"/>
      <c r="E1251" s="23"/>
      <c r="F1251" s="24"/>
      <c r="G1251" s="23"/>
      <c r="H1251" s="21" t="str">
        <f aca="true">IF(E1251="","",ROUND((E1251-TODAY())/30.4,1))</f>
        <v/>
      </c>
      <c r="I1251" s="17" t="str">
        <f aca="false">IF(E1251="","",IF(H1251&lt;0,IF(LEFT(A1251,1)="Q","Périmé (en quarantaine)","PÉRIMÉ → déplacer en zone Q"),IF(H1251&lt;3,"Péremption &lt; 3 mois",IF(H1251&lt;6,"Péremption &lt; 6 mois",""))))</f>
        <v/>
      </c>
      <c r="J1251" s="17" t="str">
        <f aca="false">IF(A1251="","",IF(COUNTIF(Emplacements!$A$2:$A$1001,A1251)=0,"⚠ emplacement inconnu","OK"))</f>
        <v/>
      </c>
      <c r="K1251" s="22" t="str">
        <f aca="false">IF(AND(B1251&lt;&gt;"",ISNUMBER(SEARCH(Recherche!$C$3,C1251&amp;" "&amp;B1251&amp;" "&amp;A1251&amp;" "&amp;D1251))),MAX($K$1:K1250)+1,"")</f>
        <v/>
      </c>
    </row>
    <row r="1252" customFormat="false" ht="15" hidden="false" customHeight="false" outlineLevel="0" collapsed="false">
      <c r="A1252" s="12"/>
      <c r="B1252" s="12"/>
      <c r="C1252" s="17" t="str">
        <f aca="false">IF(B1252="","",IFERROR(INDEX(Produits!$F$2:$F$1001,MATCH(B1252,Produits!$A$2:$A$1001,0)),"⚠ code article inconnu"))</f>
        <v/>
      </c>
      <c r="D1252" s="12"/>
      <c r="E1252" s="23"/>
      <c r="F1252" s="24"/>
      <c r="G1252" s="23"/>
      <c r="H1252" s="21" t="str">
        <f aca="true">IF(E1252="","",ROUND((E1252-TODAY())/30.4,1))</f>
        <v/>
      </c>
      <c r="I1252" s="17" t="str">
        <f aca="false">IF(E1252="","",IF(H1252&lt;0,IF(LEFT(A1252,1)="Q","Périmé (en quarantaine)","PÉRIMÉ → déplacer en zone Q"),IF(H1252&lt;3,"Péremption &lt; 3 mois",IF(H1252&lt;6,"Péremption &lt; 6 mois",""))))</f>
        <v/>
      </c>
      <c r="J1252" s="17" t="str">
        <f aca="false">IF(A1252="","",IF(COUNTIF(Emplacements!$A$2:$A$1001,A1252)=0,"⚠ emplacement inconnu","OK"))</f>
        <v/>
      </c>
      <c r="K1252" s="22" t="str">
        <f aca="false">IF(AND(B1252&lt;&gt;"",ISNUMBER(SEARCH(Recherche!$C$3,C1252&amp;" "&amp;B1252&amp;" "&amp;A1252&amp;" "&amp;D1252))),MAX($K$1:K1251)+1,"")</f>
        <v/>
      </c>
    </row>
    <row r="1253" customFormat="false" ht="15" hidden="false" customHeight="false" outlineLevel="0" collapsed="false">
      <c r="A1253" s="12"/>
      <c r="B1253" s="12"/>
      <c r="C1253" s="17" t="str">
        <f aca="false">IF(B1253="","",IFERROR(INDEX(Produits!$F$2:$F$1001,MATCH(B1253,Produits!$A$2:$A$1001,0)),"⚠ code article inconnu"))</f>
        <v/>
      </c>
      <c r="D1253" s="12"/>
      <c r="E1253" s="23"/>
      <c r="F1253" s="24"/>
      <c r="G1253" s="23"/>
      <c r="H1253" s="21" t="str">
        <f aca="true">IF(E1253="","",ROUND((E1253-TODAY())/30.4,1))</f>
        <v/>
      </c>
      <c r="I1253" s="17" t="str">
        <f aca="false">IF(E1253="","",IF(H1253&lt;0,IF(LEFT(A1253,1)="Q","Périmé (en quarantaine)","PÉRIMÉ → déplacer en zone Q"),IF(H1253&lt;3,"Péremption &lt; 3 mois",IF(H1253&lt;6,"Péremption &lt; 6 mois",""))))</f>
        <v/>
      </c>
      <c r="J1253" s="17" t="str">
        <f aca="false">IF(A1253="","",IF(COUNTIF(Emplacements!$A$2:$A$1001,A1253)=0,"⚠ emplacement inconnu","OK"))</f>
        <v/>
      </c>
      <c r="K1253" s="22" t="str">
        <f aca="false">IF(AND(B1253&lt;&gt;"",ISNUMBER(SEARCH(Recherche!$C$3,C1253&amp;" "&amp;B1253&amp;" "&amp;A1253&amp;" "&amp;D1253))),MAX($K$1:K1252)+1,"")</f>
        <v/>
      </c>
    </row>
    <row r="1254" customFormat="false" ht="15" hidden="false" customHeight="false" outlineLevel="0" collapsed="false">
      <c r="A1254" s="12"/>
      <c r="B1254" s="12"/>
      <c r="C1254" s="17" t="str">
        <f aca="false">IF(B1254="","",IFERROR(INDEX(Produits!$F$2:$F$1001,MATCH(B1254,Produits!$A$2:$A$1001,0)),"⚠ code article inconnu"))</f>
        <v/>
      </c>
      <c r="D1254" s="12"/>
      <c r="E1254" s="23"/>
      <c r="F1254" s="24"/>
      <c r="G1254" s="23"/>
      <c r="H1254" s="21" t="str">
        <f aca="true">IF(E1254="","",ROUND((E1254-TODAY())/30.4,1))</f>
        <v/>
      </c>
      <c r="I1254" s="17" t="str">
        <f aca="false">IF(E1254="","",IF(H1254&lt;0,IF(LEFT(A1254,1)="Q","Périmé (en quarantaine)","PÉRIMÉ → déplacer en zone Q"),IF(H1254&lt;3,"Péremption &lt; 3 mois",IF(H1254&lt;6,"Péremption &lt; 6 mois",""))))</f>
        <v/>
      </c>
      <c r="J1254" s="17" t="str">
        <f aca="false">IF(A1254="","",IF(COUNTIF(Emplacements!$A$2:$A$1001,A1254)=0,"⚠ emplacement inconnu","OK"))</f>
        <v/>
      </c>
      <c r="K1254" s="22" t="str">
        <f aca="false">IF(AND(B1254&lt;&gt;"",ISNUMBER(SEARCH(Recherche!$C$3,C1254&amp;" "&amp;B1254&amp;" "&amp;A1254&amp;" "&amp;D1254))),MAX($K$1:K1253)+1,"")</f>
        <v/>
      </c>
    </row>
    <row r="1255" customFormat="false" ht="15" hidden="false" customHeight="false" outlineLevel="0" collapsed="false">
      <c r="A1255" s="12"/>
      <c r="B1255" s="12"/>
      <c r="C1255" s="17" t="str">
        <f aca="false">IF(B1255="","",IFERROR(INDEX(Produits!$F$2:$F$1001,MATCH(B1255,Produits!$A$2:$A$1001,0)),"⚠ code article inconnu"))</f>
        <v/>
      </c>
      <c r="D1255" s="12"/>
      <c r="E1255" s="23"/>
      <c r="F1255" s="24"/>
      <c r="G1255" s="23"/>
      <c r="H1255" s="21" t="str">
        <f aca="true">IF(E1255="","",ROUND((E1255-TODAY())/30.4,1))</f>
        <v/>
      </c>
      <c r="I1255" s="17" t="str">
        <f aca="false">IF(E1255="","",IF(H1255&lt;0,IF(LEFT(A1255,1)="Q","Périmé (en quarantaine)","PÉRIMÉ → déplacer en zone Q"),IF(H1255&lt;3,"Péremption &lt; 3 mois",IF(H1255&lt;6,"Péremption &lt; 6 mois",""))))</f>
        <v/>
      </c>
      <c r="J1255" s="17" t="str">
        <f aca="false">IF(A1255="","",IF(COUNTIF(Emplacements!$A$2:$A$1001,A1255)=0,"⚠ emplacement inconnu","OK"))</f>
        <v/>
      </c>
      <c r="K1255" s="22" t="str">
        <f aca="false">IF(AND(B1255&lt;&gt;"",ISNUMBER(SEARCH(Recherche!$C$3,C1255&amp;" "&amp;B1255&amp;" "&amp;A1255&amp;" "&amp;D1255))),MAX($K$1:K1254)+1,"")</f>
        <v/>
      </c>
    </row>
    <row r="1256" customFormat="false" ht="15" hidden="false" customHeight="false" outlineLevel="0" collapsed="false">
      <c r="A1256" s="12"/>
      <c r="B1256" s="12"/>
      <c r="C1256" s="17" t="str">
        <f aca="false">IF(B1256="","",IFERROR(INDEX(Produits!$F$2:$F$1001,MATCH(B1256,Produits!$A$2:$A$1001,0)),"⚠ code article inconnu"))</f>
        <v/>
      </c>
      <c r="D1256" s="12"/>
      <c r="E1256" s="23"/>
      <c r="F1256" s="24"/>
      <c r="G1256" s="23"/>
      <c r="H1256" s="21" t="str">
        <f aca="true">IF(E1256="","",ROUND((E1256-TODAY())/30.4,1))</f>
        <v/>
      </c>
      <c r="I1256" s="17" t="str">
        <f aca="false">IF(E1256="","",IF(H1256&lt;0,IF(LEFT(A1256,1)="Q","Périmé (en quarantaine)","PÉRIMÉ → déplacer en zone Q"),IF(H1256&lt;3,"Péremption &lt; 3 mois",IF(H1256&lt;6,"Péremption &lt; 6 mois",""))))</f>
        <v/>
      </c>
      <c r="J1256" s="17" t="str">
        <f aca="false">IF(A1256="","",IF(COUNTIF(Emplacements!$A$2:$A$1001,A1256)=0,"⚠ emplacement inconnu","OK"))</f>
        <v/>
      </c>
      <c r="K1256" s="22" t="str">
        <f aca="false">IF(AND(B1256&lt;&gt;"",ISNUMBER(SEARCH(Recherche!$C$3,C1256&amp;" "&amp;B1256&amp;" "&amp;A1256&amp;" "&amp;D1256))),MAX($K$1:K1255)+1,"")</f>
        <v/>
      </c>
    </row>
    <row r="1257" customFormat="false" ht="15" hidden="false" customHeight="false" outlineLevel="0" collapsed="false">
      <c r="A1257" s="12"/>
      <c r="B1257" s="12"/>
      <c r="C1257" s="17" t="str">
        <f aca="false">IF(B1257="","",IFERROR(INDEX(Produits!$F$2:$F$1001,MATCH(B1257,Produits!$A$2:$A$1001,0)),"⚠ code article inconnu"))</f>
        <v/>
      </c>
      <c r="D1257" s="12"/>
      <c r="E1257" s="23"/>
      <c r="F1257" s="24"/>
      <c r="G1257" s="23"/>
      <c r="H1257" s="21" t="str">
        <f aca="true">IF(E1257="","",ROUND((E1257-TODAY())/30.4,1))</f>
        <v/>
      </c>
      <c r="I1257" s="17" t="str">
        <f aca="false">IF(E1257="","",IF(H1257&lt;0,IF(LEFT(A1257,1)="Q","Périmé (en quarantaine)","PÉRIMÉ → déplacer en zone Q"),IF(H1257&lt;3,"Péremption &lt; 3 mois",IF(H1257&lt;6,"Péremption &lt; 6 mois",""))))</f>
        <v/>
      </c>
      <c r="J1257" s="17" t="str">
        <f aca="false">IF(A1257="","",IF(COUNTIF(Emplacements!$A$2:$A$1001,A1257)=0,"⚠ emplacement inconnu","OK"))</f>
        <v/>
      </c>
      <c r="K1257" s="22" t="str">
        <f aca="false">IF(AND(B1257&lt;&gt;"",ISNUMBER(SEARCH(Recherche!$C$3,C1257&amp;" "&amp;B1257&amp;" "&amp;A1257&amp;" "&amp;D1257))),MAX($K$1:K1256)+1,"")</f>
        <v/>
      </c>
    </row>
    <row r="1258" customFormat="false" ht="15" hidden="false" customHeight="false" outlineLevel="0" collapsed="false">
      <c r="A1258" s="12"/>
      <c r="B1258" s="12"/>
      <c r="C1258" s="17" t="str">
        <f aca="false">IF(B1258="","",IFERROR(INDEX(Produits!$F$2:$F$1001,MATCH(B1258,Produits!$A$2:$A$1001,0)),"⚠ code article inconnu"))</f>
        <v/>
      </c>
      <c r="D1258" s="12"/>
      <c r="E1258" s="23"/>
      <c r="F1258" s="24"/>
      <c r="G1258" s="23"/>
      <c r="H1258" s="21" t="str">
        <f aca="true">IF(E1258="","",ROUND((E1258-TODAY())/30.4,1))</f>
        <v/>
      </c>
      <c r="I1258" s="17" t="str">
        <f aca="false">IF(E1258="","",IF(H1258&lt;0,IF(LEFT(A1258,1)="Q","Périmé (en quarantaine)","PÉRIMÉ → déplacer en zone Q"),IF(H1258&lt;3,"Péremption &lt; 3 mois",IF(H1258&lt;6,"Péremption &lt; 6 mois",""))))</f>
        <v/>
      </c>
      <c r="J1258" s="17" t="str">
        <f aca="false">IF(A1258="","",IF(COUNTIF(Emplacements!$A$2:$A$1001,A1258)=0,"⚠ emplacement inconnu","OK"))</f>
        <v/>
      </c>
      <c r="K1258" s="22" t="str">
        <f aca="false">IF(AND(B1258&lt;&gt;"",ISNUMBER(SEARCH(Recherche!$C$3,C1258&amp;" "&amp;B1258&amp;" "&amp;A1258&amp;" "&amp;D1258))),MAX($K$1:K1257)+1,"")</f>
        <v/>
      </c>
    </row>
    <row r="1259" customFormat="false" ht="15" hidden="false" customHeight="false" outlineLevel="0" collapsed="false">
      <c r="A1259" s="12"/>
      <c r="B1259" s="12"/>
      <c r="C1259" s="17" t="str">
        <f aca="false">IF(B1259="","",IFERROR(INDEX(Produits!$F$2:$F$1001,MATCH(B1259,Produits!$A$2:$A$1001,0)),"⚠ code article inconnu"))</f>
        <v/>
      </c>
      <c r="D1259" s="12"/>
      <c r="E1259" s="23"/>
      <c r="F1259" s="24"/>
      <c r="G1259" s="23"/>
      <c r="H1259" s="21" t="str">
        <f aca="true">IF(E1259="","",ROUND((E1259-TODAY())/30.4,1))</f>
        <v/>
      </c>
      <c r="I1259" s="17" t="str">
        <f aca="false">IF(E1259="","",IF(H1259&lt;0,IF(LEFT(A1259,1)="Q","Périmé (en quarantaine)","PÉRIMÉ → déplacer en zone Q"),IF(H1259&lt;3,"Péremption &lt; 3 mois",IF(H1259&lt;6,"Péremption &lt; 6 mois",""))))</f>
        <v/>
      </c>
      <c r="J1259" s="17" t="str">
        <f aca="false">IF(A1259="","",IF(COUNTIF(Emplacements!$A$2:$A$1001,A1259)=0,"⚠ emplacement inconnu","OK"))</f>
        <v/>
      </c>
      <c r="K1259" s="22" t="str">
        <f aca="false">IF(AND(B1259&lt;&gt;"",ISNUMBER(SEARCH(Recherche!$C$3,C1259&amp;" "&amp;B1259&amp;" "&amp;A1259&amp;" "&amp;D1259))),MAX($K$1:K1258)+1,"")</f>
        <v/>
      </c>
    </row>
    <row r="1260" customFormat="false" ht="15" hidden="false" customHeight="false" outlineLevel="0" collapsed="false">
      <c r="A1260" s="12"/>
      <c r="B1260" s="12"/>
      <c r="C1260" s="17" t="str">
        <f aca="false">IF(B1260="","",IFERROR(INDEX(Produits!$F$2:$F$1001,MATCH(B1260,Produits!$A$2:$A$1001,0)),"⚠ code article inconnu"))</f>
        <v/>
      </c>
      <c r="D1260" s="12"/>
      <c r="E1260" s="23"/>
      <c r="F1260" s="24"/>
      <c r="G1260" s="23"/>
      <c r="H1260" s="21" t="str">
        <f aca="true">IF(E1260="","",ROUND((E1260-TODAY())/30.4,1))</f>
        <v/>
      </c>
      <c r="I1260" s="17" t="str">
        <f aca="false">IF(E1260="","",IF(H1260&lt;0,IF(LEFT(A1260,1)="Q","Périmé (en quarantaine)","PÉRIMÉ → déplacer en zone Q"),IF(H1260&lt;3,"Péremption &lt; 3 mois",IF(H1260&lt;6,"Péremption &lt; 6 mois",""))))</f>
        <v/>
      </c>
      <c r="J1260" s="17" t="str">
        <f aca="false">IF(A1260="","",IF(COUNTIF(Emplacements!$A$2:$A$1001,A1260)=0,"⚠ emplacement inconnu","OK"))</f>
        <v/>
      </c>
      <c r="K1260" s="22" t="str">
        <f aca="false">IF(AND(B1260&lt;&gt;"",ISNUMBER(SEARCH(Recherche!$C$3,C1260&amp;" "&amp;B1260&amp;" "&amp;A1260&amp;" "&amp;D1260))),MAX($K$1:K1259)+1,"")</f>
        <v/>
      </c>
    </row>
    <row r="1261" customFormat="false" ht="15" hidden="false" customHeight="false" outlineLevel="0" collapsed="false">
      <c r="A1261" s="12"/>
      <c r="B1261" s="12"/>
      <c r="C1261" s="17" t="str">
        <f aca="false">IF(B1261="","",IFERROR(INDEX(Produits!$F$2:$F$1001,MATCH(B1261,Produits!$A$2:$A$1001,0)),"⚠ code article inconnu"))</f>
        <v/>
      </c>
      <c r="D1261" s="12"/>
      <c r="E1261" s="23"/>
      <c r="F1261" s="24"/>
      <c r="G1261" s="23"/>
      <c r="H1261" s="21" t="str">
        <f aca="true">IF(E1261="","",ROUND((E1261-TODAY())/30.4,1))</f>
        <v/>
      </c>
      <c r="I1261" s="17" t="str">
        <f aca="false">IF(E1261="","",IF(H1261&lt;0,IF(LEFT(A1261,1)="Q","Périmé (en quarantaine)","PÉRIMÉ → déplacer en zone Q"),IF(H1261&lt;3,"Péremption &lt; 3 mois",IF(H1261&lt;6,"Péremption &lt; 6 mois",""))))</f>
        <v/>
      </c>
      <c r="J1261" s="17" t="str">
        <f aca="false">IF(A1261="","",IF(COUNTIF(Emplacements!$A$2:$A$1001,A1261)=0,"⚠ emplacement inconnu","OK"))</f>
        <v/>
      </c>
      <c r="K1261" s="22" t="str">
        <f aca="false">IF(AND(B1261&lt;&gt;"",ISNUMBER(SEARCH(Recherche!$C$3,C1261&amp;" "&amp;B1261&amp;" "&amp;A1261&amp;" "&amp;D1261))),MAX($K$1:K1260)+1,"")</f>
        <v/>
      </c>
    </row>
    <row r="1262" customFormat="false" ht="15" hidden="false" customHeight="false" outlineLevel="0" collapsed="false">
      <c r="A1262" s="12"/>
      <c r="B1262" s="12"/>
      <c r="C1262" s="17" t="str">
        <f aca="false">IF(B1262="","",IFERROR(INDEX(Produits!$F$2:$F$1001,MATCH(B1262,Produits!$A$2:$A$1001,0)),"⚠ code article inconnu"))</f>
        <v/>
      </c>
      <c r="D1262" s="12"/>
      <c r="E1262" s="23"/>
      <c r="F1262" s="24"/>
      <c r="G1262" s="23"/>
      <c r="H1262" s="21" t="str">
        <f aca="true">IF(E1262="","",ROUND((E1262-TODAY())/30.4,1))</f>
        <v/>
      </c>
      <c r="I1262" s="17" t="str">
        <f aca="false">IF(E1262="","",IF(H1262&lt;0,IF(LEFT(A1262,1)="Q","Périmé (en quarantaine)","PÉRIMÉ → déplacer en zone Q"),IF(H1262&lt;3,"Péremption &lt; 3 mois",IF(H1262&lt;6,"Péremption &lt; 6 mois",""))))</f>
        <v/>
      </c>
      <c r="J1262" s="17" t="str">
        <f aca="false">IF(A1262="","",IF(COUNTIF(Emplacements!$A$2:$A$1001,A1262)=0,"⚠ emplacement inconnu","OK"))</f>
        <v/>
      </c>
      <c r="K1262" s="22" t="str">
        <f aca="false">IF(AND(B1262&lt;&gt;"",ISNUMBER(SEARCH(Recherche!$C$3,C1262&amp;" "&amp;B1262&amp;" "&amp;A1262&amp;" "&amp;D1262))),MAX($K$1:K1261)+1,"")</f>
        <v/>
      </c>
    </row>
    <row r="1263" customFormat="false" ht="15" hidden="false" customHeight="false" outlineLevel="0" collapsed="false">
      <c r="A1263" s="12"/>
      <c r="B1263" s="12"/>
      <c r="C1263" s="17" t="str">
        <f aca="false">IF(B1263="","",IFERROR(INDEX(Produits!$F$2:$F$1001,MATCH(B1263,Produits!$A$2:$A$1001,0)),"⚠ code article inconnu"))</f>
        <v/>
      </c>
      <c r="D1263" s="12"/>
      <c r="E1263" s="23"/>
      <c r="F1263" s="24"/>
      <c r="G1263" s="23"/>
      <c r="H1263" s="21" t="str">
        <f aca="true">IF(E1263="","",ROUND((E1263-TODAY())/30.4,1))</f>
        <v/>
      </c>
      <c r="I1263" s="17" t="str">
        <f aca="false">IF(E1263="","",IF(H1263&lt;0,IF(LEFT(A1263,1)="Q","Périmé (en quarantaine)","PÉRIMÉ → déplacer en zone Q"),IF(H1263&lt;3,"Péremption &lt; 3 mois",IF(H1263&lt;6,"Péremption &lt; 6 mois",""))))</f>
        <v/>
      </c>
      <c r="J1263" s="17" t="str">
        <f aca="false">IF(A1263="","",IF(COUNTIF(Emplacements!$A$2:$A$1001,A1263)=0,"⚠ emplacement inconnu","OK"))</f>
        <v/>
      </c>
      <c r="K1263" s="22" t="str">
        <f aca="false">IF(AND(B1263&lt;&gt;"",ISNUMBER(SEARCH(Recherche!$C$3,C1263&amp;" "&amp;B1263&amp;" "&amp;A1263&amp;" "&amp;D1263))),MAX($K$1:K1262)+1,"")</f>
        <v/>
      </c>
    </row>
    <row r="1264" customFormat="false" ht="15" hidden="false" customHeight="false" outlineLevel="0" collapsed="false">
      <c r="A1264" s="12"/>
      <c r="B1264" s="12"/>
      <c r="C1264" s="17" t="str">
        <f aca="false">IF(B1264="","",IFERROR(INDEX(Produits!$F$2:$F$1001,MATCH(B1264,Produits!$A$2:$A$1001,0)),"⚠ code article inconnu"))</f>
        <v/>
      </c>
      <c r="D1264" s="12"/>
      <c r="E1264" s="23"/>
      <c r="F1264" s="24"/>
      <c r="G1264" s="23"/>
      <c r="H1264" s="21" t="str">
        <f aca="true">IF(E1264="","",ROUND((E1264-TODAY())/30.4,1))</f>
        <v/>
      </c>
      <c r="I1264" s="17" t="str">
        <f aca="false">IF(E1264="","",IF(H1264&lt;0,IF(LEFT(A1264,1)="Q","Périmé (en quarantaine)","PÉRIMÉ → déplacer en zone Q"),IF(H1264&lt;3,"Péremption &lt; 3 mois",IF(H1264&lt;6,"Péremption &lt; 6 mois",""))))</f>
        <v/>
      </c>
      <c r="J1264" s="17" t="str">
        <f aca="false">IF(A1264="","",IF(COUNTIF(Emplacements!$A$2:$A$1001,A1264)=0,"⚠ emplacement inconnu","OK"))</f>
        <v/>
      </c>
      <c r="K1264" s="22" t="str">
        <f aca="false">IF(AND(B1264&lt;&gt;"",ISNUMBER(SEARCH(Recherche!$C$3,C1264&amp;" "&amp;B1264&amp;" "&amp;A1264&amp;" "&amp;D1264))),MAX($K$1:K1263)+1,"")</f>
        <v/>
      </c>
    </row>
    <row r="1265" customFormat="false" ht="15" hidden="false" customHeight="false" outlineLevel="0" collapsed="false">
      <c r="A1265" s="12"/>
      <c r="B1265" s="12"/>
      <c r="C1265" s="17" t="str">
        <f aca="false">IF(B1265="","",IFERROR(INDEX(Produits!$F$2:$F$1001,MATCH(B1265,Produits!$A$2:$A$1001,0)),"⚠ code article inconnu"))</f>
        <v/>
      </c>
      <c r="D1265" s="12"/>
      <c r="E1265" s="23"/>
      <c r="F1265" s="24"/>
      <c r="G1265" s="23"/>
      <c r="H1265" s="21" t="str">
        <f aca="true">IF(E1265="","",ROUND((E1265-TODAY())/30.4,1))</f>
        <v/>
      </c>
      <c r="I1265" s="17" t="str">
        <f aca="false">IF(E1265="","",IF(H1265&lt;0,IF(LEFT(A1265,1)="Q","Périmé (en quarantaine)","PÉRIMÉ → déplacer en zone Q"),IF(H1265&lt;3,"Péremption &lt; 3 mois",IF(H1265&lt;6,"Péremption &lt; 6 mois",""))))</f>
        <v/>
      </c>
      <c r="J1265" s="17" t="str">
        <f aca="false">IF(A1265="","",IF(COUNTIF(Emplacements!$A$2:$A$1001,A1265)=0,"⚠ emplacement inconnu","OK"))</f>
        <v/>
      </c>
      <c r="K1265" s="22" t="str">
        <f aca="false">IF(AND(B1265&lt;&gt;"",ISNUMBER(SEARCH(Recherche!$C$3,C1265&amp;" "&amp;B1265&amp;" "&amp;A1265&amp;" "&amp;D1265))),MAX($K$1:K1264)+1,"")</f>
        <v/>
      </c>
    </row>
    <row r="1266" customFormat="false" ht="15" hidden="false" customHeight="false" outlineLevel="0" collapsed="false">
      <c r="A1266" s="12"/>
      <c r="B1266" s="12"/>
      <c r="C1266" s="17" t="str">
        <f aca="false">IF(B1266="","",IFERROR(INDEX(Produits!$F$2:$F$1001,MATCH(B1266,Produits!$A$2:$A$1001,0)),"⚠ code article inconnu"))</f>
        <v/>
      </c>
      <c r="D1266" s="12"/>
      <c r="E1266" s="23"/>
      <c r="F1266" s="24"/>
      <c r="G1266" s="23"/>
      <c r="H1266" s="21" t="str">
        <f aca="true">IF(E1266="","",ROUND((E1266-TODAY())/30.4,1))</f>
        <v/>
      </c>
      <c r="I1266" s="17" t="str">
        <f aca="false">IF(E1266="","",IF(H1266&lt;0,IF(LEFT(A1266,1)="Q","Périmé (en quarantaine)","PÉRIMÉ → déplacer en zone Q"),IF(H1266&lt;3,"Péremption &lt; 3 mois",IF(H1266&lt;6,"Péremption &lt; 6 mois",""))))</f>
        <v/>
      </c>
      <c r="J1266" s="17" t="str">
        <f aca="false">IF(A1266="","",IF(COUNTIF(Emplacements!$A$2:$A$1001,A1266)=0,"⚠ emplacement inconnu","OK"))</f>
        <v/>
      </c>
      <c r="K1266" s="22" t="str">
        <f aca="false">IF(AND(B1266&lt;&gt;"",ISNUMBER(SEARCH(Recherche!$C$3,C1266&amp;" "&amp;B1266&amp;" "&amp;A1266&amp;" "&amp;D1266))),MAX($K$1:K1265)+1,"")</f>
        <v/>
      </c>
    </row>
    <row r="1267" customFormat="false" ht="15" hidden="false" customHeight="false" outlineLevel="0" collapsed="false">
      <c r="A1267" s="12"/>
      <c r="B1267" s="12"/>
      <c r="C1267" s="17" t="str">
        <f aca="false">IF(B1267="","",IFERROR(INDEX(Produits!$F$2:$F$1001,MATCH(B1267,Produits!$A$2:$A$1001,0)),"⚠ code article inconnu"))</f>
        <v/>
      </c>
      <c r="D1267" s="12"/>
      <c r="E1267" s="23"/>
      <c r="F1267" s="24"/>
      <c r="G1267" s="23"/>
      <c r="H1267" s="21" t="str">
        <f aca="true">IF(E1267="","",ROUND((E1267-TODAY())/30.4,1))</f>
        <v/>
      </c>
      <c r="I1267" s="17" t="str">
        <f aca="false">IF(E1267="","",IF(H1267&lt;0,IF(LEFT(A1267,1)="Q","Périmé (en quarantaine)","PÉRIMÉ → déplacer en zone Q"),IF(H1267&lt;3,"Péremption &lt; 3 mois",IF(H1267&lt;6,"Péremption &lt; 6 mois",""))))</f>
        <v/>
      </c>
      <c r="J1267" s="17" t="str">
        <f aca="false">IF(A1267="","",IF(COUNTIF(Emplacements!$A$2:$A$1001,A1267)=0,"⚠ emplacement inconnu","OK"))</f>
        <v/>
      </c>
      <c r="K1267" s="22" t="str">
        <f aca="false">IF(AND(B1267&lt;&gt;"",ISNUMBER(SEARCH(Recherche!$C$3,C1267&amp;" "&amp;B1267&amp;" "&amp;A1267&amp;" "&amp;D1267))),MAX($K$1:K1266)+1,"")</f>
        <v/>
      </c>
    </row>
    <row r="1268" customFormat="false" ht="15" hidden="false" customHeight="false" outlineLevel="0" collapsed="false">
      <c r="A1268" s="12"/>
      <c r="B1268" s="12"/>
      <c r="C1268" s="17" t="str">
        <f aca="false">IF(B1268="","",IFERROR(INDEX(Produits!$F$2:$F$1001,MATCH(B1268,Produits!$A$2:$A$1001,0)),"⚠ code article inconnu"))</f>
        <v/>
      </c>
      <c r="D1268" s="12"/>
      <c r="E1268" s="23"/>
      <c r="F1268" s="24"/>
      <c r="G1268" s="23"/>
      <c r="H1268" s="21" t="str">
        <f aca="true">IF(E1268="","",ROUND((E1268-TODAY())/30.4,1))</f>
        <v/>
      </c>
      <c r="I1268" s="17" t="str">
        <f aca="false">IF(E1268="","",IF(H1268&lt;0,IF(LEFT(A1268,1)="Q","Périmé (en quarantaine)","PÉRIMÉ → déplacer en zone Q"),IF(H1268&lt;3,"Péremption &lt; 3 mois",IF(H1268&lt;6,"Péremption &lt; 6 mois",""))))</f>
        <v/>
      </c>
      <c r="J1268" s="17" t="str">
        <f aca="false">IF(A1268="","",IF(COUNTIF(Emplacements!$A$2:$A$1001,A1268)=0,"⚠ emplacement inconnu","OK"))</f>
        <v/>
      </c>
      <c r="K1268" s="22" t="str">
        <f aca="false">IF(AND(B1268&lt;&gt;"",ISNUMBER(SEARCH(Recherche!$C$3,C1268&amp;" "&amp;B1268&amp;" "&amp;A1268&amp;" "&amp;D1268))),MAX($K$1:K1267)+1,"")</f>
        <v/>
      </c>
    </row>
    <row r="1269" customFormat="false" ht="15" hidden="false" customHeight="false" outlineLevel="0" collapsed="false">
      <c r="A1269" s="12"/>
      <c r="B1269" s="12"/>
      <c r="C1269" s="17" t="str">
        <f aca="false">IF(B1269="","",IFERROR(INDEX(Produits!$F$2:$F$1001,MATCH(B1269,Produits!$A$2:$A$1001,0)),"⚠ code article inconnu"))</f>
        <v/>
      </c>
      <c r="D1269" s="12"/>
      <c r="E1269" s="23"/>
      <c r="F1269" s="24"/>
      <c r="G1269" s="23"/>
      <c r="H1269" s="21" t="str">
        <f aca="true">IF(E1269="","",ROUND((E1269-TODAY())/30.4,1))</f>
        <v/>
      </c>
      <c r="I1269" s="17" t="str">
        <f aca="false">IF(E1269="","",IF(H1269&lt;0,IF(LEFT(A1269,1)="Q","Périmé (en quarantaine)","PÉRIMÉ → déplacer en zone Q"),IF(H1269&lt;3,"Péremption &lt; 3 mois",IF(H1269&lt;6,"Péremption &lt; 6 mois",""))))</f>
        <v/>
      </c>
      <c r="J1269" s="17" t="str">
        <f aca="false">IF(A1269="","",IF(COUNTIF(Emplacements!$A$2:$A$1001,A1269)=0,"⚠ emplacement inconnu","OK"))</f>
        <v/>
      </c>
      <c r="K1269" s="22" t="str">
        <f aca="false">IF(AND(B1269&lt;&gt;"",ISNUMBER(SEARCH(Recherche!$C$3,C1269&amp;" "&amp;B1269&amp;" "&amp;A1269&amp;" "&amp;D1269))),MAX($K$1:K1268)+1,"")</f>
        <v/>
      </c>
    </row>
    <row r="1270" customFormat="false" ht="15" hidden="false" customHeight="false" outlineLevel="0" collapsed="false">
      <c r="A1270" s="12"/>
      <c r="B1270" s="12"/>
      <c r="C1270" s="17" t="str">
        <f aca="false">IF(B1270="","",IFERROR(INDEX(Produits!$F$2:$F$1001,MATCH(B1270,Produits!$A$2:$A$1001,0)),"⚠ code article inconnu"))</f>
        <v/>
      </c>
      <c r="D1270" s="12"/>
      <c r="E1270" s="23"/>
      <c r="F1270" s="24"/>
      <c r="G1270" s="23"/>
      <c r="H1270" s="21" t="str">
        <f aca="true">IF(E1270="","",ROUND((E1270-TODAY())/30.4,1))</f>
        <v/>
      </c>
      <c r="I1270" s="17" t="str">
        <f aca="false">IF(E1270="","",IF(H1270&lt;0,IF(LEFT(A1270,1)="Q","Périmé (en quarantaine)","PÉRIMÉ → déplacer en zone Q"),IF(H1270&lt;3,"Péremption &lt; 3 mois",IF(H1270&lt;6,"Péremption &lt; 6 mois",""))))</f>
        <v/>
      </c>
      <c r="J1270" s="17" t="str">
        <f aca="false">IF(A1270="","",IF(COUNTIF(Emplacements!$A$2:$A$1001,A1270)=0,"⚠ emplacement inconnu","OK"))</f>
        <v/>
      </c>
      <c r="K1270" s="22" t="str">
        <f aca="false">IF(AND(B1270&lt;&gt;"",ISNUMBER(SEARCH(Recherche!$C$3,C1270&amp;" "&amp;B1270&amp;" "&amp;A1270&amp;" "&amp;D1270))),MAX($K$1:K1269)+1,"")</f>
        <v/>
      </c>
    </row>
    <row r="1271" customFormat="false" ht="15" hidden="false" customHeight="false" outlineLevel="0" collapsed="false">
      <c r="A1271" s="12"/>
      <c r="B1271" s="12"/>
      <c r="C1271" s="17" t="str">
        <f aca="false">IF(B1271="","",IFERROR(INDEX(Produits!$F$2:$F$1001,MATCH(B1271,Produits!$A$2:$A$1001,0)),"⚠ code article inconnu"))</f>
        <v/>
      </c>
      <c r="D1271" s="12"/>
      <c r="E1271" s="23"/>
      <c r="F1271" s="24"/>
      <c r="G1271" s="23"/>
      <c r="H1271" s="21" t="str">
        <f aca="true">IF(E1271="","",ROUND((E1271-TODAY())/30.4,1))</f>
        <v/>
      </c>
      <c r="I1271" s="17" t="str">
        <f aca="false">IF(E1271="","",IF(H1271&lt;0,IF(LEFT(A1271,1)="Q","Périmé (en quarantaine)","PÉRIMÉ → déplacer en zone Q"),IF(H1271&lt;3,"Péremption &lt; 3 mois",IF(H1271&lt;6,"Péremption &lt; 6 mois",""))))</f>
        <v/>
      </c>
      <c r="J1271" s="17" t="str">
        <f aca="false">IF(A1271="","",IF(COUNTIF(Emplacements!$A$2:$A$1001,A1271)=0,"⚠ emplacement inconnu","OK"))</f>
        <v/>
      </c>
      <c r="K1271" s="22" t="str">
        <f aca="false">IF(AND(B1271&lt;&gt;"",ISNUMBER(SEARCH(Recherche!$C$3,C1271&amp;" "&amp;B1271&amp;" "&amp;A1271&amp;" "&amp;D1271))),MAX($K$1:K1270)+1,"")</f>
        <v/>
      </c>
    </row>
    <row r="1272" customFormat="false" ht="15" hidden="false" customHeight="false" outlineLevel="0" collapsed="false">
      <c r="A1272" s="12"/>
      <c r="B1272" s="12"/>
      <c r="C1272" s="17" t="str">
        <f aca="false">IF(B1272="","",IFERROR(INDEX(Produits!$F$2:$F$1001,MATCH(B1272,Produits!$A$2:$A$1001,0)),"⚠ code article inconnu"))</f>
        <v/>
      </c>
      <c r="D1272" s="12"/>
      <c r="E1272" s="23"/>
      <c r="F1272" s="24"/>
      <c r="G1272" s="23"/>
      <c r="H1272" s="21" t="str">
        <f aca="true">IF(E1272="","",ROUND((E1272-TODAY())/30.4,1))</f>
        <v/>
      </c>
      <c r="I1272" s="17" t="str">
        <f aca="false">IF(E1272="","",IF(H1272&lt;0,IF(LEFT(A1272,1)="Q","Périmé (en quarantaine)","PÉRIMÉ → déplacer en zone Q"),IF(H1272&lt;3,"Péremption &lt; 3 mois",IF(H1272&lt;6,"Péremption &lt; 6 mois",""))))</f>
        <v/>
      </c>
      <c r="J1272" s="17" t="str">
        <f aca="false">IF(A1272="","",IF(COUNTIF(Emplacements!$A$2:$A$1001,A1272)=0,"⚠ emplacement inconnu","OK"))</f>
        <v/>
      </c>
      <c r="K1272" s="22" t="str">
        <f aca="false">IF(AND(B1272&lt;&gt;"",ISNUMBER(SEARCH(Recherche!$C$3,C1272&amp;" "&amp;B1272&amp;" "&amp;A1272&amp;" "&amp;D1272))),MAX($K$1:K1271)+1,"")</f>
        <v/>
      </c>
    </row>
    <row r="1273" customFormat="false" ht="15" hidden="false" customHeight="false" outlineLevel="0" collapsed="false">
      <c r="A1273" s="12"/>
      <c r="B1273" s="12"/>
      <c r="C1273" s="17" t="str">
        <f aca="false">IF(B1273="","",IFERROR(INDEX(Produits!$F$2:$F$1001,MATCH(B1273,Produits!$A$2:$A$1001,0)),"⚠ code article inconnu"))</f>
        <v/>
      </c>
      <c r="D1273" s="12"/>
      <c r="E1273" s="23"/>
      <c r="F1273" s="24"/>
      <c r="G1273" s="23"/>
      <c r="H1273" s="21" t="str">
        <f aca="true">IF(E1273="","",ROUND((E1273-TODAY())/30.4,1))</f>
        <v/>
      </c>
      <c r="I1273" s="17" t="str">
        <f aca="false">IF(E1273="","",IF(H1273&lt;0,IF(LEFT(A1273,1)="Q","Périmé (en quarantaine)","PÉRIMÉ → déplacer en zone Q"),IF(H1273&lt;3,"Péremption &lt; 3 mois",IF(H1273&lt;6,"Péremption &lt; 6 mois",""))))</f>
        <v/>
      </c>
      <c r="J1273" s="17" t="str">
        <f aca="false">IF(A1273="","",IF(COUNTIF(Emplacements!$A$2:$A$1001,A1273)=0,"⚠ emplacement inconnu","OK"))</f>
        <v/>
      </c>
      <c r="K1273" s="22" t="str">
        <f aca="false">IF(AND(B1273&lt;&gt;"",ISNUMBER(SEARCH(Recherche!$C$3,C1273&amp;" "&amp;B1273&amp;" "&amp;A1273&amp;" "&amp;D1273))),MAX($K$1:K1272)+1,"")</f>
        <v/>
      </c>
    </row>
    <row r="1274" customFormat="false" ht="15" hidden="false" customHeight="false" outlineLevel="0" collapsed="false">
      <c r="A1274" s="12"/>
      <c r="B1274" s="12"/>
      <c r="C1274" s="17" t="str">
        <f aca="false">IF(B1274="","",IFERROR(INDEX(Produits!$F$2:$F$1001,MATCH(B1274,Produits!$A$2:$A$1001,0)),"⚠ code article inconnu"))</f>
        <v/>
      </c>
      <c r="D1274" s="12"/>
      <c r="E1274" s="23"/>
      <c r="F1274" s="24"/>
      <c r="G1274" s="23"/>
      <c r="H1274" s="21" t="str">
        <f aca="true">IF(E1274="","",ROUND((E1274-TODAY())/30.4,1))</f>
        <v/>
      </c>
      <c r="I1274" s="17" t="str">
        <f aca="false">IF(E1274="","",IF(H1274&lt;0,IF(LEFT(A1274,1)="Q","Périmé (en quarantaine)","PÉRIMÉ → déplacer en zone Q"),IF(H1274&lt;3,"Péremption &lt; 3 mois",IF(H1274&lt;6,"Péremption &lt; 6 mois",""))))</f>
        <v/>
      </c>
      <c r="J1274" s="17" t="str">
        <f aca="false">IF(A1274="","",IF(COUNTIF(Emplacements!$A$2:$A$1001,A1274)=0,"⚠ emplacement inconnu","OK"))</f>
        <v/>
      </c>
      <c r="K1274" s="22" t="str">
        <f aca="false">IF(AND(B1274&lt;&gt;"",ISNUMBER(SEARCH(Recherche!$C$3,C1274&amp;" "&amp;B1274&amp;" "&amp;A1274&amp;" "&amp;D1274))),MAX($K$1:K1273)+1,"")</f>
        <v/>
      </c>
    </row>
    <row r="1275" customFormat="false" ht="15" hidden="false" customHeight="false" outlineLevel="0" collapsed="false">
      <c r="A1275" s="12"/>
      <c r="B1275" s="12"/>
      <c r="C1275" s="17" t="str">
        <f aca="false">IF(B1275="","",IFERROR(INDEX(Produits!$F$2:$F$1001,MATCH(B1275,Produits!$A$2:$A$1001,0)),"⚠ code article inconnu"))</f>
        <v/>
      </c>
      <c r="D1275" s="12"/>
      <c r="E1275" s="23"/>
      <c r="F1275" s="24"/>
      <c r="G1275" s="23"/>
      <c r="H1275" s="21" t="str">
        <f aca="true">IF(E1275="","",ROUND((E1275-TODAY())/30.4,1))</f>
        <v/>
      </c>
      <c r="I1275" s="17" t="str">
        <f aca="false">IF(E1275="","",IF(H1275&lt;0,IF(LEFT(A1275,1)="Q","Périmé (en quarantaine)","PÉRIMÉ → déplacer en zone Q"),IF(H1275&lt;3,"Péremption &lt; 3 mois",IF(H1275&lt;6,"Péremption &lt; 6 mois",""))))</f>
        <v/>
      </c>
      <c r="J1275" s="17" t="str">
        <f aca="false">IF(A1275="","",IF(COUNTIF(Emplacements!$A$2:$A$1001,A1275)=0,"⚠ emplacement inconnu","OK"))</f>
        <v/>
      </c>
      <c r="K1275" s="22" t="str">
        <f aca="false">IF(AND(B1275&lt;&gt;"",ISNUMBER(SEARCH(Recherche!$C$3,C1275&amp;" "&amp;B1275&amp;" "&amp;A1275&amp;" "&amp;D1275))),MAX($K$1:K1274)+1,"")</f>
        <v/>
      </c>
    </row>
    <row r="1276" customFormat="false" ht="15" hidden="false" customHeight="false" outlineLevel="0" collapsed="false">
      <c r="A1276" s="12"/>
      <c r="B1276" s="12"/>
      <c r="C1276" s="17" t="str">
        <f aca="false">IF(B1276="","",IFERROR(INDEX(Produits!$F$2:$F$1001,MATCH(B1276,Produits!$A$2:$A$1001,0)),"⚠ code article inconnu"))</f>
        <v/>
      </c>
      <c r="D1276" s="12"/>
      <c r="E1276" s="23"/>
      <c r="F1276" s="24"/>
      <c r="G1276" s="23"/>
      <c r="H1276" s="21" t="str">
        <f aca="true">IF(E1276="","",ROUND((E1276-TODAY())/30.4,1))</f>
        <v/>
      </c>
      <c r="I1276" s="17" t="str">
        <f aca="false">IF(E1276="","",IF(H1276&lt;0,IF(LEFT(A1276,1)="Q","Périmé (en quarantaine)","PÉRIMÉ → déplacer en zone Q"),IF(H1276&lt;3,"Péremption &lt; 3 mois",IF(H1276&lt;6,"Péremption &lt; 6 mois",""))))</f>
        <v/>
      </c>
      <c r="J1276" s="17" t="str">
        <f aca="false">IF(A1276="","",IF(COUNTIF(Emplacements!$A$2:$A$1001,A1276)=0,"⚠ emplacement inconnu","OK"))</f>
        <v/>
      </c>
      <c r="K1276" s="22" t="str">
        <f aca="false">IF(AND(B1276&lt;&gt;"",ISNUMBER(SEARCH(Recherche!$C$3,C1276&amp;" "&amp;B1276&amp;" "&amp;A1276&amp;" "&amp;D1276))),MAX($K$1:K1275)+1,"")</f>
        <v/>
      </c>
    </row>
    <row r="1277" customFormat="false" ht="15" hidden="false" customHeight="false" outlineLevel="0" collapsed="false">
      <c r="A1277" s="12"/>
      <c r="B1277" s="12"/>
      <c r="C1277" s="17" t="str">
        <f aca="false">IF(B1277="","",IFERROR(INDEX(Produits!$F$2:$F$1001,MATCH(B1277,Produits!$A$2:$A$1001,0)),"⚠ code article inconnu"))</f>
        <v/>
      </c>
      <c r="D1277" s="12"/>
      <c r="E1277" s="23"/>
      <c r="F1277" s="24"/>
      <c r="G1277" s="23"/>
      <c r="H1277" s="21" t="str">
        <f aca="true">IF(E1277="","",ROUND((E1277-TODAY())/30.4,1))</f>
        <v/>
      </c>
      <c r="I1277" s="17" t="str">
        <f aca="false">IF(E1277="","",IF(H1277&lt;0,IF(LEFT(A1277,1)="Q","Périmé (en quarantaine)","PÉRIMÉ → déplacer en zone Q"),IF(H1277&lt;3,"Péremption &lt; 3 mois",IF(H1277&lt;6,"Péremption &lt; 6 mois",""))))</f>
        <v/>
      </c>
      <c r="J1277" s="17" t="str">
        <f aca="false">IF(A1277="","",IF(COUNTIF(Emplacements!$A$2:$A$1001,A1277)=0,"⚠ emplacement inconnu","OK"))</f>
        <v/>
      </c>
      <c r="K1277" s="22" t="str">
        <f aca="false">IF(AND(B1277&lt;&gt;"",ISNUMBER(SEARCH(Recherche!$C$3,C1277&amp;" "&amp;B1277&amp;" "&amp;A1277&amp;" "&amp;D1277))),MAX($K$1:K1276)+1,"")</f>
        <v/>
      </c>
    </row>
    <row r="1278" customFormat="false" ht="15" hidden="false" customHeight="false" outlineLevel="0" collapsed="false">
      <c r="A1278" s="12"/>
      <c r="B1278" s="12"/>
      <c r="C1278" s="17" t="str">
        <f aca="false">IF(B1278="","",IFERROR(INDEX(Produits!$F$2:$F$1001,MATCH(B1278,Produits!$A$2:$A$1001,0)),"⚠ code article inconnu"))</f>
        <v/>
      </c>
      <c r="D1278" s="12"/>
      <c r="E1278" s="23"/>
      <c r="F1278" s="24"/>
      <c r="G1278" s="23"/>
      <c r="H1278" s="21" t="str">
        <f aca="true">IF(E1278="","",ROUND((E1278-TODAY())/30.4,1))</f>
        <v/>
      </c>
      <c r="I1278" s="17" t="str">
        <f aca="false">IF(E1278="","",IF(H1278&lt;0,IF(LEFT(A1278,1)="Q","Périmé (en quarantaine)","PÉRIMÉ → déplacer en zone Q"),IF(H1278&lt;3,"Péremption &lt; 3 mois",IF(H1278&lt;6,"Péremption &lt; 6 mois",""))))</f>
        <v/>
      </c>
      <c r="J1278" s="17" t="str">
        <f aca="false">IF(A1278="","",IF(COUNTIF(Emplacements!$A$2:$A$1001,A1278)=0,"⚠ emplacement inconnu","OK"))</f>
        <v/>
      </c>
      <c r="K1278" s="22" t="str">
        <f aca="false">IF(AND(B1278&lt;&gt;"",ISNUMBER(SEARCH(Recherche!$C$3,C1278&amp;" "&amp;B1278&amp;" "&amp;A1278&amp;" "&amp;D1278))),MAX($K$1:K1277)+1,"")</f>
        <v/>
      </c>
    </row>
    <row r="1279" customFormat="false" ht="15" hidden="false" customHeight="false" outlineLevel="0" collapsed="false">
      <c r="A1279" s="12"/>
      <c r="B1279" s="12"/>
      <c r="C1279" s="17" t="str">
        <f aca="false">IF(B1279="","",IFERROR(INDEX(Produits!$F$2:$F$1001,MATCH(B1279,Produits!$A$2:$A$1001,0)),"⚠ code article inconnu"))</f>
        <v/>
      </c>
      <c r="D1279" s="12"/>
      <c r="E1279" s="23"/>
      <c r="F1279" s="24"/>
      <c r="G1279" s="23"/>
      <c r="H1279" s="21" t="str">
        <f aca="true">IF(E1279="","",ROUND((E1279-TODAY())/30.4,1))</f>
        <v/>
      </c>
      <c r="I1279" s="17" t="str">
        <f aca="false">IF(E1279="","",IF(H1279&lt;0,IF(LEFT(A1279,1)="Q","Périmé (en quarantaine)","PÉRIMÉ → déplacer en zone Q"),IF(H1279&lt;3,"Péremption &lt; 3 mois",IF(H1279&lt;6,"Péremption &lt; 6 mois",""))))</f>
        <v/>
      </c>
      <c r="J1279" s="17" t="str">
        <f aca="false">IF(A1279="","",IF(COUNTIF(Emplacements!$A$2:$A$1001,A1279)=0,"⚠ emplacement inconnu","OK"))</f>
        <v/>
      </c>
      <c r="K1279" s="22" t="str">
        <f aca="false">IF(AND(B1279&lt;&gt;"",ISNUMBER(SEARCH(Recherche!$C$3,C1279&amp;" "&amp;B1279&amp;" "&amp;A1279&amp;" "&amp;D1279))),MAX($K$1:K1278)+1,"")</f>
        <v/>
      </c>
    </row>
    <row r="1280" customFormat="false" ht="15" hidden="false" customHeight="false" outlineLevel="0" collapsed="false">
      <c r="A1280" s="12"/>
      <c r="B1280" s="12"/>
      <c r="C1280" s="17" t="str">
        <f aca="false">IF(B1280="","",IFERROR(INDEX(Produits!$F$2:$F$1001,MATCH(B1280,Produits!$A$2:$A$1001,0)),"⚠ code article inconnu"))</f>
        <v/>
      </c>
      <c r="D1280" s="12"/>
      <c r="E1280" s="23"/>
      <c r="F1280" s="24"/>
      <c r="G1280" s="23"/>
      <c r="H1280" s="21" t="str">
        <f aca="true">IF(E1280="","",ROUND((E1280-TODAY())/30.4,1))</f>
        <v/>
      </c>
      <c r="I1280" s="17" t="str">
        <f aca="false">IF(E1280="","",IF(H1280&lt;0,IF(LEFT(A1280,1)="Q","Périmé (en quarantaine)","PÉRIMÉ → déplacer en zone Q"),IF(H1280&lt;3,"Péremption &lt; 3 mois",IF(H1280&lt;6,"Péremption &lt; 6 mois",""))))</f>
        <v/>
      </c>
      <c r="J1280" s="17" t="str">
        <f aca="false">IF(A1280="","",IF(COUNTIF(Emplacements!$A$2:$A$1001,A1280)=0,"⚠ emplacement inconnu","OK"))</f>
        <v/>
      </c>
      <c r="K1280" s="22" t="str">
        <f aca="false">IF(AND(B1280&lt;&gt;"",ISNUMBER(SEARCH(Recherche!$C$3,C1280&amp;" "&amp;B1280&amp;" "&amp;A1280&amp;" "&amp;D1280))),MAX($K$1:K1279)+1,"")</f>
        <v/>
      </c>
    </row>
    <row r="1281" customFormat="false" ht="15" hidden="false" customHeight="false" outlineLevel="0" collapsed="false">
      <c r="A1281" s="12"/>
      <c r="B1281" s="12"/>
      <c r="C1281" s="17" t="str">
        <f aca="false">IF(B1281="","",IFERROR(INDEX(Produits!$F$2:$F$1001,MATCH(B1281,Produits!$A$2:$A$1001,0)),"⚠ code article inconnu"))</f>
        <v/>
      </c>
      <c r="D1281" s="12"/>
      <c r="E1281" s="23"/>
      <c r="F1281" s="24"/>
      <c r="G1281" s="23"/>
      <c r="H1281" s="21" t="str">
        <f aca="true">IF(E1281="","",ROUND((E1281-TODAY())/30.4,1))</f>
        <v/>
      </c>
      <c r="I1281" s="17" t="str">
        <f aca="false">IF(E1281="","",IF(H1281&lt;0,IF(LEFT(A1281,1)="Q","Périmé (en quarantaine)","PÉRIMÉ → déplacer en zone Q"),IF(H1281&lt;3,"Péremption &lt; 3 mois",IF(H1281&lt;6,"Péremption &lt; 6 mois",""))))</f>
        <v/>
      </c>
      <c r="J1281" s="17" t="str">
        <f aca="false">IF(A1281="","",IF(COUNTIF(Emplacements!$A$2:$A$1001,A1281)=0,"⚠ emplacement inconnu","OK"))</f>
        <v/>
      </c>
      <c r="K1281" s="22" t="str">
        <f aca="false">IF(AND(B1281&lt;&gt;"",ISNUMBER(SEARCH(Recherche!$C$3,C1281&amp;" "&amp;B1281&amp;" "&amp;A1281&amp;" "&amp;D1281))),MAX($K$1:K1280)+1,"")</f>
        <v/>
      </c>
    </row>
    <row r="1282" customFormat="false" ht="15" hidden="false" customHeight="false" outlineLevel="0" collapsed="false">
      <c r="A1282" s="12"/>
      <c r="B1282" s="12"/>
      <c r="C1282" s="17" t="str">
        <f aca="false">IF(B1282="","",IFERROR(INDEX(Produits!$F$2:$F$1001,MATCH(B1282,Produits!$A$2:$A$1001,0)),"⚠ code article inconnu"))</f>
        <v/>
      </c>
      <c r="D1282" s="12"/>
      <c r="E1282" s="23"/>
      <c r="F1282" s="24"/>
      <c r="G1282" s="23"/>
      <c r="H1282" s="21" t="str">
        <f aca="true">IF(E1282="","",ROUND((E1282-TODAY())/30.4,1))</f>
        <v/>
      </c>
      <c r="I1282" s="17" t="str">
        <f aca="false">IF(E1282="","",IF(H1282&lt;0,IF(LEFT(A1282,1)="Q","Périmé (en quarantaine)","PÉRIMÉ → déplacer en zone Q"),IF(H1282&lt;3,"Péremption &lt; 3 mois",IF(H1282&lt;6,"Péremption &lt; 6 mois",""))))</f>
        <v/>
      </c>
      <c r="J1282" s="17" t="str">
        <f aca="false">IF(A1282="","",IF(COUNTIF(Emplacements!$A$2:$A$1001,A1282)=0,"⚠ emplacement inconnu","OK"))</f>
        <v/>
      </c>
      <c r="K1282" s="22" t="str">
        <f aca="false">IF(AND(B1282&lt;&gt;"",ISNUMBER(SEARCH(Recherche!$C$3,C1282&amp;" "&amp;B1282&amp;" "&amp;A1282&amp;" "&amp;D1282))),MAX($K$1:K1281)+1,"")</f>
        <v/>
      </c>
    </row>
    <row r="1283" customFormat="false" ht="15" hidden="false" customHeight="false" outlineLevel="0" collapsed="false">
      <c r="A1283" s="12"/>
      <c r="B1283" s="12"/>
      <c r="C1283" s="17" t="str">
        <f aca="false">IF(B1283="","",IFERROR(INDEX(Produits!$F$2:$F$1001,MATCH(B1283,Produits!$A$2:$A$1001,0)),"⚠ code article inconnu"))</f>
        <v/>
      </c>
      <c r="D1283" s="12"/>
      <c r="E1283" s="23"/>
      <c r="F1283" s="24"/>
      <c r="G1283" s="23"/>
      <c r="H1283" s="21" t="str">
        <f aca="true">IF(E1283="","",ROUND((E1283-TODAY())/30.4,1))</f>
        <v/>
      </c>
      <c r="I1283" s="17" t="str">
        <f aca="false">IF(E1283="","",IF(H1283&lt;0,IF(LEFT(A1283,1)="Q","Périmé (en quarantaine)","PÉRIMÉ → déplacer en zone Q"),IF(H1283&lt;3,"Péremption &lt; 3 mois",IF(H1283&lt;6,"Péremption &lt; 6 mois",""))))</f>
        <v/>
      </c>
      <c r="J1283" s="17" t="str">
        <f aca="false">IF(A1283="","",IF(COUNTIF(Emplacements!$A$2:$A$1001,A1283)=0,"⚠ emplacement inconnu","OK"))</f>
        <v/>
      </c>
      <c r="K1283" s="22" t="str">
        <f aca="false">IF(AND(B1283&lt;&gt;"",ISNUMBER(SEARCH(Recherche!$C$3,C1283&amp;" "&amp;B1283&amp;" "&amp;A1283&amp;" "&amp;D1283))),MAX($K$1:K1282)+1,"")</f>
        <v/>
      </c>
    </row>
    <row r="1284" customFormat="false" ht="15" hidden="false" customHeight="false" outlineLevel="0" collapsed="false">
      <c r="A1284" s="12"/>
      <c r="B1284" s="12"/>
      <c r="C1284" s="17" t="str">
        <f aca="false">IF(B1284="","",IFERROR(INDEX(Produits!$F$2:$F$1001,MATCH(B1284,Produits!$A$2:$A$1001,0)),"⚠ code article inconnu"))</f>
        <v/>
      </c>
      <c r="D1284" s="12"/>
      <c r="E1284" s="23"/>
      <c r="F1284" s="24"/>
      <c r="G1284" s="23"/>
      <c r="H1284" s="21" t="str">
        <f aca="true">IF(E1284="","",ROUND((E1284-TODAY())/30.4,1))</f>
        <v/>
      </c>
      <c r="I1284" s="17" t="str">
        <f aca="false">IF(E1284="","",IF(H1284&lt;0,IF(LEFT(A1284,1)="Q","Périmé (en quarantaine)","PÉRIMÉ → déplacer en zone Q"),IF(H1284&lt;3,"Péremption &lt; 3 mois",IF(H1284&lt;6,"Péremption &lt; 6 mois",""))))</f>
        <v/>
      </c>
      <c r="J1284" s="17" t="str">
        <f aca="false">IF(A1284="","",IF(COUNTIF(Emplacements!$A$2:$A$1001,A1284)=0,"⚠ emplacement inconnu","OK"))</f>
        <v/>
      </c>
      <c r="K1284" s="22" t="str">
        <f aca="false">IF(AND(B1284&lt;&gt;"",ISNUMBER(SEARCH(Recherche!$C$3,C1284&amp;" "&amp;B1284&amp;" "&amp;A1284&amp;" "&amp;D1284))),MAX($K$1:K1283)+1,"")</f>
        <v/>
      </c>
    </row>
    <row r="1285" customFormat="false" ht="15" hidden="false" customHeight="false" outlineLevel="0" collapsed="false">
      <c r="A1285" s="12"/>
      <c r="B1285" s="12"/>
      <c r="C1285" s="17" t="str">
        <f aca="false">IF(B1285="","",IFERROR(INDEX(Produits!$F$2:$F$1001,MATCH(B1285,Produits!$A$2:$A$1001,0)),"⚠ code article inconnu"))</f>
        <v/>
      </c>
      <c r="D1285" s="12"/>
      <c r="E1285" s="23"/>
      <c r="F1285" s="24"/>
      <c r="G1285" s="23"/>
      <c r="H1285" s="21" t="str">
        <f aca="true">IF(E1285="","",ROUND((E1285-TODAY())/30.4,1))</f>
        <v/>
      </c>
      <c r="I1285" s="17" t="str">
        <f aca="false">IF(E1285="","",IF(H1285&lt;0,IF(LEFT(A1285,1)="Q","Périmé (en quarantaine)","PÉRIMÉ → déplacer en zone Q"),IF(H1285&lt;3,"Péremption &lt; 3 mois",IF(H1285&lt;6,"Péremption &lt; 6 mois",""))))</f>
        <v/>
      </c>
      <c r="J1285" s="17" t="str">
        <f aca="false">IF(A1285="","",IF(COUNTIF(Emplacements!$A$2:$A$1001,A1285)=0,"⚠ emplacement inconnu","OK"))</f>
        <v/>
      </c>
      <c r="K1285" s="22" t="str">
        <f aca="false">IF(AND(B1285&lt;&gt;"",ISNUMBER(SEARCH(Recherche!$C$3,C1285&amp;" "&amp;B1285&amp;" "&amp;A1285&amp;" "&amp;D1285))),MAX($K$1:K1284)+1,"")</f>
        <v/>
      </c>
    </row>
    <row r="1286" customFormat="false" ht="15" hidden="false" customHeight="false" outlineLevel="0" collapsed="false">
      <c r="A1286" s="12"/>
      <c r="B1286" s="12"/>
      <c r="C1286" s="17" t="str">
        <f aca="false">IF(B1286="","",IFERROR(INDEX(Produits!$F$2:$F$1001,MATCH(B1286,Produits!$A$2:$A$1001,0)),"⚠ code article inconnu"))</f>
        <v/>
      </c>
      <c r="D1286" s="12"/>
      <c r="E1286" s="23"/>
      <c r="F1286" s="24"/>
      <c r="G1286" s="23"/>
      <c r="H1286" s="21" t="str">
        <f aca="true">IF(E1286="","",ROUND((E1286-TODAY())/30.4,1))</f>
        <v/>
      </c>
      <c r="I1286" s="17" t="str">
        <f aca="false">IF(E1286="","",IF(H1286&lt;0,IF(LEFT(A1286,1)="Q","Périmé (en quarantaine)","PÉRIMÉ → déplacer en zone Q"),IF(H1286&lt;3,"Péremption &lt; 3 mois",IF(H1286&lt;6,"Péremption &lt; 6 mois",""))))</f>
        <v/>
      </c>
      <c r="J1286" s="17" t="str">
        <f aca="false">IF(A1286="","",IF(COUNTIF(Emplacements!$A$2:$A$1001,A1286)=0,"⚠ emplacement inconnu","OK"))</f>
        <v/>
      </c>
      <c r="K1286" s="22" t="str">
        <f aca="false">IF(AND(B1286&lt;&gt;"",ISNUMBER(SEARCH(Recherche!$C$3,C1286&amp;" "&amp;B1286&amp;" "&amp;A1286&amp;" "&amp;D1286))),MAX($K$1:K1285)+1,"")</f>
        <v/>
      </c>
    </row>
    <row r="1287" customFormat="false" ht="15" hidden="false" customHeight="false" outlineLevel="0" collapsed="false">
      <c r="A1287" s="12"/>
      <c r="B1287" s="12"/>
      <c r="C1287" s="17" t="str">
        <f aca="false">IF(B1287="","",IFERROR(INDEX(Produits!$F$2:$F$1001,MATCH(B1287,Produits!$A$2:$A$1001,0)),"⚠ code article inconnu"))</f>
        <v/>
      </c>
      <c r="D1287" s="12"/>
      <c r="E1287" s="23"/>
      <c r="F1287" s="24"/>
      <c r="G1287" s="23"/>
      <c r="H1287" s="21" t="str">
        <f aca="true">IF(E1287="","",ROUND((E1287-TODAY())/30.4,1))</f>
        <v/>
      </c>
      <c r="I1287" s="17" t="str">
        <f aca="false">IF(E1287="","",IF(H1287&lt;0,IF(LEFT(A1287,1)="Q","Périmé (en quarantaine)","PÉRIMÉ → déplacer en zone Q"),IF(H1287&lt;3,"Péremption &lt; 3 mois",IF(H1287&lt;6,"Péremption &lt; 6 mois",""))))</f>
        <v/>
      </c>
      <c r="J1287" s="17" t="str">
        <f aca="false">IF(A1287="","",IF(COUNTIF(Emplacements!$A$2:$A$1001,A1287)=0,"⚠ emplacement inconnu","OK"))</f>
        <v/>
      </c>
      <c r="K1287" s="22" t="str">
        <f aca="false">IF(AND(B1287&lt;&gt;"",ISNUMBER(SEARCH(Recherche!$C$3,C1287&amp;" "&amp;B1287&amp;" "&amp;A1287&amp;" "&amp;D1287))),MAX($K$1:K1286)+1,"")</f>
        <v/>
      </c>
    </row>
    <row r="1288" customFormat="false" ht="15" hidden="false" customHeight="false" outlineLevel="0" collapsed="false">
      <c r="A1288" s="12"/>
      <c r="B1288" s="12"/>
      <c r="C1288" s="17" t="str">
        <f aca="false">IF(B1288="","",IFERROR(INDEX(Produits!$F$2:$F$1001,MATCH(B1288,Produits!$A$2:$A$1001,0)),"⚠ code article inconnu"))</f>
        <v/>
      </c>
      <c r="D1288" s="12"/>
      <c r="E1288" s="23"/>
      <c r="F1288" s="24"/>
      <c r="G1288" s="23"/>
      <c r="H1288" s="21" t="str">
        <f aca="true">IF(E1288="","",ROUND((E1288-TODAY())/30.4,1))</f>
        <v/>
      </c>
      <c r="I1288" s="17" t="str">
        <f aca="false">IF(E1288="","",IF(H1288&lt;0,IF(LEFT(A1288,1)="Q","Périmé (en quarantaine)","PÉRIMÉ → déplacer en zone Q"),IF(H1288&lt;3,"Péremption &lt; 3 mois",IF(H1288&lt;6,"Péremption &lt; 6 mois",""))))</f>
        <v/>
      </c>
      <c r="J1288" s="17" t="str">
        <f aca="false">IF(A1288="","",IF(COUNTIF(Emplacements!$A$2:$A$1001,A1288)=0,"⚠ emplacement inconnu","OK"))</f>
        <v/>
      </c>
      <c r="K1288" s="22" t="str">
        <f aca="false">IF(AND(B1288&lt;&gt;"",ISNUMBER(SEARCH(Recherche!$C$3,C1288&amp;" "&amp;B1288&amp;" "&amp;A1288&amp;" "&amp;D1288))),MAX($K$1:K1287)+1,"")</f>
        <v/>
      </c>
    </row>
    <row r="1289" customFormat="false" ht="15" hidden="false" customHeight="false" outlineLevel="0" collapsed="false">
      <c r="A1289" s="12"/>
      <c r="B1289" s="12"/>
      <c r="C1289" s="17" t="str">
        <f aca="false">IF(B1289="","",IFERROR(INDEX(Produits!$F$2:$F$1001,MATCH(B1289,Produits!$A$2:$A$1001,0)),"⚠ code article inconnu"))</f>
        <v/>
      </c>
      <c r="D1289" s="12"/>
      <c r="E1289" s="23"/>
      <c r="F1289" s="24"/>
      <c r="G1289" s="23"/>
      <c r="H1289" s="21" t="str">
        <f aca="true">IF(E1289="","",ROUND((E1289-TODAY())/30.4,1))</f>
        <v/>
      </c>
      <c r="I1289" s="17" t="str">
        <f aca="false">IF(E1289="","",IF(H1289&lt;0,IF(LEFT(A1289,1)="Q","Périmé (en quarantaine)","PÉRIMÉ → déplacer en zone Q"),IF(H1289&lt;3,"Péremption &lt; 3 mois",IF(H1289&lt;6,"Péremption &lt; 6 mois",""))))</f>
        <v/>
      </c>
      <c r="J1289" s="17" t="str">
        <f aca="false">IF(A1289="","",IF(COUNTIF(Emplacements!$A$2:$A$1001,A1289)=0,"⚠ emplacement inconnu","OK"))</f>
        <v/>
      </c>
      <c r="K1289" s="22" t="str">
        <f aca="false">IF(AND(B1289&lt;&gt;"",ISNUMBER(SEARCH(Recherche!$C$3,C1289&amp;" "&amp;B1289&amp;" "&amp;A1289&amp;" "&amp;D1289))),MAX($K$1:K1288)+1,"")</f>
        <v/>
      </c>
    </row>
    <row r="1290" customFormat="false" ht="15" hidden="false" customHeight="false" outlineLevel="0" collapsed="false">
      <c r="A1290" s="12"/>
      <c r="B1290" s="12"/>
      <c r="C1290" s="17" t="str">
        <f aca="false">IF(B1290="","",IFERROR(INDEX(Produits!$F$2:$F$1001,MATCH(B1290,Produits!$A$2:$A$1001,0)),"⚠ code article inconnu"))</f>
        <v/>
      </c>
      <c r="D1290" s="12"/>
      <c r="E1290" s="23"/>
      <c r="F1290" s="24"/>
      <c r="G1290" s="23"/>
      <c r="H1290" s="21" t="str">
        <f aca="true">IF(E1290="","",ROUND((E1290-TODAY())/30.4,1))</f>
        <v/>
      </c>
      <c r="I1290" s="17" t="str">
        <f aca="false">IF(E1290="","",IF(H1290&lt;0,IF(LEFT(A1290,1)="Q","Périmé (en quarantaine)","PÉRIMÉ → déplacer en zone Q"),IF(H1290&lt;3,"Péremption &lt; 3 mois",IF(H1290&lt;6,"Péremption &lt; 6 mois",""))))</f>
        <v/>
      </c>
      <c r="J1290" s="17" t="str">
        <f aca="false">IF(A1290="","",IF(COUNTIF(Emplacements!$A$2:$A$1001,A1290)=0,"⚠ emplacement inconnu","OK"))</f>
        <v/>
      </c>
      <c r="K1290" s="22" t="str">
        <f aca="false">IF(AND(B1290&lt;&gt;"",ISNUMBER(SEARCH(Recherche!$C$3,C1290&amp;" "&amp;B1290&amp;" "&amp;A1290&amp;" "&amp;D1290))),MAX($K$1:K1289)+1,"")</f>
        <v/>
      </c>
    </row>
    <row r="1291" customFormat="false" ht="15" hidden="false" customHeight="false" outlineLevel="0" collapsed="false">
      <c r="A1291" s="12"/>
      <c r="B1291" s="12"/>
      <c r="C1291" s="17" t="str">
        <f aca="false">IF(B1291="","",IFERROR(INDEX(Produits!$F$2:$F$1001,MATCH(B1291,Produits!$A$2:$A$1001,0)),"⚠ code article inconnu"))</f>
        <v/>
      </c>
      <c r="D1291" s="12"/>
      <c r="E1291" s="23"/>
      <c r="F1291" s="24"/>
      <c r="G1291" s="23"/>
      <c r="H1291" s="21" t="str">
        <f aca="true">IF(E1291="","",ROUND((E1291-TODAY())/30.4,1))</f>
        <v/>
      </c>
      <c r="I1291" s="17" t="str">
        <f aca="false">IF(E1291="","",IF(H1291&lt;0,IF(LEFT(A1291,1)="Q","Périmé (en quarantaine)","PÉRIMÉ → déplacer en zone Q"),IF(H1291&lt;3,"Péremption &lt; 3 mois",IF(H1291&lt;6,"Péremption &lt; 6 mois",""))))</f>
        <v/>
      </c>
      <c r="J1291" s="17" t="str">
        <f aca="false">IF(A1291="","",IF(COUNTIF(Emplacements!$A$2:$A$1001,A1291)=0,"⚠ emplacement inconnu","OK"))</f>
        <v/>
      </c>
      <c r="K1291" s="22" t="str">
        <f aca="false">IF(AND(B1291&lt;&gt;"",ISNUMBER(SEARCH(Recherche!$C$3,C1291&amp;" "&amp;B1291&amp;" "&amp;A1291&amp;" "&amp;D1291))),MAX($K$1:K1290)+1,"")</f>
        <v/>
      </c>
    </row>
    <row r="1292" customFormat="false" ht="15" hidden="false" customHeight="false" outlineLevel="0" collapsed="false">
      <c r="A1292" s="12"/>
      <c r="B1292" s="12"/>
      <c r="C1292" s="17" t="str">
        <f aca="false">IF(B1292="","",IFERROR(INDEX(Produits!$F$2:$F$1001,MATCH(B1292,Produits!$A$2:$A$1001,0)),"⚠ code article inconnu"))</f>
        <v/>
      </c>
      <c r="D1292" s="12"/>
      <c r="E1292" s="23"/>
      <c r="F1292" s="24"/>
      <c r="G1292" s="23"/>
      <c r="H1292" s="21" t="str">
        <f aca="true">IF(E1292="","",ROUND((E1292-TODAY())/30.4,1))</f>
        <v/>
      </c>
      <c r="I1292" s="17" t="str">
        <f aca="false">IF(E1292="","",IF(H1292&lt;0,IF(LEFT(A1292,1)="Q","Périmé (en quarantaine)","PÉRIMÉ → déplacer en zone Q"),IF(H1292&lt;3,"Péremption &lt; 3 mois",IF(H1292&lt;6,"Péremption &lt; 6 mois",""))))</f>
        <v/>
      </c>
      <c r="J1292" s="17" t="str">
        <f aca="false">IF(A1292="","",IF(COUNTIF(Emplacements!$A$2:$A$1001,A1292)=0,"⚠ emplacement inconnu","OK"))</f>
        <v/>
      </c>
      <c r="K1292" s="22" t="str">
        <f aca="false">IF(AND(B1292&lt;&gt;"",ISNUMBER(SEARCH(Recherche!$C$3,C1292&amp;" "&amp;B1292&amp;" "&amp;A1292&amp;" "&amp;D1292))),MAX($K$1:K1291)+1,"")</f>
        <v/>
      </c>
    </row>
    <row r="1293" customFormat="false" ht="15" hidden="false" customHeight="false" outlineLevel="0" collapsed="false">
      <c r="A1293" s="12"/>
      <c r="B1293" s="12"/>
      <c r="C1293" s="17" t="str">
        <f aca="false">IF(B1293="","",IFERROR(INDEX(Produits!$F$2:$F$1001,MATCH(B1293,Produits!$A$2:$A$1001,0)),"⚠ code article inconnu"))</f>
        <v/>
      </c>
      <c r="D1293" s="12"/>
      <c r="E1293" s="23"/>
      <c r="F1293" s="24"/>
      <c r="G1293" s="23"/>
      <c r="H1293" s="21" t="str">
        <f aca="true">IF(E1293="","",ROUND((E1293-TODAY())/30.4,1))</f>
        <v/>
      </c>
      <c r="I1293" s="17" t="str">
        <f aca="false">IF(E1293="","",IF(H1293&lt;0,IF(LEFT(A1293,1)="Q","Périmé (en quarantaine)","PÉRIMÉ → déplacer en zone Q"),IF(H1293&lt;3,"Péremption &lt; 3 mois",IF(H1293&lt;6,"Péremption &lt; 6 mois",""))))</f>
        <v/>
      </c>
      <c r="J1293" s="17" t="str">
        <f aca="false">IF(A1293="","",IF(COUNTIF(Emplacements!$A$2:$A$1001,A1293)=0,"⚠ emplacement inconnu","OK"))</f>
        <v/>
      </c>
      <c r="K1293" s="22" t="str">
        <f aca="false">IF(AND(B1293&lt;&gt;"",ISNUMBER(SEARCH(Recherche!$C$3,C1293&amp;" "&amp;B1293&amp;" "&amp;A1293&amp;" "&amp;D1293))),MAX($K$1:K1292)+1,"")</f>
        <v/>
      </c>
    </row>
    <row r="1294" customFormat="false" ht="15" hidden="false" customHeight="false" outlineLevel="0" collapsed="false">
      <c r="A1294" s="12"/>
      <c r="B1294" s="12"/>
      <c r="C1294" s="17" t="str">
        <f aca="false">IF(B1294="","",IFERROR(INDEX(Produits!$F$2:$F$1001,MATCH(B1294,Produits!$A$2:$A$1001,0)),"⚠ code article inconnu"))</f>
        <v/>
      </c>
      <c r="D1294" s="12"/>
      <c r="E1294" s="23"/>
      <c r="F1294" s="24"/>
      <c r="G1294" s="23"/>
      <c r="H1294" s="21" t="str">
        <f aca="true">IF(E1294="","",ROUND((E1294-TODAY())/30.4,1))</f>
        <v/>
      </c>
      <c r="I1294" s="17" t="str">
        <f aca="false">IF(E1294="","",IF(H1294&lt;0,IF(LEFT(A1294,1)="Q","Périmé (en quarantaine)","PÉRIMÉ → déplacer en zone Q"),IF(H1294&lt;3,"Péremption &lt; 3 mois",IF(H1294&lt;6,"Péremption &lt; 6 mois",""))))</f>
        <v/>
      </c>
      <c r="J1294" s="17" t="str">
        <f aca="false">IF(A1294="","",IF(COUNTIF(Emplacements!$A$2:$A$1001,A1294)=0,"⚠ emplacement inconnu","OK"))</f>
        <v/>
      </c>
      <c r="K1294" s="22" t="str">
        <f aca="false">IF(AND(B1294&lt;&gt;"",ISNUMBER(SEARCH(Recherche!$C$3,C1294&amp;" "&amp;B1294&amp;" "&amp;A1294&amp;" "&amp;D1294))),MAX($K$1:K1293)+1,"")</f>
        <v/>
      </c>
    </row>
    <row r="1295" customFormat="false" ht="15" hidden="false" customHeight="false" outlineLevel="0" collapsed="false">
      <c r="A1295" s="12"/>
      <c r="B1295" s="12"/>
      <c r="C1295" s="17" t="str">
        <f aca="false">IF(B1295="","",IFERROR(INDEX(Produits!$F$2:$F$1001,MATCH(B1295,Produits!$A$2:$A$1001,0)),"⚠ code article inconnu"))</f>
        <v/>
      </c>
      <c r="D1295" s="12"/>
      <c r="E1295" s="23"/>
      <c r="F1295" s="24"/>
      <c r="G1295" s="23"/>
      <c r="H1295" s="21" t="str">
        <f aca="true">IF(E1295="","",ROUND((E1295-TODAY())/30.4,1))</f>
        <v/>
      </c>
      <c r="I1295" s="17" t="str">
        <f aca="false">IF(E1295="","",IF(H1295&lt;0,IF(LEFT(A1295,1)="Q","Périmé (en quarantaine)","PÉRIMÉ → déplacer en zone Q"),IF(H1295&lt;3,"Péremption &lt; 3 mois",IF(H1295&lt;6,"Péremption &lt; 6 mois",""))))</f>
        <v/>
      </c>
      <c r="J1295" s="17" t="str">
        <f aca="false">IF(A1295="","",IF(COUNTIF(Emplacements!$A$2:$A$1001,A1295)=0,"⚠ emplacement inconnu","OK"))</f>
        <v/>
      </c>
      <c r="K1295" s="22" t="str">
        <f aca="false">IF(AND(B1295&lt;&gt;"",ISNUMBER(SEARCH(Recherche!$C$3,C1295&amp;" "&amp;B1295&amp;" "&amp;A1295&amp;" "&amp;D1295))),MAX($K$1:K1294)+1,"")</f>
        <v/>
      </c>
    </row>
    <row r="1296" customFormat="false" ht="15" hidden="false" customHeight="false" outlineLevel="0" collapsed="false">
      <c r="A1296" s="12"/>
      <c r="B1296" s="12"/>
      <c r="C1296" s="17" t="str">
        <f aca="false">IF(B1296="","",IFERROR(INDEX(Produits!$F$2:$F$1001,MATCH(B1296,Produits!$A$2:$A$1001,0)),"⚠ code article inconnu"))</f>
        <v/>
      </c>
      <c r="D1296" s="12"/>
      <c r="E1296" s="23"/>
      <c r="F1296" s="24"/>
      <c r="G1296" s="23"/>
      <c r="H1296" s="21" t="str">
        <f aca="true">IF(E1296="","",ROUND((E1296-TODAY())/30.4,1))</f>
        <v/>
      </c>
      <c r="I1296" s="17" t="str">
        <f aca="false">IF(E1296="","",IF(H1296&lt;0,IF(LEFT(A1296,1)="Q","Périmé (en quarantaine)","PÉRIMÉ → déplacer en zone Q"),IF(H1296&lt;3,"Péremption &lt; 3 mois",IF(H1296&lt;6,"Péremption &lt; 6 mois",""))))</f>
        <v/>
      </c>
      <c r="J1296" s="17" t="str">
        <f aca="false">IF(A1296="","",IF(COUNTIF(Emplacements!$A$2:$A$1001,A1296)=0,"⚠ emplacement inconnu","OK"))</f>
        <v/>
      </c>
      <c r="K1296" s="22" t="str">
        <f aca="false">IF(AND(B1296&lt;&gt;"",ISNUMBER(SEARCH(Recherche!$C$3,C1296&amp;" "&amp;B1296&amp;" "&amp;A1296&amp;" "&amp;D1296))),MAX($K$1:K1295)+1,"")</f>
        <v/>
      </c>
    </row>
    <row r="1297" customFormat="false" ht="15" hidden="false" customHeight="false" outlineLevel="0" collapsed="false">
      <c r="A1297" s="12"/>
      <c r="B1297" s="12"/>
      <c r="C1297" s="17" t="str">
        <f aca="false">IF(B1297="","",IFERROR(INDEX(Produits!$F$2:$F$1001,MATCH(B1297,Produits!$A$2:$A$1001,0)),"⚠ code article inconnu"))</f>
        <v/>
      </c>
      <c r="D1297" s="12"/>
      <c r="E1297" s="23"/>
      <c r="F1297" s="24"/>
      <c r="G1297" s="23"/>
      <c r="H1297" s="21" t="str">
        <f aca="true">IF(E1297="","",ROUND((E1297-TODAY())/30.4,1))</f>
        <v/>
      </c>
      <c r="I1297" s="17" t="str">
        <f aca="false">IF(E1297="","",IF(H1297&lt;0,IF(LEFT(A1297,1)="Q","Périmé (en quarantaine)","PÉRIMÉ → déplacer en zone Q"),IF(H1297&lt;3,"Péremption &lt; 3 mois",IF(H1297&lt;6,"Péremption &lt; 6 mois",""))))</f>
        <v/>
      </c>
      <c r="J1297" s="17" t="str">
        <f aca="false">IF(A1297="","",IF(COUNTIF(Emplacements!$A$2:$A$1001,A1297)=0,"⚠ emplacement inconnu","OK"))</f>
        <v/>
      </c>
      <c r="K1297" s="22" t="str">
        <f aca="false">IF(AND(B1297&lt;&gt;"",ISNUMBER(SEARCH(Recherche!$C$3,C1297&amp;" "&amp;B1297&amp;" "&amp;A1297&amp;" "&amp;D1297))),MAX($K$1:K1296)+1,"")</f>
        <v/>
      </c>
    </row>
    <row r="1298" customFormat="false" ht="15" hidden="false" customHeight="false" outlineLevel="0" collapsed="false">
      <c r="A1298" s="12"/>
      <c r="B1298" s="12"/>
      <c r="C1298" s="17" t="str">
        <f aca="false">IF(B1298="","",IFERROR(INDEX(Produits!$F$2:$F$1001,MATCH(B1298,Produits!$A$2:$A$1001,0)),"⚠ code article inconnu"))</f>
        <v/>
      </c>
      <c r="D1298" s="12"/>
      <c r="E1298" s="23"/>
      <c r="F1298" s="24"/>
      <c r="G1298" s="23"/>
      <c r="H1298" s="21" t="str">
        <f aca="true">IF(E1298="","",ROUND((E1298-TODAY())/30.4,1))</f>
        <v/>
      </c>
      <c r="I1298" s="17" t="str">
        <f aca="false">IF(E1298="","",IF(H1298&lt;0,IF(LEFT(A1298,1)="Q","Périmé (en quarantaine)","PÉRIMÉ → déplacer en zone Q"),IF(H1298&lt;3,"Péremption &lt; 3 mois",IF(H1298&lt;6,"Péremption &lt; 6 mois",""))))</f>
        <v/>
      </c>
      <c r="J1298" s="17" t="str">
        <f aca="false">IF(A1298="","",IF(COUNTIF(Emplacements!$A$2:$A$1001,A1298)=0,"⚠ emplacement inconnu","OK"))</f>
        <v/>
      </c>
      <c r="K1298" s="22" t="str">
        <f aca="false">IF(AND(B1298&lt;&gt;"",ISNUMBER(SEARCH(Recherche!$C$3,C1298&amp;" "&amp;B1298&amp;" "&amp;A1298&amp;" "&amp;D1298))),MAX($K$1:K1297)+1,"")</f>
        <v/>
      </c>
    </row>
    <row r="1299" customFormat="false" ht="15" hidden="false" customHeight="false" outlineLevel="0" collapsed="false">
      <c r="A1299" s="12"/>
      <c r="B1299" s="12"/>
      <c r="C1299" s="17" t="str">
        <f aca="false">IF(B1299="","",IFERROR(INDEX(Produits!$F$2:$F$1001,MATCH(B1299,Produits!$A$2:$A$1001,0)),"⚠ code article inconnu"))</f>
        <v/>
      </c>
      <c r="D1299" s="12"/>
      <c r="E1299" s="23"/>
      <c r="F1299" s="24"/>
      <c r="G1299" s="23"/>
      <c r="H1299" s="21" t="str">
        <f aca="true">IF(E1299="","",ROUND((E1299-TODAY())/30.4,1))</f>
        <v/>
      </c>
      <c r="I1299" s="17" t="str">
        <f aca="false">IF(E1299="","",IF(H1299&lt;0,IF(LEFT(A1299,1)="Q","Périmé (en quarantaine)","PÉRIMÉ → déplacer en zone Q"),IF(H1299&lt;3,"Péremption &lt; 3 mois",IF(H1299&lt;6,"Péremption &lt; 6 mois",""))))</f>
        <v/>
      </c>
      <c r="J1299" s="17" t="str">
        <f aca="false">IF(A1299="","",IF(COUNTIF(Emplacements!$A$2:$A$1001,A1299)=0,"⚠ emplacement inconnu","OK"))</f>
        <v/>
      </c>
      <c r="K1299" s="22" t="str">
        <f aca="false">IF(AND(B1299&lt;&gt;"",ISNUMBER(SEARCH(Recherche!$C$3,C1299&amp;" "&amp;B1299&amp;" "&amp;A1299&amp;" "&amp;D1299))),MAX($K$1:K1298)+1,"")</f>
        <v/>
      </c>
    </row>
    <row r="1300" customFormat="false" ht="15" hidden="false" customHeight="false" outlineLevel="0" collapsed="false">
      <c r="A1300" s="12"/>
      <c r="B1300" s="12"/>
      <c r="C1300" s="17" t="str">
        <f aca="false">IF(B1300="","",IFERROR(INDEX(Produits!$F$2:$F$1001,MATCH(B1300,Produits!$A$2:$A$1001,0)),"⚠ code article inconnu"))</f>
        <v/>
      </c>
      <c r="D1300" s="12"/>
      <c r="E1300" s="23"/>
      <c r="F1300" s="24"/>
      <c r="G1300" s="23"/>
      <c r="H1300" s="21" t="str">
        <f aca="true">IF(E1300="","",ROUND((E1300-TODAY())/30.4,1))</f>
        <v/>
      </c>
      <c r="I1300" s="17" t="str">
        <f aca="false">IF(E1300="","",IF(H1300&lt;0,IF(LEFT(A1300,1)="Q","Périmé (en quarantaine)","PÉRIMÉ → déplacer en zone Q"),IF(H1300&lt;3,"Péremption &lt; 3 mois",IF(H1300&lt;6,"Péremption &lt; 6 mois",""))))</f>
        <v/>
      </c>
      <c r="J1300" s="17" t="str">
        <f aca="false">IF(A1300="","",IF(COUNTIF(Emplacements!$A$2:$A$1001,A1300)=0,"⚠ emplacement inconnu","OK"))</f>
        <v/>
      </c>
      <c r="K1300" s="22" t="str">
        <f aca="false">IF(AND(B1300&lt;&gt;"",ISNUMBER(SEARCH(Recherche!$C$3,C1300&amp;" "&amp;B1300&amp;" "&amp;A1300&amp;" "&amp;D1300))),MAX($K$1:K1299)+1,"")</f>
        <v/>
      </c>
    </row>
    <row r="1301" customFormat="false" ht="15" hidden="false" customHeight="false" outlineLevel="0" collapsed="false">
      <c r="A1301" s="12"/>
      <c r="B1301" s="12"/>
      <c r="C1301" s="17" t="str">
        <f aca="false">IF(B1301="","",IFERROR(INDEX(Produits!$F$2:$F$1001,MATCH(B1301,Produits!$A$2:$A$1001,0)),"⚠ code article inconnu"))</f>
        <v/>
      </c>
      <c r="D1301" s="12"/>
      <c r="E1301" s="23"/>
      <c r="F1301" s="24"/>
      <c r="G1301" s="23"/>
      <c r="H1301" s="21" t="str">
        <f aca="true">IF(E1301="","",ROUND((E1301-TODAY())/30.4,1))</f>
        <v/>
      </c>
      <c r="I1301" s="17" t="str">
        <f aca="false">IF(E1301="","",IF(H1301&lt;0,IF(LEFT(A1301,1)="Q","Périmé (en quarantaine)","PÉRIMÉ → déplacer en zone Q"),IF(H1301&lt;3,"Péremption &lt; 3 mois",IF(H1301&lt;6,"Péremption &lt; 6 mois",""))))</f>
        <v/>
      </c>
      <c r="J1301" s="17" t="str">
        <f aca="false">IF(A1301="","",IF(COUNTIF(Emplacements!$A$2:$A$1001,A1301)=0,"⚠ emplacement inconnu","OK"))</f>
        <v/>
      </c>
      <c r="K1301" s="22" t="str">
        <f aca="false">IF(AND(B1301&lt;&gt;"",ISNUMBER(SEARCH(Recherche!$C$3,C1301&amp;" "&amp;B1301&amp;" "&amp;A1301&amp;" "&amp;D1301))),MAX($K$1:K1300)+1,"")</f>
        <v/>
      </c>
    </row>
    <row r="1302" customFormat="false" ht="15" hidden="false" customHeight="false" outlineLevel="0" collapsed="false">
      <c r="A1302" s="12"/>
      <c r="B1302" s="12"/>
      <c r="C1302" s="17" t="str">
        <f aca="false">IF(B1302="","",IFERROR(INDEX(Produits!$F$2:$F$1001,MATCH(B1302,Produits!$A$2:$A$1001,0)),"⚠ code article inconnu"))</f>
        <v/>
      </c>
      <c r="D1302" s="12"/>
      <c r="E1302" s="23"/>
      <c r="F1302" s="24"/>
      <c r="G1302" s="23"/>
      <c r="H1302" s="21" t="str">
        <f aca="true">IF(E1302="","",ROUND((E1302-TODAY())/30.4,1))</f>
        <v/>
      </c>
      <c r="I1302" s="17" t="str">
        <f aca="false">IF(E1302="","",IF(H1302&lt;0,IF(LEFT(A1302,1)="Q","Périmé (en quarantaine)","PÉRIMÉ → déplacer en zone Q"),IF(H1302&lt;3,"Péremption &lt; 3 mois",IF(H1302&lt;6,"Péremption &lt; 6 mois",""))))</f>
        <v/>
      </c>
      <c r="J1302" s="17" t="str">
        <f aca="false">IF(A1302="","",IF(COUNTIF(Emplacements!$A$2:$A$1001,A1302)=0,"⚠ emplacement inconnu","OK"))</f>
        <v/>
      </c>
      <c r="K1302" s="22" t="str">
        <f aca="false">IF(AND(B1302&lt;&gt;"",ISNUMBER(SEARCH(Recherche!$C$3,C1302&amp;" "&amp;B1302&amp;" "&amp;A1302&amp;" "&amp;D1302))),MAX($K$1:K1301)+1,"")</f>
        <v/>
      </c>
    </row>
    <row r="1303" customFormat="false" ht="15" hidden="false" customHeight="false" outlineLevel="0" collapsed="false">
      <c r="A1303" s="12"/>
      <c r="B1303" s="12"/>
      <c r="C1303" s="17" t="str">
        <f aca="false">IF(B1303="","",IFERROR(INDEX(Produits!$F$2:$F$1001,MATCH(B1303,Produits!$A$2:$A$1001,0)),"⚠ code article inconnu"))</f>
        <v/>
      </c>
      <c r="D1303" s="12"/>
      <c r="E1303" s="23"/>
      <c r="F1303" s="24"/>
      <c r="G1303" s="23"/>
      <c r="H1303" s="21" t="str">
        <f aca="true">IF(E1303="","",ROUND((E1303-TODAY())/30.4,1))</f>
        <v/>
      </c>
      <c r="I1303" s="17" t="str">
        <f aca="false">IF(E1303="","",IF(H1303&lt;0,IF(LEFT(A1303,1)="Q","Périmé (en quarantaine)","PÉRIMÉ → déplacer en zone Q"),IF(H1303&lt;3,"Péremption &lt; 3 mois",IF(H1303&lt;6,"Péremption &lt; 6 mois",""))))</f>
        <v/>
      </c>
      <c r="J1303" s="17" t="str">
        <f aca="false">IF(A1303="","",IF(COUNTIF(Emplacements!$A$2:$A$1001,A1303)=0,"⚠ emplacement inconnu","OK"))</f>
        <v/>
      </c>
      <c r="K1303" s="22" t="str">
        <f aca="false">IF(AND(B1303&lt;&gt;"",ISNUMBER(SEARCH(Recherche!$C$3,C1303&amp;" "&amp;B1303&amp;" "&amp;A1303&amp;" "&amp;D1303))),MAX($K$1:K1302)+1,"")</f>
        <v/>
      </c>
    </row>
    <row r="1304" customFormat="false" ht="15" hidden="false" customHeight="false" outlineLevel="0" collapsed="false">
      <c r="A1304" s="12"/>
      <c r="B1304" s="12"/>
      <c r="C1304" s="17" t="str">
        <f aca="false">IF(B1304="","",IFERROR(INDEX(Produits!$F$2:$F$1001,MATCH(B1304,Produits!$A$2:$A$1001,0)),"⚠ code article inconnu"))</f>
        <v/>
      </c>
      <c r="D1304" s="12"/>
      <c r="E1304" s="23"/>
      <c r="F1304" s="24"/>
      <c r="G1304" s="23"/>
      <c r="H1304" s="21" t="str">
        <f aca="true">IF(E1304="","",ROUND((E1304-TODAY())/30.4,1))</f>
        <v/>
      </c>
      <c r="I1304" s="17" t="str">
        <f aca="false">IF(E1304="","",IF(H1304&lt;0,IF(LEFT(A1304,1)="Q","Périmé (en quarantaine)","PÉRIMÉ → déplacer en zone Q"),IF(H1304&lt;3,"Péremption &lt; 3 mois",IF(H1304&lt;6,"Péremption &lt; 6 mois",""))))</f>
        <v/>
      </c>
      <c r="J1304" s="17" t="str">
        <f aca="false">IF(A1304="","",IF(COUNTIF(Emplacements!$A$2:$A$1001,A1304)=0,"⚠ emplacement inconnu","OK"))</f>
        <v/>
      </c>
      <c r="K1304" s="22" t="str">
        <f aca="false">IF(AND(B1304&lt;&gt;"",ISNUMBER(SEARCH(Recherche!$C$3,C1304&amp;" "&amp;B1304&amp;" "&amp;A1304&amp;" "&amp;D1304))),MAX($K$1:K1303)+1,"")</f>
        <v/>
      </c>
    </row>
    <row r="1305" customFormat="false" ht="15" hidden="false" customHeight="false" outlineLevel="0" collapsed="false">
      <c r="A1305" s="12"/>
      <c r="B1305" s="12"/>
      <c r="C1305" s="17" t="str">
        <f aca="false">IF(B1305="","",IFERROR(INDEX(Produits!$F$2:$F$1001,MATCH(B1305,Produits!$A$2:$A$1001,0)),"⚠ code article inconnu"))</f>
        <v/>
      </c>
      <c r="D1305" s="12"/>
      <c r="E1305" s="23"/>
      <c r="F1305" s="24"/>
      <c r="G1305" s="23"/>
      <c r="H1305" s="21" t="str">
        <f aca="true">IF(E1305="","",ROUND((E1305-TODAY())/30.4,1))</f>
        <v/>
      </c>
      <c r="I1305" s="17" t="str">
        <f aca="false">IF(E1305="","",IF(H1305&lt;0,IF(LEFT(A1305,1)="Q","Périmé (en quarantaine)","PÉRIMÉ → déplacer en zone Q"),IF(H1305&lt;3,"Péremption &lt; 3 mois",IF(H1305&lt;6,"Péremption &lt; 6 mois",""))))</f>
        <v/>
      </c>
      <c r="J1305" s="17" t="str">
        <f aca="false">IF(A1305="","",IF(COUNTIF(Emplacements!$A$2:$A$1001,A1305)=0,"⚠ emplacement inconnu","OK"))</f>
        <v/>
      </c>
      <c r="K1305" s="22" t="str">
        <f aca="false">IF(AND(B1305&lt;&gt;"",ISNUMBER(SEARCH(Recherche!$C$3,C1305&amp;" "&amp;B1305&amp;" "&amp;A1305&amp;" "&amp;D1305))),MAX($K$1:K1304)+1,"")</f>
        <v/>
      </c>
    </row>
    <row r="1306" customFormat="false" ht="15" hidden="false" customHeight="false" outlineLevel="0" collapsed="false">
      <c r="A1306" s="12"/>
      <c r="B1306" s="12"/>
      <c r="C1306" s="17" t="str">
        <f aca="false">IF(B1306="","",IFERROR(INDEX(Produits!$F$2:$F$1001,MATCH(B1306,Produits!$A$2:$A$1001,0)),"⚠ code article inconnu"))</f>
        <v/>
      </c>
      <c r="D1306" s="12"/>
      <c r="E1306" s="23"/>
      <c r="F1306" s="24"/>
      <c r="G1306" s="23"/>
      <c r="H1306" s="21" t="str">
        <f aca="true">IF(E1306="","",ROUND((E1306-TODAY())/30.4,1))</f>
        <v/>
      </c>
      <c r="I1306" s="17" t="str">
        <f aca="false">IF(E1306="","",IF(H1306&lt;0,IF(LEFT(A1306,1)="Q","Périmé (en quarantaine)","PÉRIMÉ → déplacer en zone Q"),IF(H1306&lt;3,"Péremption &lt; 3 mois",IF(H1306&lt;6,"Péremption &lt; 6 mois",""))))</f>
        <v/>
      </c>
      <c r="J1306" s="17" t="str">
        <f aca="false">IF(A1306="","",IF(COUNTIF(Emplacements!$A$2:$A$1001,A1306)=0,"⚠ emplacement inconnu","OK"))</f>
        <v/>
      </c>
      <c r="K1306" s="22" t="str">
        <f aca="false">IF(AND(B1306&lt;&gt;"",ISNUMBER(SEARCH(Recherche!$C$3,C1306&amp;" "&amp;B1306&amp;" "&amp;A1306&amp;" "&amp;D1306))),MAX($K$1:K1305)+1,"")</f>
        <v/>
      </c>
    </row>
    <row r="1307" customFormat="false" ht="15" hidden="false" customHeight="false" outlineLevel="0" collapsed="false">
      <c r="A1307" s="12"/>
      <c r="B1307" s="12"/>
      <c r="C1307" s="17" t="str">
        <f aca="false">IF(B1307="","",IFERROR(INDEX(Produits!$F$2:$F$1001,MATCH(B1307,Produits!$A$2:$A$1001,0)),"⚠ code article inconnu"))</f>
        <v/>
      </c>
      <c r="D1307" s="12"/>
      <c r="E1307" s="23"/>
      <c r="F1307" s="24"/>
      <c r="G1307" s="23"/>
      <c r="H1307" s="21" t="str">
        <f aca="true">IF(E1307="","",ROUND((E1307-TODAY())/30.4,1))</f>
        <v/>
      </c>
      <c r="I1307" s="17" t="str">
        <f aca="false">IF(E1307="","",IF(H1307&lt;0,IF(LEFT(A1307,1)="Q","Périmé (en quarantaine)","PÉRIMÉ → déplacer en zone Q"),IF(H1307&lt;3,"Péremption &lt; 3 mois",IF(H1307&lt;6,"Péremption &lt; 6 mois",""))))</f>
        <v/>
      </c>
      <c r="J1307" s="17" t="str">
        <f aca="false">IF(A1307="","",IF(COUNTIF(Emplacements!$A$2:$A$1001,A1307)=0,"⚠ emplacement inconnu","OK"))</f>
        <v/>
      </c>
      <c r="K1307" s="22" t="str">
        <f aca="false">IF(AND(B1307&lt;&gt;"",ISNUMBER(SEARCH(Recherche!$C$3,C1307&amp;" "&amp;B1307&amp;" "&amp;A1307&amp;" "&amp;D1307))),MAX($K$1:K1306)+1,"")</f>
        <v/>
      </c>
    </row>
    <row r="1308" customFormat="false" ht="15" hidden="false" customHeight="false" outlineLevel="0" collapsed="false">
      <c r="A1308" s="12"/>
      <c r="B1308" s="12"/>
      <c r="C1308" s="17" t="str">
        <f aca="false">IF(B1308="","",IFERROR(INDEX(Produits!$F$2:$F$1001,MATCH(B1308,Produits!$A$2:$A$1001,0)),"⚠ code article inconnu"))</f>
        <v/>
      </c>
      <c r="D1308" s="12"/>
      <c r="E1308" s="23"/>
      <c r="F1308" s="24"/>
      <c r="G1308" s="23"/>
      <c r="H1308" s="21" t="str">
        <f aca="true">IF(E1308="","",ROUND((E1308-TODAY())/30.4,1))</f>
        <v/>
      </c>
      <c r="I1308" s="17" t="str">
        <f aca="false">IF(E1308="","",IF(H1308&lt;0,IF(LEFT(A1308,1)="Q","Périmé (en quarantaine)","PÉRIMÉ → déplacer en zone Q"),IF(H1308&lt;3,"Péremption &lt; 3 mois",IF(H1308&lt;6,"Péremption &lt; 6 mois",""))))</f>
        <v/>
      </c>
      <c r="J1308" s="17" t="str">
        <f aca="false">IF(A1308="","",IF(COUNTIF(Emplacements!$A$2:$A$1001,A1308)=0,"⚠ emplacement inconnu","OK"))</f>
        <v/>
      </c>
      <c r="K1308" s="22" t="str">
        <f aca="false">IF(AND(B1308&lt;&gt;"",ISNUMBER(SEARCH(Recherche!$C$3,C1308&amp;" "&amp;B1308&amp;" "&amp;A1308&amp;" "&amp;D1308))),MAX($K$1:K1307)+1,"")</f>
        <v/>
      </c>
    </row>
    <row r="1309" customFormat="false" ht="15" hidden="false" customHeight="false" outlineLevel="0" collapsed="false">
      <c r="A1309" s="12"/>
      <c r="B1309" s="12"/>
      <c r="C1309" s="17" t="str">
        <f aca="false">IF(B1309="","",IFERROR(INDEX(Produits!$F$2:$F$1001,MATCH(B1309,Produits!$A$2:$A$1001,0)),"⚠ code article inconnu"))</f>
        <v/>
      </c>
      <c r="D1309" s="12"/>
      <c r="E1309" s="23"/>
      <c r="F1309" s="24"/>
      <c r="G1309" s="23"/>
      <c r="H1309" s="21" t="str">
        <f aca="true">IF(E1309="","",ROUND((E1309-TODAY())/30.4,1))</f>
        <v/>
      </c>
      <c r="I1309" s="17" t="str">
        <f aca="false">IF(E1309="","",IF(H1309&lt;0,IF(LEFT(A1309,1)="Q","Périmé (en quarantaine)","PÉRIMÉ → déplacer en zone Q"),IF(H1309&lt;3,"Péremption &lt; 3 mois",IF(H1309&lt;6,"Péremption &lt; 6 mois",""))))</f>
        <v/>
      </c>
      <c r="J1309" s="17" t="str">
        <f aca="false">IF(A1309="","",IF(COUNTIF(Emplacements!$A$2:$A$1001,A1309)=0,"⚠ emplacement inconnu","OK"))</f>
        <v/>
      </c>
      <c r="K1309" s="22" t="str">
        <f aca="false">IF(AND(B1309&lt;&gt;"",ISNUMBER(SEARCH(Recherche!$C$3,C1309&amp;" "&amp;B1309&amp;" "&amp;A1309&amp;" "&amp;D1309))),MAX($K$1:K1308)+1,"")</f>
        <v/>
      </c>
    </row>
    <row r="1310" customFormat="false" ht="15" hidden="false" customHeight="false" outlineLevel="0" collapsed="false">
      <c r="A1310" s="12"/>
      <c r="B1310" s="12"/>
      <c r="C1310" s="17" t="str">
        <f aca="false">IF(B1310="","",IFERROR(INDEX(Produits!$F$2:$F$1001,MATCH(B1310,Produits!$A$2:$A$1001,0)),"⚠ code article inconnu"))</f>
        <v/>
      </c>
      <c r="D1310" s="12"/>
      <c r="E1310" s="23"/>
      <c r="F1310" s="24"/>
      <c r="G1310" s="23"/>
      <c r="H1310" s="21" t="str">
        <f aca="true">IF(E1310="","",ROUND((E1310-TODAY())/30.4,1))</f>
        <v/>
      </c>
      <c r="I1310" s="17" t="str">
        <f aca="false">IF(E1310="","",IF(H1310&lt;0,IF(LEFT(A1310,1)="Q","Périmé (en quarantaine)","PÉRIMÉ → déplacer en zone Q"),IF(H1310&lt;3,"Péremption &lt; 3 mois",IF(H1310&lt;6,"Péremption &lt; 6 mois",""))))</f>
        <v/>
      </c>
      <c r="J1310" s="17" t="str">
        <f aca="false">IF(A1310="","",IF(COUNTIF(Emplacements!$A$2:$A$1001,A1310)=0,"⚠ emplacement inconnu","OK"))</f>
        <v/>
      </c>
      <c r="K1310" s="22" t="str">
        <f aca="false">IF(AND(B1310&lt;&gt;"",ISNUMBER(SEARCH(Recherche!$C$3,C1310&amp;" "&amp;B1310&amp;" "&amp;A1310&amp;" "&amp;D1310))),MAX($K$1:K1309)+1,"")</f>
        <v/>
      </c>
    </row>
    <row r="1311" customFormat="false" ht="15" hidden="false" customHeight="false" outlineLevel="0" collapsed="false">
      <c r="A1311" s="12"/>
      <c r="B1311" s="12"/>
      <c r="C1311" s="17" t="str">
        <f aca="false">IF(B1311="","",IFERROR(INDEX(Produits!$F$2:$F$1001,MATCH(B1311,Produits!$A$2:$A$1001,0)),"⚠ code article inconnu"))</f>
        <v/>
      </c>
      <c r="D1311" s="12"/>
      <c r="E1311" s="23"/>
      <c r="F1311" s="24"/>
      <c r="G1311" s="23"/>
      <c r="H1311" s="21" t="str">
        <f aca="true">IF(E1311="","",ROUND((E1311-TODAY())/30.4,1))</f>
        <v/>
      </c>
      <c r="I1311" s="17" t="str">
        <f aca="false">IF(E1311="","",IF(H1311&lt;0,IF(LEFT(A1311,1)="Q","Périmé (en quarantaine)","PÉRIMÉ → déplacer en zone Q"),IF(H1311&lt;3,"Péremption &lt; 3 mois",IF(H1311&lt;6,"Péremption &lt; 6 mois",""))))</f>
        <v/>
      </c>
      <c r="J1311" s="17" t="str">
        <f aca="false">IF(A1311="","",IF(COUNTIF(Emplacements!$A$2:$A$1001,A1311)=0,"⚠ emplacement inconnu","OK"))</f>
        <v/>
      </c>
      <c r="K1311" s="22" t="str">
        <f aca="false">IF(AND(B1311&lt;&gt;"",ISNUMBER(SEARCH(Recherche!$C$3,C1311&amp;" "&amp;B1311&amp;" "&amp;A1311&amp;" "&amp;D1311))),MAX($K$1:K1310)+1,"")</f>
        <v/>
      </c>
    </row>
    <row r="1312" customFormat="false" ht="15" hidden="false" customHeight="false" outlineLevel="0" collapsed="false">
      <c r="A1312" s="12"/>
      <c r="B1312" s="12"/>
      <c r="C1312" s="17" t="str">
        <f aca="false">IF(B1312="","",IFERROR(INDEX(Produits!$F$2:$F$1001,MATCH(B1312,Produits!$A$2:$A$1001,0)),"⚠ code article inconnu"))</f>
        <v/>
      </c>
      <c r="D1312" s="12"/>
      <c r="E1312" s="23"/>
      <c r="F1312" s="24"/>
      <c r="G1312" s="23"/>
      <c r="H1312" s="21" t="str">
        <f aca="true">IF(E1312="","",ROUND((E1312-TODAY())/30.4,1))</f>
        <v/>
      </c>
      <c r="I1312" s="17" t="str">
        <f aca="false">IF(E1312="","",IF(H1312&lt;0,IF(LEFT(A1312,1)="Q","Périmé (en quarantaine)","PÉRIMÉ → déplacer en zone Q"),IF(H1312&lt;3,"Péremption &lt; 3 mois",IF(H1312&lt;6,"Péremption &lt; 6 mois",""))))</f>
        <v/>
      </c>
      <c r="J1312" s="17" t="str">
        <f aca="false">IF(A1312="","",IF(COUNTIF(Emplacements!$A$2:$A$1001,A1312)=0,"⚠ emplacement inconnu","OK"))</f>
        <v/>
      </c>
      <c r="K1312" s="22" t="str">
        <f aca="false">IF(AND(B1312&lt;&gt;"",ISNUMBER(SEARCH(Recherche!$C$3,C1312&amp;" "&amp;B1312&amp;" "&amp;A1312&amp;" "&amp;D1312))),MAX($K$1:K1311)+1,"")</f>
        <v/>
      </c>
    </row>
    <row r="1313" customFormat="false" ht="15" hidden="false" customHeight="false" outlineLevel="0" collapsed="false">
      <c r="A1313" s="12"/>
      <c r="B1313" s="12"/>
      <c r="C1313" s="17" t="str">
        <f aca="false">IF(B1313="","",IFERROR(INDEX(Produits!$F$2:$F$1001,MATCH(B1313,Produits!$A$2:$A$1001,0)),"⚠ code article inconnu"))</f>
        <v/>
      </c>
      <c r="D1313" s="12"/>
      <c r="E1313" s="23"/>
      <c r="F1313" s="24"/>
      <c r="G1313" s="23"/>
      <c r="H1313" s="21" t="str">
        <f aca="true">IF(E1313="","",ROUND((E1313-TODAY())/30.4,1))</f>
        <v/>
      </c>
      <c r="I1313" s="17" t="str">
        <f aca="false">IF(E1313="","",IF(H1313&lt;0,IF(LEFT(A1313,1)="Q","Périmé (en quarantaine)","PÉRIMÉ → déplacer en zone Q"),IF(H1313&lt;3,"Péremption &lt; 3 mois",IF(H1313&lt;6,"Péremption &lt; 6 mois",""))))</f>
        <v/>
      </c>
      <c r="J1313" s="17" t="str">
        <f aca="false">IF(A1313="","",IF(COUNTIF(Emplacements!$A$2:$A$1001,A1313)=0,"⚠ emplacement inconnu","OK"))</f>
        <v/>
      </c>
      <c r="K1313" s="22" t="str">
        <f aca="false">IF(AND(B1313&lt;&gt;"",ISNUMBER(SEARCH(Recherche!$C$3,C1313&amp;" "&amp;B1313&amp;" "&amp;A1313&amp;" "&amp;D1313))),MAX($K$1:K1312)+1,"")</f>
        <v/>
      </c>
    </row>
    <row r="1314" customFormat="false" ht="15" hidden="false" customHeight="false" outlineLevel="0" collapsed="false">
      <c r="A1314" s="12"/>
      <c r="B1314" s="12"/>
      <c r="C1314" s="17" t="str">
        <f aca="false">IF(B1314="","",IFERROR(INDEX(Produits!$F$2:$F$1001,MATCH(B1314,Produits!$A$2:$A$1001,0)),"⚠ code article inconnu"))</f>
        <v/>
      </c>
      <c r="D1314" s="12"/>
      <c r="E1314" s="23"/>
      <c r="F1314" s="24"/>
      <c r="G1314" s="23"/>
      <c r="H1314" s="21" t="str">
        <f aca="true">IF(E1314="","",ROUND((E1314-TODAY())/30.4,1))</f>
        <v/>
      </c>
      <c r="I1314" s="17" t="str">
        <f aca="false">IF(E1314="","",IF(H1314&lt;0,IF(LEFT(A1314,1)="Q","Périmé (en quarantaine)","PÉRIMÉ → déplacer en zone Q"),IF(H1314&lt;3,"Péremption &lt; 3 mois",IF(H1314&lt;6,"Péremption &lt; 6 mois",""))))</f>
        <v/>
      </c>
      <c r="J1314" s="17" t="str">
        <f aca="false">IF(A1314="","",IF(COUNTIF(Emplacements!$A$2:$A$1001,A1314)=0,"⚠ emplacement inconnu","OK"))</f>
        <v/>
      </c>
      <c r="K1314" s="22" t="str">
        <f aca="false">IF(AND(B1314&lt;&gt;"",ISNUMBER(SEARCH(Recherche!$C$3,C1314&amp;" "&amp;B1314&amp;" "&amp;A1314&amp;" "&amp;D1314))),MAX($K$1:K1313)+1,"")</f>
        <v/>
      </c>
    </row>
    <row r="1315" customFormat="false" ht="15" hidden="false" customHeight="false" outlineLevel="0" collapsed="false">
      <c r="A1315" s="12"/>
      <c r="B1315" s="12"/>
      <c r="C1315" s="17" t="str">
        <f aca="false">IF(B1315="","",IFERROR(INDEX(Produits!$F$2:$F$1001,MATCH(B1315,Produits!$A$2:$A$1001,0)),"⚠ code article inconnu"))</f>
        <v/>
      </c>
      <c r="D1315" s="12"/>
      <c r="E1315" s="23"/>
      <c r="F1315" s="24"/>
      <c r="G1315" s="23"/>
      <c r="H1315" s="21" t="str">
        <f aca="true">IF(E1315="","",ROUND((E1315-TODAY())/30.4,1))</f>
        <v/>
      </c>
      <c r="I1315" s="17" t="str">
        <f aca="false">IF(E1315="","",IF(H1315&lt;0,IF(LEFT(A1315,1)="Q","Périmé (en quarantaine)","PÉRIMÉ → déplacer en zone Q"),IF(H1315&lt;3,"Péremption &lt; 3 mois",IF(H1315&lt;6,"Péremption &lt; 6 mois",""))))</f>
        <v/>
      </c>
      <c r="J1315" s="17" t="str">
        <f aca="false">IF(A1315="","",IF(COUNTIF(Emplacements!$A$2:$A$1001,A1315)=0,"⚠ emplacement inconnu","OK"))</f>
        <v/>
      </c>
      <c r="K1315" s="22" t="str">
        <f aca="false">IF(AND(B1315&lt;&gt;"",ISNUMBER(SEARCH(Recherche!$C$3,C1315&amp;" "&amp;B1315&amp;" "&amp;A1315&amp;" "&amp;D1315))),MAX($K$1:K1314)+1,"")</f>
        <v/>
      </c>
    </row>
    <row r="1316" customFormat="false" ht="15" hidden="false" customHeight="false" outlineLevel="0" collapsed="false">
      <c r="A1316" s="12"/>
      <c r="B1316" s="12"/>
      <c r="C1316" s="17" t="str">
        <f aca="false">IF(B1316="","",IFERROR(INDEX(Produits!$F$2:$F$1001,MATCH(B1316,Produits!$A$2:$A$1001,0)),"⚠ code article inconnu"))</f>
        <v/>
      </c>
      <c r="D1316" s="12"/>
      <c r="E1316" s="23"/>
      <c r="F1316" s="24"/>
      <c r="G1316" s="23"/>
      <c r="H1316" s="21" t="str">
        <f aca="true">IF(E1316="","",ROUND((E1316-TODAY())/30.4,1))</f>
        <v/>
      </c>
      <c r="I1316" s="17" t="str">
        <f aca="false">IF(E1316="","",IF(H1316&lt;0,IF(LEFT(A1316,1)="Q","Périmé (en quarantaine)","PÉRIMÉ → déplacer en zone Q"),IF(H1316&lt;3,"Péremption &lt; 3 mois",IF(H1316&lt;6,"Péremption &lt; 6 mois",""))))</f>
        <v/>
      </c>
      <c r="J1316" s="17" t="str">
        <f aca="false">IF(A1316="","",IF(COUNTIF(Emplacements!$A$2:$A$1001,A1316)=0,"⚠ emplacement inconnu","OK"))</f>
        <v/>
      </c>
      <c r="K1316" s="22" t="str">
        <f aca="false">IF(AND(B1316&lt;&gt;"",ISNUMBER(SEARCH(Recherche!$C$3,C1316&amp;" "&amp;B1316&amp;" "&amp;A1316&amp;" "&amp;D1316))),MAX($K$1:K1315)+1,"")</f>
        <v/>
      </c>
    </row>
    <row r="1317" customFormat="false" ht="15" hidden="false" customHeight="false" outlineLevel="0" collapsed="false">
      <c r="A1317" s="12"/>
      <c r="B1317" s="12"/>
      <c r="C1317" s="17" t="str">
        <f aca="false">IF(B1317="","",IFERROR(INDEX(Produits!$F$2:$F$1001,MATCH(B1317,Produits!$A$2:$A$1001,0)),"⚠ code article inconnu"))</f>
        <v/>
      </c>
      <c r="D1317" s="12"/>
      <c r="E1317" s="23"/>
      <c r="F1317" s="24"/>
      <c r="G1317" s="23"/>
      <c r="H1317" s="21" t="str">
        <f aca="true">IF(E1317="","",ROUND((E1317-TODAY())/30.4,1))</f>
        <v/>
      </c>
      <c r="I1317" s="17" t="str">
        <f aca="false">IF(E1317="","",IF(H1317&lt;0,IF(LEFT(A1317,1)="Q","Périmé (en quarantaine)","PÉRIMÉ → déplacer en zone Q"),IF(H1317&lt;3,"Péremption &lt; 3 mois",IF(H1317&lt;6,"Péremption &lt; 6 mois",""))))</f>
        <v/>
      </c>
      <c r="J1317" s="17" t="str">
        <f aca="false">IF(A1317="","",IF(COUNTIF(Emplacements!$A$2:$A$1001,A1317)=0,"⚠ emplacement inconnu","OK"))</f>
        <v/>
      </c>
      <c r="K1317" s="22" t="str">
        <f aca="false">IF(AND(B1317&lt;&gt;"",ISNUMBER(SEARCH(Recherche!$C$3,C1317&amp;" "&amp;B1317&amp;" "&amp;A1317&amp;" "&amp;D1317))),MAX($K$1:K1316)+1,"")</f>
        <v/>
      </c>
    </row>
    <row r="1318" customFormat="false" ht="15" hidden="false" customHeight="false" outlineLevel="0" collapsed="false">
      <c r="A1318" s="12"/>
      <c r="B1318" s="12"/>
      <c r="C1318" s="17" t="str">
        <f aca="false">IF(B1318="","",IFERROR(INDEX(Produits!$F$2:$F$1001,MATCH(B1318,Produits!$A$2:$A$1001,0)),"⚠ code article inconnu"))</f>
        <v/>
      </c>
      <c r="D1318" s="12"/>
      <c r="E1318" s="23"/>
      <c r="F1318" s="24"/>
      <c r="G1318" s="23"/>
      <c r="H1318" s="21" t="str">
        <f aca="true">IF(E1318="","",ROUND((E1318-TODAY())/30.4,1))</f>
        <v/>
      </c>
      <c r="I1318" s="17" t="str">
        <f aca="false">IF(E1318="","",IF(H1318&lt;0,IF(LEFT(A1318,1)="Q","Périmé (en quarantaine)","PÉRIMÉ → déplacer en zone Q"),IF(H1318&lt;3,"Péremption &lt; 3 mois",IF(H1318&lt;6,"Péremption &lt; 6 mois",""))))</f>
        <v/>
      </c>
      <c r="J1318" s="17" t="str">
        <f aca="false">IF(A1318="","",IF(COUNTIF(Emplacements!$A$2:$A$1001,A1318)=0,"⚠ emplacement inconnu","OK"))</f>
        <v/>
      </c>
      <c r="K1318" s="22" t="str">
        <f aca="false">IF(AND(B1318&lt;&gt;"",ISNUMBER(SEARCH(Recherche!$C$3,C1318&amp;" "&amp;B1318&amp;" "&amp;A1318&amp;" "&amp;D1318))),MAX($K$1:K1317)+1,"")</f>
        <v/>
      </c>
    </row>
    <row r="1319" customFormat="false" ht="15" hidden="false" customHeight="false" outlineLevel="0" collapsed="false">
      <c r="A1319" s="12"/>
      <c r="B1319" s="12"/>
      <c r="C1319" s="17" t="str">
        <f aca="false">IF(B1319="","",IFERROR(INDEX(Produits!$F$2:$F$1001,MATCH(B1319,Produits!$A$2:$A$1001,0)),"⚠ code article inconnu"))</f>
        <v/>
      </c>
      <c r="D1319" s="12"/>
      <c r="E1319" s="23"/>
      <c r="F1319" s="24"/>
      <c r="G1319" s="23"/>
      <c r="H1319" s="21" t="str">
        <f aca="true">IF(E1319="","",ROUND((E1319-TODAY())/30.4,1))</f>
        <v/>
      </c>
      <c r="I1319" s="17" t="str">
        <f aca="false">IF(E1319="","",IF(H1319&lt;0,IF(LEFT(A1319,1)="Q","Périmé (en quarantaine)","PÉRIMÉ → déplacer en zone Q"),IF(H1319&lt;3,"Péremption &lt; 3 mois",IF(H1319&lt;6,"Péremption &lt; 6 mois",""))))</f>
        <v/>
      </c>
      <c r="J1319" s="17" t="str">
        <f aca="false">IF(A1319="","",IF(COUNTIF(Emplacements!$A$2:$A$1001,A1319)=0,"⚠ emplacement inconnu","OK"))</f>
        <v/>
      </c>
      <c r="K1319" s="22" t="str">
        <f aca="false">IF(AND(B1319&lt;&gt;"",ISNUMBER(SEARCH(Recherche!$C$3,C1319&amp;" "&amp;B1319&amp;" "&amp;A1319&amp;" "&amp;D1319))),MAX($K$1:K1318)+1,"")</f>
        <v/>
      </c>
    </row>
    <row r="1320" customFormat="false" ht="15" hidden="false" customHeight="false" outlineLevel="0" collapsed="false">
      <c r="A1320" s="12"/>
      <c r="B1320" s="12"/>
      <c r="C1320" s="17" t="str">
        <f aca="false">IF(B1320="","",IFERROR(INDEX(Produits!$F$2:$F$1001,MATCH(B1320,Produits!$A$2:$A$1001,0)),"⚠ code article inconnu"))</f>
        <v/>
      </c>
      <c r="D1320" s="12"/>
      <c r="E1320" s="23"/>
      <c r="F1320" s="24"/>
      <c r="G1320" s="23"/>
      <c r="H1320" s="21" t="str">
        <f aca="true">IF(E1320="","",ROUND((E1320-TODAY())/30.4,1))</f>
        <v/>
      </c>
      <c r="I1320" s="17" t="str">
        <f aca="false">IF(E1320="","",IF(H1320&lt;0,IF(LEFT(A1320,1)="Q","Périmé (en quarantaine)","PÉRIMÉ → déplacer en zone Q"),IF(H1320&lt;3,"Péremption &lt; 3 mois",IF(H1320&lt;6,"Péremption &lt; 6 mois",""))))</f>
        <v/>
      </c>
      <c r="J1320" s="17" t="str">
        <f aca="false">IF(A1320="","",IF(COUNTIF(Emplacements!$A$2:$A$1001,A1320)=0,"⚠ emplacement inconnu","OK"))</f>
        <v/>
      </c>
      <c r="K1320" s="22" t="str">
        <f aca="false">IF(AND(B1320&lt;&gt;"",ISNUMBER(SEARCH(Recherche!$C$3,C1320&amp;" "&amp;B1320&amp;" "&amp;A1320&amp;" "&amp;D1320))),MAX($K$1:K1319)+1,"")</f>
        <v/>
      </c>
    </row>
    <row r="1321" customFormat="false" ht="15" hidden="false" customHeight="false" outlineLevel="0" collapsed="false">
      <c r="A1321" s="12"/>
      <c r="B1321" s="12"/>
      <c r="C1321" s="17" t="str">
        <f aca="false">IF(B1321="","",IFERROR(INDEX(Produits!$F$2:$F$1001,MATCH(B1321,Produits!$A$2:$A$1001,0)),"⚠ code article inconnu"))</f>
        <v/>
      </c>
      <c r="D1321" s="12"/>
      <c r="E1321" s="23"/>
      <c r="F1321" s="24"/>
      <c r="G1321" s="23"/>
      <c r="H1321" s="21" t="str">
        <f aca="true">IF(E1321="","",ROUND((E1321-TODAY())/30.4,1))</f>
        <v/>
      </c>
      <c r="I1321" s="17" t="str">
        <f aca="false">IF(E1321="","",IF(H1321&lt;0,IF(LEFT(A1321,1)="Q","Périmé (en quarantaine)","PÉRIMÉ → déplacer en zone Q"),IF(H1321&lt;3,"Péremption &lt; 3 mois",IF(H1321&lt;6,"Péremption &lt; 6 mois",""))))</f>
        <v/>
      </c>
      <c r="J1321" s="17" t="str">
        <f aca="false">IF(A1321="","",IF(COUNTIF(Emplacements!$A$2:$A$1001,A1321)=0,"⚠ emplacement inconnu","OK"))</f>
        <v/>
      </c>
      <c r="K1321" s="22" t="str">
        <f aca="false">IF(AND(B1321&lt;&gt;"",ISNUMBER(SEARCH(Recherche!$C$3,C1321&amp;" "&amp;B1321&amp;" "&amp;A1321&amp;" "&amp;D1321))),MAX($K$1:K1320)+1,"")</f>
        <v/>
      </c>
    </row>
    <row r="1322" customFormat="false" ht="15" hidden="false" customHeight="false" outlineLevel="0" collapsed="false">
      <c r="A1322" s="12"/>
      <c r="B1322" s="12"/>
      <c r="C1322" s="17" t="str">
        <f aca="false">IF(B1322="","",IFERROR(INDEX(Produits!$F$2:$F$1001,MATCH(B1322,Produits!$A$2:$A$1001,0)),"⚠ code article inconnu"))</f>
        <v/>
      </c>
      <c r="D1322" s="12"/>
      <c r="E1322" s="23"/>
      <c r="F1322" s="24"/>
      <c r="G1322" s="23"/>
      <c r="H1322" s="21" t="str">
        <f aca="true">IF(E1322="","",ROUND((E1322-TODAY())/30.4,1))</f>
        <v/>
      </c>
      <c r="I1322" s="17" t="str">
        <f aca="false">IF(E1322="","",IF(H1322&lt;0,IF(LEFT(A1322,1)="Q","Périmé (en quarantaine)","PÉRIMÉ → déplacer en zone Q"),IF(H1322&lt;3,"Péremption &lt; 3 mois",IF(H1322&lt;6,"Péremption &lt; 6 mois",""))))</f>
        <v/>
      </c>
      <c r="J1322" s="17" t="str">
        <f aca="false">IF(A1322="","",IF(COUNTIF(Emplacements!$A$2:$A$1001,A1322)=0,"⚠ emplacement inconnu","OK"))</f>
        <v/>
      </c>
      <c r="K1322" s="22" t="str">
        <f aca="false">IF(AND(B1322&lt;&gt;"",ISNUMBER(SEARCH(Recherche!$C$3,C1322&amp;" "&amp;B1322&amp;" "&amp;A1322&amp;" "&amp;D1322))),MAX($K$1:K1321)+1,"")</f>
        <v/>
      </c>
    </row>
    <row r="1323" customFormat="false" ht="15" hidden="false" customHeight="false" outlineLevel="0" collapsed="false">
      <c r="A1323" s="12"/>
      <c r="B1323" s="12"/>
      <c r="C1323" s="17" t="str">
        <f aca="false">IF(B1323="","",IFERROR(INDEX(Produits!$F$2:$F$1001,MATCH(B1323,Produits!$A$2:$A$1001,0)),"⚠ code article inconnu"))</f>
        <v/>
      </c>
      <c r="D1323" s="12"/>
      <c r="E1323" s="23"/>
      <c r="F1323" s="24"/>
      <c r="G1323" s="23"/>
      <c r="H1323" s="21" t="str">
        <f aca="true">IF(E1323="","",ROUND((E1323-TODAY())/30.4,1))</f>
        <v/>
      </c>
      <c r="I1323" s="17" t="str">
        <f aca="false">IF(E1323="","",IF(H1323&lt;0,IF(LEFT(A1323,1)="Q","Périmé (en quarantaine)","PÉRIMÉ → déplacer en zone Q"),IF(H1323&lt;3,"Péremption &lt; 3 mois",IF(H1323&lt;6,"Péremption &lt; 6 mois",""))))</f>
        <v/>
      </c>
      <c r="J1323" s="17" t="str">
        <f aca="false">IF(A1323="","",IF(COUNTIF(Emplacements!$A$2:$A$1001,A1323)=0,"⚠ emplacement inconnu","OK"))</f>
        <v/>
      </c>
      <c r="K1323" s="22" t="str">
        <f aca="false">IF(AND(B1323&lt;&gt;"",ISNUMBER(SEARCH(Recherche!$C$3,C1323&amp;" "&amp;B1323&amp;" "&amp;A1323&amp;" "&amp;D1323))),MAX($K$1:K1322)+1,"")</f>
        <v/>
      </c>
    </row>
    <row r="1324" customFormat="false" ht="15" hidden="false" customHeight="false" outlineLevel="0" collapsed="false">
      <c r="A1324" s="12"/>
      <c r="B1324" s="12"/>
      <c r="C1324" s="17" t="str">
        <f aca="false">IF(B1324="","",IFERROR(INDEX(Produits!$F$2:$F$1001,MATCH(B1324,Produits!$A$2:$A$1001,0)),"⚠ code article inconnu"))</f>
        <v/>
      </c>
      <c r="D1324" s="12"/>
      <c r="E1324" s="23"/>
      <c r="F1324" s="24"/>
      <c r="G1324" s="23"/>
      <c r="H1324" s="21" t="str">
        <f aca="true">IF(E1324="","",ROUND((E1324-TODAY())/30.4,1))</f>
        <v/>
      </c>
      <c r="I1324" s="17" t="str">
        <f aca="false">IF(E1324="","",IF(H1324&lt;0,IF(LEFT(A1324,1)="Q","Périmé (en quarantaine)","PÉRIMÉ → déplacer en zone Q"),IF(H1324&lt;3,"Péremption &lt; 3 mois",IF(H1324&lt;6,"Péremption &lt; 6 mois",""))))</f>
        <v/>
      </c>
      <c r="J1324" s="17" t="str">
        <f aca="false">IF(A1324="","",IF(COUNTIF(Emplacements!$A$2:$A$1001,A1324)=0,"⚠ emplacement inconnu","OK"))</f>
        <v/>
      </c>
      <c r="K1324" s="22" t="str">
        <f aca="false">IF(AND(B1324&lt;&gt;"",ISNUMBER(SEARCH(Recherche!$C$3,C1324&amp;" "&amp;B1324&amp;" "&amp;A1324&amp;" "&amp;D1324))),MAX($K$1:K1323)+1,"")</f>
        <v/>
      </c>
    </row>
    <row r="1325" customFormat="false" ht="15" hidden="false" customHeight="false" outlineLevel="0" collapsed="false">
      <c r="A1325" s="12"/>
      <c r="B1325" s="12"/>
      <c r="C1325" s="17" t="str">
        <f aca="false">IF(B1325="","",IFERROR(INDEX(Produits!$F$2:$F$1001,MATCH(B1325,Produits!$A$2:$A$1001,0)),"⚠ code article inconnu"))</f>
        <v/>
      </c>
      <c r="D1325" s="12"/>
      <c r="E1325" s="23"/>
      <c r="F1325" s="24"/>
      <c r="G1325" s="23"/>
      <c r="H1325" s="21" t="str">
        <f aca="true">IF(E1325="","",ROUND((E1325-TODAY())/30.4,1))</f>
        <v/>
      </c>
      <c r="I1325" s="17" t="str">
        <f aca="false">IF(E1325="","",IF(H1325&lt;0,IF(LEFT(A1325,1)="Q","Périmé (en quarantaine)","PÉRIMÉ → déplacer en zone Q"),IF(H1325&lt;3,"Péremption &lt; 3 mois",IF(H1325&lt;6,"Péremption &lt; 6 mois",""))))</f>
        <v/>
      </c>
      <c r="J1325" s="17" t="str">
        <f aca="false">IF(A1325="","",IF(COUNTIF(Emplacements!$A$2:$A$1001,A1325)=0,"⚠ emplacement inconnu","OK"))</f>
        <v/>
      </c>
      <c r="K1325" s="22" t="str">
        <f aca="false">IF(AND(B1325&lt;&gt;"",ISNUMBER(SEARCH(Recherche!$C$3,C1325&amp;" "&amp;B1325&amp;" "&amp;A1325&amp;" "&amp;D1325))),MAX($K$1:K1324)+1,"")</f>
        <v/>
      </c>
    </row>
    <row r="1326" customFormat="false" ht="15" hidden="false" customHeight="false" outlineLevel="0" collapsed="false">
      <c r="A1326" s="12"/>
      <c r="B1326" s="12"/>
      <c r="C1326" s="17" t="str">
        <f aca="false">IF(B1326="","",IFERROR(INDEX(Produits!$F$2:$F$1001,MATCH(B1326,Produits!$A$2:$A$1001,0)),"⚠ code article inconnu"))</f>
        <v/>
      </c>
      <c r="D1326" s="12"/>
      <c r="E1326" s="23"/>
      <c r="F1326" s="24"/>
      <c r="G1326" s="23"/>
      <c r="H1326" s="21" t="str">
        <f aca="true">IF(E1326="","",ROUND((E1326-TODAY())/30.4,1))</f>
        <v/>
      </c>
      <c r="I1326" s="17" t="str">
        <f aca="false">IF(E1326="","",IF(H1326&lt;0,IF(LEFT(A1326,1)="Q","Périmé (en quarantaine)","PÉRIMÉ → déplacer en zone Q"),IF(H1326&lt;3,"Péremption &lt; 3 mois",IF(H1326&lt;6,"Péremption &lt; 6 mois",""))))</f>
        <v/>
      </c>
      <c r="J1326" s="17" t="str">
        <f aca="false">IF(A1326="","",IF(COUNTIF(Emplacements!$A$2:$A$1001,A1326)=0,"⚠ emplacement inconnu","OK"))</f>
        <v/>
      </c>
      <c r="K1326" s="22" t="str">
        <f aca="false">IF(AND(B1326&lt;&gt;"",ISNUMBER(SEARCH(Recherche!$C$3,C1326&amp;" "&amp;B1326&amp;" "&amp;A1326&amp;" "&amp;D1326))),MAX($K$1:K1325)+1,"")</f>
        <v/>
      </c>
    </row>
    <row r="1327" customFormat="false" ht="15" hidden="false" customHeight="false" outlineLevel="0" collapsed="false">
      <c r="A1327" s="12"/>
      <c r="B1327" s="12"/>
      <c r="C1327" s="17" t="str">
        <f aca="false">IF(B1327="","",IFERROR(INDEX(Produits!$F$2:$F$1001,MATCH(B1327,Produits!$A$2:$A$1001,0)),"⚠ code article inconnu"))</f>
        <v/>
      </c>
      <c r="D1327" s="12"/>
      <c r="E1327" s="23"/>
      <c r="F1327" s="24"/>
      <c r="G1327" s="23"/>
      <c r="H1327" s="21" t="str">
        <f aca="true">IF(E1327="","",ROUND((E1327-TODAY())/30.4,1))</f>
        <v/>
      </c>
      <c r="I1327" s="17" t="str">
        <f aca="false">IF(E1327="","",IF(H1327&lt;0,IF(LEFT(A1327,1)="Q","Périmé (en quarantaine)","PÉRIMÉ → déplacer en zone Q"),IF(H1327&lt;3,"Péremption &lt; 3 mois",IF(H1327&lt;6,"Péremption &lt; 6 mois",""))))</f>
        <v/>
      </c>
      <c r="J1327" s="17" t="str">
        <f aca="false">IF(A1327="","",IF(COUNTIF(Emplacements!$A$2:$A$1001,A1327)=0,"⚠ emplacement inconnu","OK"))</f>
        <v/>
      </c>
      <c r="K1327" s="22" t="str">
        <f aca="false">IF(AND(B1327&lt;&gt;"",ISNUMBER(SEARCH(Recherche!$C$3,C1327&amp;" "&amp;B1327&amp;" "&amp;A1327&amp;" "&amp;D1327))),MAX($K$1:K1326)+1,"")</f>
        <v/>
      </c>
    </row>
    <row r="1328" customFormat="false" ht="15" hidden="false" customHeight="false" outlineLevel="0" collapsed="false">
      <c r="A1328" s="12"/>
      <c r="B1328" s="12"/>
      <c r="C1328" s="17" t="str">
        <f aca="false">IF(B1328="","",IFERROR(INDEX(Produits!$F$2:$F$1001,MATCH(B1328,Produits!$A$2:$A$1001,0)),"⚠ code article inconnu"))</f>
        <v/>
      </c>
      <c r="D1328" s="12"/>
      <c r="E1328" s="23"/>
      <c r="F1328" s="24"/>
      <c r="G1328" s="23"/>
      <c r="H1328" s="21" t="str">
        <f aca="true">IF(E1328="","",ROUND((E1328-TODAY())/30.4,1))</f>
        <v/>
      </c>
      <c r="I1328" s="17" t="str">
        <f aca="false">IF(E1328="","",IF(H1328&lt;0,IF(LEFT(A1328,1)="Q","Périmé (en quarantaine)","PÉRIMÉ → déplacer en zone Q"),IF(H1328&lt;3,"Péremption &lt; 3 mois",IF(H1328&lt;6,"Péremption &lt; 6 mois",""))))</f>
        <v/>
      </c>
      <c r="J1328" s="17" t="str">
        <f aca="false">IF(A1328="","",IF(COUNTIF(Emplacements!$A$2:$A$1001,A1328)=0,"⚠ emplacement inconnu","OK"))</f>
        <v/>
      </c>
      <c r="K1328" s="22" t="str">
        <f aca="false">IF(AND(B1328&lt;&gt;"",ISNUMBER(SEARCH(Recherche!$C$3,C1328&amp;" "&amp;B1328&amp;" "&amp;A1328&amp;" "&amp;D1328))),MAX($K$1:K1327)+1,"")</f>
        <v/>
      </c>
    </row>
    <row r="1329" customFormat="false" ht="15" hidden="false" customHeight="false" outlineLevel="0" collapsed="false">
      <c r="A1329" s="12"/>
      <c r="B1329" s="12"/>
      <c r="C1329" s="17" t="str">
        <f aca="false">IF(B1329="","",IFERROR(INDEX(Produits!$F$2:$F$1001,MATCH(B1329,Produits!$A$2:$A$1001,0)),"⚠ code article inconnu"))</f>
        <v/>
      </c>
      <c r="D1329" s="12"/>
      <c r="E1329" s="23"/>
      <c r="F1329" s="24"/>
      <c r="G1329" s="23"/>
      <c r="H1329" s="21" t="str">
        <f aca="true">IF(E1329="","",ROUND((E1329-TODAY())/30.4,1))</f>
        <v/>
      </c>
      <c r="I1329" s="17" t="str">
        <f aca="false">IF(E1329="","",IF(H1329&lt;0,IF(LEFT(A1329,1)="Q","Périmé (en quarantaine)","PÉRIMÉ → déplacer en zone Q"),IF(H1329&lt;3,"Péremption &lt; 3 mois",IF(H1329&lt;6,"Péremption &lt; 6 mois",""))))</f>
        <v/>
      </c>
      <c r="J1329" s="17" t="str">
        <f aca="false">IF(A1329="","",IF(COUNTIF(Emplacements!$A$2:$A$1001,A1329)=0,"⚠ emplacement inconnu","OK"))</f>
        <v/>
      </c>
      <c r="K1329" s="22" t="str">
        <f aca="false">IF(AND(B1329&lt;&gt;"",ISNUMBER(SEARCH(Recherche!$C$3,C1329&amp;" "&amp;B1329&amp;" "&amp;A1329&amp;" "&amp;D1329))),MAX($K$1:K1328)+1,"")</f>
        <v/>
      </c>
    </row>
    <row r="1330" customFormat="false" ht="15" hidden="false" customHeight="false" outlineLevel="0" collapsed="false">
      <c r="A1330" s="12"/>
      <c r="B1330" s="12"/>
      <c r="C1330" s="17" t="str">
        <f aca="false">IF(B1330="","",IFERROR(INDEX(Produits!$F$2:$F$1001,MATCH(B1330,Produits!$A$2:$A$1001,0)),"⚠ code article inconnu"))</f>
        <v/>
      </c>
      <c r="D1330" s="12"/>
      <c r="E1330" s="23"/>
      <c r="F1330" s="24"/>
      <c r="G1330" s="23"/>
      <c r="H1330" s="21" t="str">
        <f aca="true">IF(E1330="","",ROUND((E1330-TODAY())/30.4,1))</f>
        <v/>
      </c>
      <c r="I1330" s="17" t="str">
        <f aca="false">IF(E1330="","",IF(H1330&lt;0,IF(LEFT(A1330,1)="Q","Périmé (en quarantaine)","PÉRIMÉ → déplacer en zone Q"),IF(H1330&lt;3,"Péremption &lt; 3 mois",IF(H1330&lt;6,"Péremption &lt; 6 mois",""))))</f>
        <v/>
      </c>
      <c r="J1330" s="17" t="str">
        <f aca="false">IF(A1330="","",IF(COUNTIF(Emplacements!$A$2:$A$1001,A1330)=0,"⚠ emplacement inconnu","OK"))</f>
        <v/>
      </c>
      <c r="K1330" s="22" t="str">
        <f aca="false">IF(AND(B1330&lt;&gt;"",ISNUMBER(SEARCH(Recherche!$C$3,C1330&amp;" "&amp;B1330&amp;" "&amp;A1330&amp;" "&amp;D1330))),MAX($K$1:K1329)+1,"")</f>
        <v/>
      </c>
    </row>
    <row r="1331" customFormat="false" ht="15" hidden="false" customHeight="false" outlineLevel="0" collapsed="false">
      <c r="A1331" s="12"/>
      <c r="B1331" s="12"/>
      <c r="C1331" s="17" t="str">
        <f aca="false">IF(B1331="","",IFERROR(INDEX(Produits!$F$2:$F$1001,MATCH(B1331,Produits!$A$2:$A$1001,0)),"⚠ code article inconnu"))</f>
        <v/>
      </c>
      <c r="D1331" s="12"/>
      <c r="E1331" s="23"/>
      <c r="F1331" s="24"/>
      <c r="G1331" s="23"/>
      <c r="H1331" s="21" t="str">
        <f aca="true">IF(E1331="","",ROUND((E1331-TODAY())/30.4,1))</f>
        <v/>
      </c>
      <c r="I1331" s="17" t="str">
        <f aca="false">IF(E1331="","",IF(H1331&lt;0,IF(LEFT(A1331,1)="Q","Périmé (en quarantaine)","PÉRIMÉ → déplacer en zone Q"),IF(H1331&lt;3,"Péremption &lt; 3 mois",IF(H1331&lt;6,"Péremption &lt; 6 mois",""))))</f>
        <v/>
      </c>
      <c r="J1331" s="17" t="str">
        <f aca="false">IF(A1331="","",IF(COUNTIF(Emplacements!$A$2:$A$1001,A1331)=0,"⚠ emplacement inconnu","OK"))</f>
        <v/>
      </c>
      <c r="K1331" s="22" t="str">
        <f aca="false">IF(AND(B1331&lt;&gt;"",ISNUMBER(SEARCH(Recherche!$C$3,C1331&amp;" "&amp;B1331&amp;" "&amp;A1331&amp;" "&amp;D1331))),MAX($K$1:K1330)+1,"")</f>
        <v/>
      </c>
    </row>
    <row r="1332" customFormat="false" ht="15" hidden="false" customHeight="false" outlineLevel="0" collapsed="false">
      <c r="A1332" s="12"/>
      <c r="B1332" s="12"/>
      <c r="C1332" s="17" t="str">
        <f aca="false">IF(B1332="","",IFERROR(INDEX(Produits!$F$2:$F$1001,MATCH(B1332,Produits!$A$2:$A$1001,0)),"⚠ code article inconnu"))</f>
        <v/>
      </c>
      <c r="D1332" s="12"/>
      <c r="E1332" s="23"/>
      <c r="F1332" s="24"/>
      <c r="G1332" s="23"/>
      <c r="H1332" s="21" t="str">
        <f aca="true">IF(E1332="","",ROUND((E1332-TODAY())/30.4,1))</f>
        <v/>
      </c>
      <c r="I1332" s="17" t="str">
        <f aca="false">IF(E1332="","",IF(H1332&lt;0,IF(LEFT(A1332,1)="Q","Périmé (en quarantaine)","PÉRIMÉ → déplacer en zone Q"),IF(H1332&lt;3,"Péremption &lt; 3 mois",IF(H1332&lt;6,"Péremption &lt; 6 mois",""))))</f>
        <v/>
      </c>
      <c r="J1332" s="17" t="str">
        <f aca="false">IF(A1332="","",IF(COUNTIF(Emplacements!$A$2:$A$1001,A1332)=0,"⚠ emplacement inconnu","OK"))</f>
        <v/>
      </c>
      <c r="K1332" s="22" t="str">
        <f aca="false">IF(AND(B1332&lt;&gt;"",ISNUMBER(SEARCH(Recherche!$C$3,C1332&amp;" "&amp;B1332&amp;" "&amp;A1332&amp;" "&amp;D1332))),MAX($K$1:K1331)+1,"")</f>
        <v/>
      </c>
    </row>
    <row r="1333" customFormat="false" ht="15" hidden="false" customHeight="false" outlineLevel="0" collapsed="false">
      <c r="A1333" s="12"/>
      <c r="B1333" s="12"/>
      <c r="C1333" s="17" t="str">
        <f aca="false">IF(B1333="","",IFERROR(INDEX(Produits!$F$2:$F$1001,MATCH(B1333,Produits!$A$2:$A$1001,0)),"⚠ code article inconnu"))</f>
        <v/>
      </c>
      <c r="D1333" s="12"/>
      <c r="E1333" s="23"/>
      <c r="F1333" s="24"/>
      <c r="G1333" s="23"/>
      <c r="H1333" s="21" t="str">
        <f aca="true">IF(E1333="","",ROUND((E1333-TODAY())/30.4,1))</f>
        <v/>
      </c>
      <c r="I1333" s="17" t="str">
        <f aca="false">IF(E1333="","",IF(H1333&lt;0,IF(LEFT(A1333,1)="Q","Périmé (en quarantaine)","PÉRIMÉ → déplacer en zone Q"),IF(H1333&lt;3,"Péremption &lt; 3 mois",IF(H1333&lt;6,"Péremption &lt; 6 mois",""))))</f>
        <v/>
      </c>
      <c r="J1333" s="17" t="str">
        <f aca="false">IF(A1333="","",IF(COUNTIF(Emplacements!$A$2:$A$1001,A1333)=0,"⚠ emplacement inconnu","OK"))</f>
        <v/>
      </c>
      <c r="K1333" s="22" t="str">
        <f aca="false">IF(AND(B1333&lt;&gt;"",ISNUMBER(SEARCH(Recherche!$C$3,C1333&amp;" "&amp;B1333&amp;" "&amp;A1333&amp;" "&amp;D1333))),MAX($K$1:K1332)+1,"")</f>
        <v/>
      </c>
    </row>
    <row r="1334" customFormat="false" ht="15" hidden="false" customHeight="false" outlineLevel="0" collapsed="false">
      <c r="A1334" s="12"/>
      <c r="B1334" s="12"/>
      <c r="C1334" s="17" t="str">
        <f aca="false">IF(B1334="","",IFERROR(INDEX(Produits!$F$2:$F$1001,MATCH(B1334,Produits!$A$2:$A$1001,0)),"⚠ code article inconnu"))</f>
        <v/>
      </c>
      <c r="D1334" s="12"/>
      <c r="E1334" s="23"/>
      <c r="F1334" s="24"/>
      <c r="G1334" s="23"/>
      <c r="H1334" s="21" t="str">
        <f aca="true">IF(E1334="","",ROUND((E1334-TODAY())/30.4,1))</f>
        <v/>
      </c>
      <c r="I1334" s="17" t="str">
        <f aca="false">IF(E1334="","",IF(H1334&lt;0,IF(LEFT(A1334,1)="Q","Périmé (en quarantaine)","PÉRIMÉ → déplacer en zone Q"),IF(H1334&lt;3,"Péremption &lt; 3 mois",IF(H1334&lt;6,"Péremption &lt; 6 mois",""))))</f>
        <v/>
      </c>
      <c r="J1334" s="17" t="str">
        <f aca="false">IF(A1334="","",IF(COUNTIF(Emplacements!$A$2:$A$1001,A1334)=0,"⚠ emplacement inconnu","OK"))</f>
        <v/>
      </c>
      <c r="K1334" s="22" t="str">
        <f aca="false">IF(AND(B1334&lt;&gt;"",ISNUMBER(SEARCH(Recherche!$C$3,C1334&amp;" "&amp;B1334&amp;" "&amp;A1334&amp;" "&amp;D1334))),MAX($K$1:K1333)+1,"")</f>
        <v/>
      </c>
    </row>
    <row r="1335" customFormat="false" ht="15" hidden="false" customHeight="false" outlineLevel="0" collapsed="false">
      <c r="A1335" s="12"/>
      <c r="B1335" s="12"/>
      <c r="C1335" s="17" t="str">
        <f aca="false">IF(B1335="","",IFERROR(INDEX(Produits!$F$2:$F$1001,MATCH(B1335,Produits!$A$2:$A$1001,0)),"⚠ code article inconnu"))</f>
        <v/>
      </c>
      <c r="D1335" s="12"/>
      <c r="E1335" s="23"/>
      <c r="F1335" s="24"/>
      <c r="G1335" s="23"/>
      <c r="H1335" s="21" t="str">
        <f aca="true">IF(E1335="","",ROUND((E1335-TODAY())/30.4,1))</f>
        <v/>
      </c>
      <c r="I1335" s="17" t="str">
        <f aca="false">IF(E1335="","",IF(H1335&lt;0,IF(LEFT(A1335,1)="Q","Périmé (en quarantaine)","PÉRIMÉ → déplacer en zone Q"),IF(H1335&lt;3,"Péremption &lt; 3 mois",IF(H1335&lt;6,"Péremption &lt; 6 mois",""))))</f>
        <v/>
      </c>
      <c r="J1335" s="17" t="str">
        <f aca="false">IF(A1335="","",IF(COUNTIF(Emplacements!$A$2:$A$1001,A1335)=0,"⚠ emplacement inconnu","OK"))</f>
        <v/>
      </c>
      <c r="K1335" s="22" t="str">
        <f aca="false">IF(AND(B1335&lt;&gt;"",ISNUMBER(SEARCH(Recherche!$C$3,C1335&amp;" "&amp;B1335&amp;" "&amp;A1335&amp;" "&amp;D1335))),MAX($K$1:K1334)+1,"")</f>
        <v/>
      </c>
    </row>
    <row r="1336" customFormat="false" ht="15" hidden="false" customHeight="false" outlineLevel="0" collapsed="false">
      <c r="A1336" s="12"/>
      <c r="B1336" s="12"/>
      <c r="C1336" s="17" t="str">
        <f aca="false">IF(B1336="","",IFERROR(INDEX(Produits!$F$2:$F$1001,MATCH(B1336,Produits!$A$2:$A$1001,0)),"⚠ code article inconnu"))</f>
        <v/>
      </c>
      <c r="D1336" s="12"/>
      <c r="E1336" s="23"/>
      <c r="F1336" s="24"/>
      <c r="G1336" s="23"/>
      <c r="H1336" s="21" t="str">
        <f aca="true">IF(E1336="","",ROUND((E1336-TODAY())/30.4,1))</f>
        <v/>
      </c>
      <c r="I1336" s="17" t="str">
        <f aca="false">IF(E1336="","",IF(H1336&lt;0,IF(LEFT(A1336,1)="Q","Périmé (en quarantaine)","PÉRIMÉ → déplacer en zone Q"),IF(H1336&lt;3,"Péremption &lt; 3 mois",IF(H1336&lt;6,"Péremption &lt; 6 mois",""))))</f>
        <v/>
      </c>
      <c r="J1336" s="17" t="str">
        <f aca="false">IF(A1336="","",IF(COUNTIF(Emplacements!$A$2:$A$1001,A1336)=0,"⚠ emplacement inconnu","OK"))</f>
        <v/>
      </c>
      <c r="K1336" s="22" t="str">
        <f aca="false">IF(AND(B1336&lt;&gt;"",ISNUMBER(SEARCH(Recherche!$C$3,C1336&amp;" "&amp;B1336&amp;" "&amp;A1336&amp;" "&amp;D1336))),MAX($K$1:K1335)+1,"")</f>
        <v/>
      </c>
    </row>
    <row r="1337" customFormat="false" ht="15" hidden="false" customHeight="false" outlineLevel="0" collapsed="false">
      <c r="A1337" s="12"/>
      <c r="B1337" s="12"/>
      <c r="C1337" s="17" t="str">
        <f aca="false">IF(B1337="","",IFERROR(INDEX(Produits!$F$2:$F$1001,MATCH(B1337,Produits!$A$2:$A$1001,0)),"⚠ code article inconnu"))</f>
        <v/>
      </c>
      <c r="D1337" s="12"/>
      <c r="E1337" s="23"/>
      <c r="F1337" s="24"/>
      <c r="G1337" s="23"/>
      <c r="H1337" s="21" t="str">
        <f aca="true">IF(E1337="","",ROUND((E1337-TODAY())/30.4,1))</f>
        <v/>
      </c>
      <c r="I1337" s="17" t="str">
        <f aca="false">IF(E1337="","",IF(H1337&lt;0,IF(LEFT(A1337,1)="Q","Périmé (en quarantaine)","PÉRIMÉ → déplacer en zone Q"),IF(H1337&lt;3,"Péremption &lt; 3 mois",IF(H1337&lt;6,"Péremption &lt; 6 mois",""))))</f>
        <v/>
      </c>
      <c r="J1337" s="17" t="str">
        <f aca="false">IF(A1337="","",IF(COUNTIF(Emplacements!$A$2:$A$1001,A1337)=0,"⚠ emplacement inconnu","OK"))</f>
        <v/>
      </c>
      <c r="K1337" s="22" t="str">
        <f aca="false">IF(AND(B1337&lt;&gt;"",ISNUMBER(SEARCH(Recherche!$C$3,C1337&amp;" "&amp;B1337&amp;" "&amp;A1337&amp;" "&amp;D1337))),MAX($K$1:K1336)+1,"")</f>
        <v/>
      </c>
    </row>
    <row r="1338" customFormat="false" ht="15" hidden="false" customHeight="false" outlineLevel="0" collapsed="false">
      <c r="A1338" s="12"/>
      <c r="B1338" s="12"/>
      <c r="C1338" s="17" t="str">
        <f aca="false">IF(B1338="","",IFERROR(INDEX(Produits!$F$2:$F$1001,MATCH(B1338,Produits!$A$2:$A$1001,0)),"⚠ code article inconnu"))</f>
        <v/>
      </c>
      <c r="D1338" s="12"/>
      <c r="E1338" s="23"/>
      <c r="F1338" s="24"/>
      <c r="G1338" s="23"/>
      <c r="H1338" s="21" t="str">
        <f aca="true">IF(E1338="","",ROUND((E1338-TODAY())/30.4,1))</f>
        <v/>
      </c>
      <c r="I1338" s="17" t="str">
        <f aca="false">IF(E1338="","",IF(H1338&lt;0,IF(LEFT(A1338,1)="Q","Périmé (en quarantaine)","PÉRIMÉ → déplacer en zone Q"),IF(H1338&lt;3,"Péremption &lt; 3 mois",IF(H1338&lt;6,"Péremption &lt; 6 mois",""))))</f>
        <v/>
      </c>
      <c r="J1338" s="17" t="str">
        <f aca="false">IF(A1338="","",IF(COUNTIF(Emplacements!$A$2:$A$1001,A1338)=0,"⚠ emplacement inconnu","OK"))</f>
        <v/>
      </c>
      <c r="K1338" s="22" t="str">
        <f aca="false">IF(AND(B1338&lt;&gt;"",ISNUMBER(SEARCH(Recherche!$C$3,C1338&amp;" "&amp;B1338&amp;" "&amp;A1338&amp;" "&amp;D1338))),MAX($K$1:K1337)+1,"")</f>
        <v/>
      </c>
    </row>
    <row r="1339" customFormat="false" ht="15" hidden="false" customHeight="false" outlineLevel="0" collapsed="false">
      <c r="A1339" s="12"/>
      <c r="B1339" s="12"/>
      <c r="C1339" s="17" t="str">
        <f aca="false">IF(B1339="","",IFERROR(INDEX(Produits!$F$2:$F$1001,MATCH(B1339,Produits!$A$2:$A$1001,0)),"⚠ code article inconnu"))</f>
        <v/>
      </c>
      <c r="D1339" s="12"/>
      <c r="E1339" s="23"/>
      <c r="F1339" s="24"/>
      <c r="G1339" s="23"/>
      <c r="H1339" s="21" t="str">
        <f aca="true">IF(E1339="","",ROUND((E1339-TODAY())/30.4,1))</f>
        <v/>
      </c>
      <c r="I1339" s="17" t="str">
        <f aca="false">IF(E1339="","",IF(H1339&lt;0,IF(LEFT(A1339,1)="Q","Périmé (en quarantaine)","PÉRIMÉ → déplacer en zone Q"),IF(H1339&lt;3,"Péremption &lt; 3 mois",IF(H1339&lt;6,"Péremption &lt; 6 mois",""))))</f>
        <v/>
      </c>
      <c r="J1339" s="17" t="str">
        <f aca="false">IF(A1339="","",IF(COUNTIF(Emplacements!$A$2:$A$1001,A1339)=0,"⚠ emplacement inconnu","OK"))</f>
        <v/>
      </c>
      <c r="K1339" s="22" t="str">
        <f aca="false">IF(AND(B1339&lt;&gt;"",ISNUMBER(SEARCH(Recherche!$C$3,C1339&amp;" "&amp;B1339&amp;" "&amp;A1339&amp;" "&amp;D1339))),MAX($K$1:K1338)+1,"")</f>
        <v/>
      </c>
    </row>
    <row r="1340" customFormat="false" ht="15" hidden="false" customHeight="false" outlineLevel="0" collapsed="false">
      <c r="A1340" s="12"/>
      <c r="B1340" s="12"/>
      <c r="C1340" s="17" t="str">
        <f aca="false">IF(B1340="","",IFERROR(INDEX(Produits!$F$2:$F$1001,MATCH(B1340,Produits!$A$2:$A$1001,0)),"⚠ code article inconnu"))</f>
        <v/>
      </c>
      <c r="D1340" s="12"/>
      <c r="E1340" s="23"/>
      <c r="F1340" s="24"/>
      <c r="G1340" s="23"/>
      <c r="H1340" s="21" t="str">
        <f aca="true">IF(E1340="","",ROUND((E1340-TODAY())/30.4,1))</f>
        <v/>
      </c>
      <c r="I1340" s="17" t="str">
        <f aca="false">IF(E1340="","",IF(H1340&lt;0,IF(LEFT(A1340,1)="Q","Périmé (en quarantaine)","PÉRIMÉ → déplacer en zone Q"),IF(H1340&lt;3,"Péremption &lt; 3 mois",IF(H1340&lt;6,"Péremption &lt; 6 mois",""))))</f>
        <v/>
      </c>
      <c r="J1340" s="17" t="str">
        <f aca="false">IF(A1340="","",IF(COUNTIF(Emplacements!$A$2:$A$1001,A1340)=0,"⚠ emplacement inconnu","OK"))</f>
        <v/>
      </c>
      <c r="K1340" s="22" t="str">
        <f aca="false">IF(AND(B1340&lt;&gt;"",ISNUMBER(SEARCH(Recherche!$C$3,C1340&amp;" "&amp;B1340&amp;" "&amp;A1340&amp;" "&amp;D1340))),MAX($K$1:K1339)+1,"")</f>
        <v/>
      </c>
    </row>
    <row r="1341" customFormat="false" ht="15" hidden="false" customHeight="false" outlineLevel="0" collapsed="false">
      <c r="A1341" s="12"/>
      <c r="B1341" s="12"/>
      <c r="C1341" s="17" t="str">
        <f aca="false">IF(B1341="","",IFERROR(INDEX(Produits!$F$2:$F$1001,MATCH(B1341,Produits!$A$2:$A$1001,0)),"⚠ code article inconnu"))</f>
        <v/>
      </c>
      <c r="D1341" s="12"/>
      <c r="E1341" s="23"/>
      <c r="F1341" s="24"/>
      <c r="G1341" s="23"/>
      <c r="H1341" s="21" t="str">
        <f aca="true">IF(E1341="","",ROUND((E1341-TODAY())/30.4,1))</f>
        <v/>
      </c>
      <c r="I1341" s="17" t="str">
        <f aca="false">IF(E1341="","",IF(H1341&lt;0,IF(LEFT(A1341,1)="Q","Périmé (en quarantaine)","PÉRIMÉ → déplacer en zone Q"),IF(H1341&lt;3,"Péremption &lt; 3 mois",IF(H1341&lt;6,"Péremption &lt; 6 mois",""))))</f>
        <v/>
      </c>
      <c r="J1341" s="17" t="str">
        <f aca="false">IF(A1341="","",IF(COUNTIF(Emplacements!$A$2:$A$1001,A1341)=0,"⚠ emplacement inconnu","OK"))</f>
        <v/>
      </c>
      <c r="K1341" s="22" t="str">
        <f aca="false">IF(AND(B1341&lt;&gt;"",ISNUMBER(SEARCH(Recherche!$C$3,C1341&amp;" "&amp;B1341&amp;" "&amp;A1341&amp;" "&amp;D1341))),MAX($K$1:K1340)+1,"")</f>
        <v/>
      </c>
    </row>
    <row r="1342" customFormat="false" ht="15" hidden="false" customHeight="false" outlineLevel="0" collapsed="false">
      <c r="A1342" s="12"/>
      <c r="B1342" s="12"/>
      <c r="C1342" s="17" t="str">
        <f aca="false">IF(B1342="","",IFERROR(INDEX(Produits!$F$2:$F$1001,MATCH(B1342,Produits!$A$2:$A$1001,0)),"⚠ code article inconnu"))</f>
        <v/>
      </c>
      <c r="D1342" s="12"/>
      <c r="E1342" s="23"/>
      <c r="F1342" s="24"/>
      <c r="G1342" s="23"/>
      <c r="H1342" s="21" t="str">
        <f aca="true">IF(E1342="","",ROUND((E1342-TODAY())/30.4,1))</f>
        <v/>
      </c>
      <c r="I1342" s="17" t="str">
        <f aca="false">IF(E1342="","",IF(H1342&lt;0,IF(LEFT(A1342,1)="Q","Périmé (en quarantaine)","PÉRIMÉ → déplacer en zone Q"),IF(H1342&lt;3,"Péremption &lt; 3 mois",IF(H1342&lt;6,"Péremption &lt; 6 mois",""))))</f>
        <v/>
      </c>
      <c r="J1342" s="17" t="str">
        <f aca="false">IF(A1342="","",IF(COUNTIF(Emplacements!$A$2:$A$1001,A1342)=0,"⚠ emplacement inconnu","OK"))</f>
        <v/>
      </c>
      <c r="K1342" s="22" t="str">
        <f aca="false">IF(AND(B1342&lt;&gt;"",ISNUMBER(SEARCH(Recherche!$C$3,C1342&amp;" "&amp;B1342&amp;" "&amp;A1342&amp;" "&amp;D1342))),MAX($K$1:K1341)+1,"")</f>
        <v/>
      </c>
    </row>
    <row r="1343" customFormat="false" ht="15" hidden="false" customHeight="false" outlineLevel="0" collapsed="false">
      <c r="A1343" s="12"/>
      <c r="B1343" s="12"/>
      <c r="C1343" s="17" t="str">
        <f aca="false">IF(B1343="","",IFERROR(INDEX(Produits!$F$2:$F$1001,MATCH(B1343,Produits!$A$2:$A$1001,0)),"⚠ code article inconnu"))</f>
        <v/>
      </c>
      <c r="D1343" s="12"/>
      <c r="E1343" s="23"/>
      <c r="F1343" s="24"/>
      <c r="G1343" s="23"/>
      <c r="H1343" s="21" t="str">
        <f aca="true">IF(E1343="","",ROUND((E1343-TODAY())/30.4,1))</f>
        <v/>
      </c>
      <c r="I1343" s="17" t="str">
        <f aca="false">IF(E1343="","",IF(H1343&lt;0,IF(LEFT(A1343,1)="Q","Périmé (en quarantaine)","PÉRIMÉ → déplacer en zone Q"),IF(H1343&lt;3,"Péremption &lt; 3 mois",IF(H1343&lt;6,"Péremption &lt; 6 mois",""))))</f>
        <v/>
      </c>
      <c r="J1343" s="17" t="str">
        <f aca="false">IF(A1343="","",IF(COUNTIF(Emplacements!$A$2:$A$1001,A1343)=0,"⚠ emplacement inconnu","OK"))</f>
        <v/>
      </c>
      <c r="K1343" s="22" t="str">
        <f aca="false">IF(AND(B1343&lt;&gt;"",ISNUMBER(SEARCH(Recherche!$C$3,C1343&amp;" "&amp;B1343&amp;" "&amp;A1343&amp;" "&amp;D1343))),MAX($K$1:K1342)+1,"")</f>
        <v/>
      </c>
    </row>
    <row r="1344" customFormat="false" ht="15" hidden="false" customHeight="false" outlineLevel="0" collapsed="false">
      <c r="A1344" s="12"/>
      <c r="B1344" s="12"/>
      <c r="C1344" s="17" t="str">
        <f aca="false">IF(B1344="","",IFERROR(INDEX(Produits!$F$2:$F$1001,MATCH(B1344,Produits!$A$2:$A$1001,0)),"⚠ code article inconnu"))</f>
        <v/>
      </c>
      <c r="D1344" s="12"/>
      <c r="E1344" s="23"/>
      <c r="F1344" s="24"/>
      <c r="G1344" s="23"/>
      <c r="H1344" s="21" t="str">
        <f aca="true">IF(E1344="","",ROUND((E1344-TODAY())/30.4,1))</f>
        <v/>
      </c>
      <c r="I1344" s="17" t="str">
        <f aca="false">IF(E1344="","",IF(H1344&lt;0,IF(LEFT(A1344,1)="Q","Périmé (en quarantaine)","PÉRIMÉ → déplacer en zone Q"),IF(H1344&lt;3,"Péremption &lt; 3 mois",IF(H1344&lt;6,"Péremption &lt; 6 mois",""))))</f>
        <v/>
      </c>
      <c r="J1344" s="17" t="str">
        <f aca="false">IF(A1344="","",IF(COUNTIF(Emplacements!$A$2:$A$1001,A1344)=0,"⚠ emplacement inconnu","OK"))</f>
        <v/>
      </c>
      <c r="K1344" s="22" t="str">
        <f aca="false">IF(AND(B1344&lt;&gt;"",ISNUMBER(SEARCH(Recherche!$C$3,C1344&amp;" "&amp;B1344&amp;" "&amp;A1344&amp;" "&amp;D1344))),MAX($K$1:K1343)+1,"")</f>
        <v/>
      </c>
    </row>
    <row r="1345" customFormat="false" ht="15" hidden="false" customHeight="false" outlineLevel="0" collapsed="false">
      <c r="A1345" s="12"/>
      <c r="B1345" s="12"/>
      <c r="C1345" s="17" t="str">
        <f aca="false">IF(B1345="","",IFERROR(INDEX(Produits!$F$2:$F$1001,MATCH(B1345,Produits!$A$2:$A$1001,0)),"⚠ code article inconnu"))</f>
        <v/>
      </c>
      <c r="D1345" s="12"/>
      <c r="E1345" s="23"/>
      <c r="F1345" s="24"/>
      <c r="G1345" s="23"/>
      <c r="H1345" s="21" t="str">
        <f aca="true">IF(E1345="","",ROUND((E1345-TODAY())/30.4,1))</f>
        <v/>
      </c>
      <c r="I1345" s="17" t="str">
        <f aca="false">IF(E1345="","",IF(H1345&lt;0,IF(LEFT(A1345,1)="Q","Périmé (en quarantaine)","PÉRIMÉ → déplacer en zone Q"),IF(H1345&lt;3,"Péremption &lt; 3 mois",IF(H1345&lt;6,"Péremption &lt; 6 mois",""))))</f>
        <v/>
      </c>
      <c r="J1345" s="17" t="str">
        <f aca="false">IF(A1345="","",IF(COUNTIF(Emplacements!$A$2:$A$1001,A1345)=0,"⚠ emplacement inconnu","OK"))</f>
        <v/>
      </c>
      <c r="K1345" s="22" t="str">
        <f aca="false">IF(AND(B1345&lt;&gt;"",ISNUMBER(SEARCH(Recherche!$C$3,C1345&amp;" "&amp;B1345&amp;" "&amp;A1345&amp;" "&amp;D1345))),MAX($K$1:K1344)+1,"")</f>
        <v/>
      </c>
    </row>
    <row r="1346" customFormat="false" ht="15" hidden="false" customHeight="false" outlineLevel="0" collapsed="false">
      <c r="A1346" s="12"/>
      <c r="B1346" s="12"/>
      <c r="C1346" s="17" t="str">
        <f aca="false">IF(B1346="","",IFERROR(INDEX(Produits!$F$2:$F$1001,MATCH(B1346,Produits!$A$2:$A$1001,0)),"⚠ code article inconnu"))</f>
        <v/>
      </c>
      <c r="D1346" s="12"/>
      <c r="E1346" s="23"/>
      <c r="F1346" s="24"/>
      <c r="G1346" s="23"/>
      <c r="H1346" s="21" t="str">
        <f aca="true">IF(E1346="","",ROUND((E1346-TODAY())/30.4,1))</f>
        <v/>
      </c>
      <c r="I1346" s="17" t="str">
        <f aca="false">IF(E1346="","",IF(H1346&lt;0,IF(LEFT(A1346,1)="Q","Périmé (en quarantaine)","PÉRIMÉ → déplacer en zone Q"),IF(H1346&lt;3,"Péremption &lt; 3 mois",IF(H1346&lt;6,"Péremption &lt; 6 mois",""))))</f>
        <v/>
      </c>
      <c r="J1346" s="17" t="str">
        <f aca="false">IF(A1346="","",IF(COUNTIF(Emplacements!$A$2:$A$1001,A1346)=0,"⚠ emplacement inconnu","OK"))</f>
        <v/>
      </c>
      <c r="K1346" s="22" t="str">
        <f aca="false">IF(AND(B1346&lt;&gt;"",ISNUMBER(SEARCH(Recherche!$C$3,C1346&amp;" "&amp;B1346&amp;" "&amp;A1346&amp;" "&amp;D1346))),MAX($K$1:K1345)+1,"")</f>
        <v/>
      </c>
    </row>
    <row r="1347" customFormat="false" ht="15" hidden="false" customHeight="false" outlineLevel="0" collapsed="false">
      <c r="A1347" s="12"/>
      <c r="B1347" s="12"/>
      <c r="C1347" s="17" t="str">
        <f aca="false">IF(B1347="","",IFERROR(INDEX(Produits!$F$2:$F$1001,MATCH(B1347,Produits!$A$2:$A$1001,0)),"⚠ code article inconnu"))</f>
        <v/>
      </c>
      <c r="D1347" s="12"/>
      <c r="E1347" s="23"/>
      <c r="F1347" s="24"/>
      <c r="G1347" s="23"/>
      <c r="H1347" s="21" t="str">
        <f aca="true">IF(E1347="","",ROUND((E1347-TODAY())/30.4,1))</f>
        <v/>
      </c>
      <c r="I1347" s="17" t="str">
        <f aca="false">IF(E1347="","",IF(H1347&lt;0,IF(LEFT(A1347,1)="Q","Périmé (en quarantaine)","PÉRIMÉ → déplacer en zone Q"),IF(H1347&lt;3,"Péremption &lt; 3 mois",IF(H1347&lt;6,"Péremption &lt; 6 mois",""))))</f>
        <v/>
      </c>
      <c r="J1347" s="17" t="str">
        <f aca="false">IF(A1347="","",IF(COUNTIF(Emplacements!$A$2:$A$1001,A1347)=0,"⚠ emplacement inconnu","OK"))</f>
        <v/>
      </c>
      <c r="K1347" s="22" t="str">
        <f aca="false">IF(AND(B1347&lt;&gt;"",ISNUMBER(SEARCH(Recherche!$C$3,C1347&amp;" "&amp;B1347&amp;" "&amp;A1347&amp;" "&amp;D1347))),MAX($K$1:K1346)+1,"")</f>
        <v/>
      </c>
    </row>
    <row r="1348" customFormat="false" ht="15" hidden="false" customHeight="false" outlineLevel="0" collapsed="false">
      <c r="A1348" s="12"/>
      <c r="B1348" s="12"/>
      <c r="C1348" s="17" t="str">
        <f aca="false">IF(B1348="","",IFERROR(INDEX(Produits!$F$2:$F$1001,MATCH(B1348,Produits!$A$2:$A$1001,0)),"⚠ code article inconnu"))</f>
        <v/>
      </c>
      <c r="D1348" s="12"/>
      <c r="E1348" s="23"/>
      <c r="F1348" s="24"/>
      <c r="G1348" s="23"/>
      <c r="H1348" s="21" t="str">
        <f aca="true">IF(E1348="","",ROUND((E1348-TODAY())/30.4,1))</f>
        <v/>
      </c>
      <c r="I1348" s="17" t="str">
        <f aca="false">IF(E1348="","",IF(H1348&lt;0,IF(LEFT(A1348,1)="Q","Périmé (en quarantaine)","PÉRIMÉ → déplacer en zone Q"),IF(H1348&lt;3,"Péremption &lt; 3 mois",IF(H1348&lt;6,"Péremption &lt; 6 mois",""))))</f>
        <v/>
      </c>
      <c r="J1348" s="17" t="str">
        <f aca="false">IF(A1348="","",IF(COUNTIF(Emplacements!$A$2:$A$1001,A1348)=0,"⚠ emplacement inconnu","OK"))</f>
        <v/>
      </c>
      <c r="K1348" s="22" t="str">
        <f aca="false">IF(AND(B1348&lt;&gt;"",ISNUMBER(SEARCH(Recherche!$C$3,C1348&amp;" "&amp;B1348&amp;" "&amp;A1348&amp;" "&amp;D1348))),MAX($K$1:K1347)+1,"")</f>
        <v/>
      </c>
    </row>
    <row r="1349" customFormat="false" ht="15" hidden="false" customHeight="false" outlineLevel="0" collapsed="false">
      <c r="A1349" s="12"/>
      <c r="B1349" s="12"/>
      <c r="C1349" s="17" t="str">
        <f aca="false">IF(B1349="","",IFERROR(INDEX(Produits!$F$2:$F$1001,MATCH(B1349,Produits!$A$2:$A$1001,0)),"⚠ code article inconnu"))</f>
        <v/>
      </c>
      <c r="D1349" s="12"/>
      <c r="E1349" s="23"/>
      <c r="F1349" s="24"/>
      <c r="G1349" s="23"/>
      <c r="H1349" s="21" t="str">
        <f aca="true">IF(E1349="","",ROUND((E1349-TODAY())/30.4,1))</f>
        <v/>
      </c>
      <c r="I1349" s="17" t="str">
        <f aca="false">IF(E1349="","",IF(H1349&lt;0,IF(LEFT(A1349,1)="Q","Périmé (en quarantaine)","PÉRIMÉ → déplacer en zone Q"),IF(H1349&lt;3,"Péremption &lt; 3 mois",IF(H1349&lt;6,"Péremption &lt; 6 mois",""))))</f>
        <v/>
      </c>
      <c r="J1349" s="17" t="str">
        <f aca="false">IF(A1349="","",IF(COUNTIF(Emplacements!$A$2:$A$1001,A1349)=0,"⚠ emplacement inconnu","OK"))</f>
        <v/>
      </c>
      <c r="K1349" s="22" t="str">
        <f aca="false">IF(AND(B1349&lt;&gt;"",ISNUMBER(SEARCH(Recherche!$C$3,C1349&amp;" "&amp;B1349&amp;" "&amp;A1349&amp;" "&amp;D1349))),MAX($K$1:K1348)+1,"")</f>
        <v/>
      </c>
    </row>
    <row r="1350" customFormat="false" ht="15" hidden="false" customHeight="false" outlineLevel="0" collapsed="false">
      <c r="A1350" s="12"/>
      <c r="B1350" s="12"/>
      <c r="C1350" s="17" t="str">
        <f aca="false">IF(B1350="","",IFERROR(INDEX(Produits!$F$2:$F$1001,MATCH(B1350,Produits!$A$2:$A$1001,0)),"⚠ code article inconnu"))</f>
        <v/>
      </c>
      <c r="D1350" s="12"/>
      <c r="E1350" s="23"/>
      <c r="F1350" s="24"/>
      <c r="G1350" s="23"/>
      <c r="H1350" s="21" t="str">
        <f aca="true">IF(E1350="","",ROUND((E1350-TODAY())/30.4,1))</f>
        <v/>
      </c>
      <c r="I1350" s="17" t="str">
        <f aca="false">IF(E1350="","",IF(H1350&lt;0,IF(LEFT(A1350,1)="Q","Périmé (en quarantaine)","PÉRIMÉ → déplacer en zone Q"),IF(H1350&lt;3,"Péremption &lt; 3 mois",IF(H1350&lt;6,"Péremption &lt; 6 mois",""))))</f>
        <v/>
      </c>
      <c r="J1350" s="17" t="str">
        <f aca="false">IF(A1350="","",IF(COUNTIF(Emplacements!$A$2:$A$1001,A1350)=0,"⚠ emplacement inconnu","OK"))</f>
        <v/>
      </c>
      <c r="K1350" s="22" t="str">
        <f aca="false">IF(AND(B1350&lt;&gt;"",ISNUMBER(SEARCH(Recherche!$C$3,C1350&amp;" "&amp;B1350&amp;" "&amp;A1350&amp;" "&amp;D1350))),MAX($K$1:K1349)+1,"")</f>
        <v/>
      </c>
    </row>
    <row r="1351" customFormat="false" ht="15" hidden="false" customHeight="false" outlineLevel="0" collapsed="false">
      <c r="A1351" s="12"/>
      <c r="B1351" s="12"/>
      <c r="C1351" s="17" t="str">
        <f aca="false">IF(B1351="","",IFERROR(INDEX(Produits!$F$2:$F$1001,MATCH(B1351,Produits!$A$2:$A$1001,0)),"⚠ code article inconnu"))</f>
        <v/>
      </c>
      <c r="D1351" s="12"/>
      <c r="E1351" s="23"/>
      <c r="F1351" s="24"/>
      <c r="G1351" s="23"/>
      <c r="H1351" s="21" t="str">
        <f aca="true">IF(E1351="","",ROUND((E1351-TODAY())/30.4,1))</f>
        <v/>
      </c>
      <c r="I1351" s="17" t="str">
        <f aca="false">IF(E1351="","",IF(H1351&lt;0,IF(LEFT(A1351,1)="Q","Périmé (en quarantaine)","PÉRIMÉ → déplacer en zone Q"),IF(H1351&lt;3,"Péremption &lt; 3 mois",IF(H1351&lt;6,"Péremption &lt; 6 mois",""))))</f>
        <v/>
      </c>
      <c r="J1351" s="17" t="str">
        <f aca="false">IF(A1351="","",IF(COUNTIF(Emplacements!$A$2:$A$1001,A1351)=0,"⚠ emplacement inconnu","OK"))</f>
        <v/>
      </c>
      <c r="K1351" s="22" t="str">
        <f aca="false">IF(AND(B1351&lt;&gt;"",ISNUMBER(SEARCH(Recherche!$C$3,C1351&amp;" "&amp;B1351&amp;" "&amp;A1351&amp;" "&amp;D1351))),MAX($K$1:K1350)+1,"")</f>
        <v/>
      </c>
    </row>
    <row r="1352" customFormat="false" ht="15" hidden="false" customHeight="false" outlineLevel="0" collapsed="false">
      <c r="A1352" s="12"/>
      <c r="B1352" s="12"/>
      <c r="C1352" s="17" t="str">
        <f aca="false">IF(B1352="","",IFERROR(INDEX(Produits!$F$2:$F$1001,MATCH(B1352,Produits!$A$2:$A$1001,0)),"⚠ code article inconnu"))</f>
        <v/>
      </c>
      <c r="D1352" s="12"/>
      <c r="E1352" s="23"/>
      <c r="F1352" s="24"/>
      <c r="G1352" s="23"/>
      <c r="H1352" s="21" t="str">
        <f aca="true">IF(E1352="","",ROUND((E1352-TODAY())/30.4,1))</f>
        <v/>
      </c>
      <c r="I1352" s="17" t="str">
        <f aca="false">IF(E1352="","",IF(H1352&lt;0,IF(LEFT(A1352,1)="Q","Périmé (en quarantaine)","PÉRIMÉ → déplacer en zone Q"),IF(H1352&lt;3,"Péremption &lt; 3 mois",IF(H1352&lt;6,"Péremption &lt; 6 mois",""))))</f>
        <v/>
      </c>
      <c r="J1352" s="17" t="str">
        <f aca="false">IF(A1352="","",IF(COUNTIF(Emplacements!$A$2:$A$1001,A1352)=0,"⚠ emplacement inconnu","OK"))</f>
        <v/>
      </c>
      <c r="K1352" s="22" t="str">
        <f aca="false">IF(AND(B1352&lt;&gt;"",ISNUMBER(SEARCH(Recherche!$C$3,C1352&amp;" "&amp;B1352&amp;" "&amp;A1352&amp;" "&amp;D1352))),MAX($K$1:K1351)+1,"")</f>
        <v/>
      </c>
    </row>
    <row r="1353" customFormat="false" ht="15" hidden="false" customHeight="false" outlineLevel="0" collapsed="false">
      <c r="A1353" s="12"/>
      <c r="B1353" s="12"/>
      <c r="C1353" s="17" t="str">
        <f aca="false">IF(B1353="","",IFERROR(INDEX(Produits!$F$2:$F$1001,MATCH(B1353,Produits!$A$2:$A$1001,0)),"⚠ code article inconnu"))</f>
        <v/>
      </c>
      <c r="D1353" s="12"/>
      <c r="E1353" s="23"/>
      <c r="F1353" s="24"/>
      <c r="G1353" s="23"/>
      <c r="H1353" s="21" t="str">
        <f aca="true">IF(E1353="","",ROUND((E1353-TODAY())/30.4,1))</f>
        <v/>
      </c>
      <c r="I1353" s="17" t="str">
        <f aca="false">IF(E1353="","",IF(H1353&lt;0,IF(LEFT(A1353,1)="Q","Périmé (en quarantaine)","PÉRIMÉ → déplacer en zone Q"),IF(H1353&lt;3,"Péremption &lt; 3 mois",IF(H1353&lt;6,"Péremption &lt; 6 mois",""))))</f>
        <v/>
      </c>
      <c r="J1353" s="17" t="str">
        <f aca="false">IF(A1353="","",IF(COUNTIF(Emplacements!$A$2:$A$1001,A1353)=0,"⚠ emplacement inconnu","OK"))</f>
        <v/>
      </c>
      <c r="K1353" s="22" t="str">
        <f aca="false">IF(AND(B1353&lt;&gt;"",ISNUMBER(SEARCH(Recherche!$C$3,C1353&amp;" "&amp;B1353&amp;" "&amp;A1353&amp;" "&amp;D1353))),MAX($K$1:K1352)+1,"")</f>
        <v/>
      </c>
    </row>
    <row r="1354" customFormat="false" ht="15" hidden="false" customHeight="false" outlineLevel="0" collapsed="false">
      <c r="A1354" s="12"/>
      <c r="B1354" s="12"/>
      <c r="C1354" s="17" t="str">
        <f aca="false">IF(B1354="","",IFERROR(INDEX(Produits!$F$2:$F$1001,MATCH(B1354,Produits!$A$2:$A$1001,0)),"⚠ code article inconnu"))</f>
        <v/>
      </c>
      <c r="D1354" s="12"/>
      <c r="E1354" s="23"/>
      <c r="F1354" s="24"/>
      <c r="G1354" s="23"/>
      <c r="H1354" s="21" t="str">
        <f aca="true">IF(E1354="","",ROUND((E1354-TODAY())/30.4,1))</f>
        <v/>
      </c>
      <c r="I1354" s="17" t="str">
        <f aca="false">IF(E1354="","",IF(H1354&lt;0,IF(LEFT(A1354,1)="Q","Périmé (en quarantaine)","PÉRIMÉ → déplacer en zone Q"),IF(H1354&lt;3,"Péremption &lt; 3 mois",IF(H1354&lt;6,"Péremption &lt; 6 mois",""))))</f>
        <v/>
      </c>
      <c r="J1354" s="17" t="str">
        <f aca="false">IF(A1354="","",IF(COUNTIF(Emplacements!$A$2:$A$1001,A1354)=0,"⚠ emplacement inconnu","OK"))</f>
        <v/>
      </c>
      <c r="K1354" s="22" t="str">
        <f aca="false">IF(AND(B1354&lt;&gt;"",ISNUMBER(SEARCH(Recherche!$C$3,C1354&amp;" "&amp;B1354&amp;" "&amp;A1354&amp;" "&amp;D1354))),MAX($K$1:K1353)+1,"")</f>
        <v/>
      </c>
    </row>
    <row r="1355" customFormat="false" ht="15" hidden="false" customHeight="false" outlineLevel="0" collapsed="false">
      <c r="A1355" s="12"/>
      <c r="B1355" s="12"/>
      <c r="C1355" s="17" t="str">
        <f aca="false">IF(B1355="","",IFERROR(INDEX(Produits!$F$2:$F$1001,MATCH(B1355,Produits!$A$2:$A$1001,0)),"⚠ code article inconnu"))</f>
        <v/>
      </c>
      <c r="D1355" s="12"/>
      <c r="E1355" s="23"/>
      <c r="F1355" s="24"/>
      <c r="G1355" s="23"/>
      <c r="H1355" s="21" t="str">
        <f aca="true">IF(E1355="","",ROUND((E1355-TODAY())/30.4,1))</f>
        <v/>
      </c>
      <c r="I1355" s="17" t="str">
        <f aca="false">IF(E1355="","",IF(H1355&lt;0,IF(LEFT(A1355,1)="Q","Périmé (en quarantaine)","PÉRIMÉ → déplacer en zone Q"),IF(H1355&lt;3,"Péremption &lt; 3 mois",IF(H1355&lt;6,"Péremption &lt; 6 mois",""))))</f>
        <v/>
      </c>
      <c r="J1355" s="17" t="str">
        <f aca="false">IF(A1355="","",IF(COUNTIF(Emplacements!$A$2:$A$1001,A1355)=0,"⚠ emplacement inconnu","OK"))</f>
        <v/>
      </c>
      <c r="K1355" s="22" t="str">
        <f aca="false">IF(AND(B1355&lt;&gt;"",ISNUMBER(SEARCH(Recherche!$C$3,C1355&amp;" "&amp;B1355&amp;" "&amp;A1355&amp;" "&amp;D1355))),MAX($K$1:K1354)+1,"")</f>
        <v/>
      </c>
    </row>
    <row r="1356" customFormat="false" ht="15" hidden="false" customHeight="false" outlineLevel="0" collapsed="false">
      <c r="A1356" s="12"/>
      <c r="B1356" s="12"/>
      <c r="C1356" s="17" t="str">
        <f aca="false">IF(B1356="","",IFERROR(INDEX(Produits!$F$2:$F$1001,MATCH(B1356,Produits!$A$2:$A$1001,0)),"⚠ code article inconnu"))</f>
        <v/>
      </c>
      <c r="D1356" s="12"/>
      <c r="E1356" s="23"/>
      <c r="F1356" s="24"/>
      <c r="G1356" s="23"/>
      <c r="H1356" s="21" t="str">
        <f aca="true">IF(E1356="","",ROUND((E1356-TODAY())/30.4,1))</f>
        <v/>
      </c>
      <c r="I1356" s="17" t="str">
        <f aca="false">IF(E1356="","",IF(H1356&lt;0,IF(LEFT(A1356,1)="Q","Périmé (en quarantaine)","PÉRIMÉ → déplacer en zone Q"),IF(H1356&lt;3,"Péremption &lt; 3 mois",IF(H1356&lt;6,"Péremption &lt; 6 mois",""))))</f>
        <v/>
      </c>
      <c r="J1356" s="17" t="str">
        <f aca="false">IF(A1356="","",IF(COUNTIF(Emplacements!$A$2:$A$1001,A1356)=0,"⚠ emplacement inconnu","OK"))</f>
        <v/>
      </c>
      <c r="K1356" s="22" t="str">
        <f aca="false">IF(AND(B1356&lt;&gt;"",ISNUMBER(SEARCH(Recherche!$C$3,C1356&amp;" "&amp;B1356&amp;" "&amp;A1356&amp;" "&amp;D1356))),MAX($K$1:K1355)+1,"")</f>
        <v/>
      </c>
    </row>
    <row r="1357" customFormat="false" ht="15" hidden="false" customHeight="false" outlineLevel="0" collapsed="false">
      <c r="A1357" s="12"/>
      <c r="B1357" s="12"/>
      <c r="C1357" s="17" t="str">
        <f aca="false">IF(B1357="","",IFERROR(INDEX(Produits!$F$2:$F$1001,MATCH(B1357,Produits!$A$2:$A$1001,0)),"⚠ code article inconnu"))</f>
        <v/>
      </c>
      <c r="D1357" s="12"/>
      <c r="E1357" s="23"/>
      <c r="F1357" s="24"/>
      <c r="G1357" s="23"/>
      <c r="H1357" s="21" t="str">
        <f aca="true">IF(E1357="","",ROUND((E1357-TODAY())/30.4,1))</f>
        <v/>
      </c>
      <c r="I1357" s="17" t="str">
        <f aca="false">IF(E1357="","",IF(H1357&lt;0,IF(LEFT(A1357,1)="Q","Périmé (en quarantaine)","PÉRIMÉ → déplacer en zone Q"),IF(H1357&lt;3,"Péremption &lt; 3 mois",IF(H1357&lt;6,"Péremption &lt; 6 mois",""))))</f>
        <v/>
      </c>
      <c r="J1357" s="17" t="str">
        <f aca="false">IF(A1357="","",IF(COUNTIF(Emplacements!$A$2:$A$1001,A1357)=0,"⚠ emplacement inconnu","OK"))</f>
        <v/>
      </c>
      <c r="K1357" s="22" t="str">
        <f aca="false">IF(AND(B1357&lt;&gt;"",ISNUMBER(SEARCH(Recherche!$C$3,C1357&amp;" "&amp;B1357&amp;" "&amp;A1357&amp;" "&amp;D1357))),MAX($K$1:K1356)+1,"")</f>
        <v/>
      </c>
    </row>
    <row r="1358" customFormat="false" ht="15" hidden="false" customHeight="false" outlineLevel="0" collapsed="false">
      <c r="A1358" s="12"/>
      <c r="B1358" s="12"/>
      <c r="C1358" s="17" t="str">
        <f aca="false">IF(B1358="","",IFERROR(INDEX(Produits!$F$2:$F$1001,MATCH(B1358,Produits!$A$2:$A$1001,0)),"⚠ code article inconnu"))</f>
        <v/>
      </c>
      <c r="D1358" s="12"/>
      <c r="E1358" s="23"/>
      <c r="F1358" s="24"/>
      <c r="G1358" s="23"/>
      <c r="H1358" s="21" t="str">
        <f aca="true">IF(E1358="","",ROUND((E1358-TODAY())/30.4,1))</f>
        <v/>
      </c>
      <c r="I1358" s="17" t="str">
        <f aca="false">IF(E1358="","",IF(H1358&lt;0,IF(LEFT(A1358,1)="Q","Périmé (en quarantaine)","PÉRIMÉ → déplacer en zone Q"),IF(H1358&lt;3,"Péremption &lt; 3 mois",IF(H1358&lt;6,"Péremption &lt; 6 mois",""))))</f>
        <v/>
      </c>
      <c r="J1358" s="17" t="str">
        <f aca="false">IF(A1358="","",IF(COUNTIF(Emplacements!$A$2:$A$1001,A1358)=0,"⚠ emplacement inconnu","OK"))</f>
        <v/>
      </c>
      <c r="K1358" s="22" t="str">
        <f aca="false">IF(AND(B1358&lt;&gt;"",ISNUMBER(SEARCH(Recherche!$C$3,C1358&amp;" "&amp;B1358&amp;" "&amp;A1358&amp;" "&amp;D1358))),MAX($K$1:K1357)+1,"")</f>
        <v/>
      </c>
    </row>
    <row r="1359" customFormat="false" ht="15" hidden="false" customHeight="false" outlineLevel="0" collapsed="false">
      <c r="A1359" s="12"/>
      <c r="B1359" s="12"/>
      <c r="C1359" s="17" t="str">
        <f aca="false">IF(B1359="","",IFERROR(INDEX(Produits!$F$2:$F$1001,MATCH(B1359,Produits!$A$2:$A$1001,0)),"⚠ code article inconnu"))</f>
        <v/>
      </c>
      <c r="D1359" s="12"/>
      <c r="E1359" s="23"/>
      <c r="F1359" s="24"/>
      <c r="G1359" s="23"/>
      <c r="H1359" s="21" t="str">
        <f aca="true">IF(E1359="","",ROUND((E1359-TODAY())/30.4,1))</f>
        <v/>
      </c>
      <c r="I1359" s="17" t="str">
        <f aca="false">IF(E1359="","",IF(H1359&lt;0,IF(LEFT(A1359,1)="Q","Périmé (en quarantaine)","PÉRIMÉ → déplacer en zone Q"),IF(H1359&lt;3,"Péremption &lt; 3 mois",IF(H1359&lt;6,"Péremption &lt; 6 mois",""))))</f>
        <v/>
      </c>
      <c r="J1359" s="17" t="str">
        <f aca="false">IF(A1359="","",IF(COUNTIF(Emplacements!$A$2:$A$1001,A1359)=0,"⚠ emplacement inconnu","OK"))</f>
        <v/>
      </c>
      <c r="K1359" s="22" t="str">
        <f aca="false">IF(AND(B1359&lt;&gt;"",ISNUMBER(SEARCH(Recherche!$C$3,C1359&amp;" "&amp;B1359&amp;" "&amp;A1359&amp;" "&amp;D1359))),MAX($K$1:K1358)+1,"")</f>
        <v/>
      </c>
    </row>
    <row r="1360" customFormat="false" ht="15" hidden="false" customHeight="false" outlineLevel="0" collapsed="false">
      <c r="A1360" s="12"/>
      <c r="B1360" s="12"/>
      <c r="C1360" s="17" t="str">
        <f aca="false">IF(B1360="","",IFERROR(INDEX(Produits!$F$2:$F$1001,MATCH(B1360,Produits!$A$2:$A$1001,0)),"⚠ code article inconnu"))</f>
        <v/>
      </c>
      <c r="D1360" s="12"/>
      <c r="E1360" s="23"/>
      <c r="F1360" s="24"/>
      <c r="G1360" s="23"/>
      <c r="H1360" s="21" t="str">
        <f aca="true">IF(E1360="","",ROUND((E1360-TODAY())/30.4,1))</f>
        <v/>
      </c>
      <c r="I1360" s="17" t="str">
        <f aca="false">IF(E1360="","",IF(H1360&lt;0,IF(LEFT(A1360,1)="Q","Périmé (en quarantaine)","PÉRIMÉ → déplacer en zone Q"),IF(H1360&lt;3,"Péremption &lt; 3 mois",IF(H1360&lt;6,"Péremption &lt; 6 mois",""))))</f>
        <v/>
      </c>
      <c r="J1360" s="17" t="str">
        <f aca="false">IF(A1360="","",IF(COUNTIF(Emplacements!$A$2:$A$1001,A1360)=0,"⚠ emplacement inconnu","OK"))</f>
        <v/>
      </c>
      <c r="K1360" s="22" t="str">
        <f aca="false">IF(AND(B1360&lt;&gt;"",ISNUMBER(SEARCH(Recherche!$C$3,C1360&amp;" "&amp;B1360&amp;" "&amp;A1360&amp;" "&amp;D1360))),MAX($K$1:K1359)+1,"")</f>
        <v/>
      </c>
    </row>
    <row r="1361" customFormat="false" ht="15" hidden="false" customHeight="false" outlineLevel="0" collapsed="false">
      <c r="A1361" s="12"/>
      <c r="B1361" s="12"/>
      <c r="C1361" s="17" t="str">
        <f aca="false">IF(B1361="","",IFERROR(INDEX(Produits!$F$2:$F$1001,MATCH(B1361,Produits!$A$2:$A$1001,0)),"⚠ code article inconnu"))</f>
        <v/>
      </c>
      <c r="D1361" s="12"/>
      <c r="E1361" s="23"/>
      <c r="F1361" s="24"/>
      <c r="G1361" s="23"/>
      <c r="H1361" s="21" t="str">
        <f aca="true">IF(E1361="","",ROUND((E1361-TODAY())/30.4,1))</f>
        <v/>
      </c>
      <c r="I1361" s="17" t="str">
        <f aca="false">IF(E1361="","",IF(H1361&lt;0,IF(LEFT(A1361,1)="Q","Périmé (en quarantaine)","PÉRIMÉ → déplacer en zone Q"),IF(H1361&lt;3,"Péremption &lt; 3 mois",IF(H1361&lt;6,"Péremption &lt; 6 mois",""))))</f>
        <v/>
      </c>
      <c r="J1361" s="17" t="str">
        <f aca="false">IF(A1361="","",IF(COUNTIF(Emplacements!$A$2:$A$1001,A1361)=0,"⚠ emplacement inconnu","OK"))</f>
        <v/>
      </c>
      <c r="K1361" s="22" t="str">
        <f aca="false">IF(AND(B1361&lt;&gt;"",ISNUMBER(SEARCH(Recherche!$C$3,C1361&amp;" "&amp;B1361&amp;" "&amp;A1361&amp;" "&amp;D1361))),MAX($K$1:K1360)+1,"")</f>
        <v/>
      </c>
    </row>
    <row r="1362" customFormat="false" ht="15" hidden="false" customHeight="false" outlineLevel="0" collapsed="false">
      <c r="A1362" s="12"/>
      <c r="B1362" s="12"/>
      <c r="C1362" s="17" t="str">
        <f aca="false">IF(B1362="","",IFERROR(INDEX(Produits!$F$2:$F$1001,MATCH(B1362,Produits!$A$2:$A$1001,0)),"⚠ code article inconnu"))</f>
        <v/>
      </c>
      <c r="D1362" s="12"/>
      <c r="E1362" s="23"/>
      <c r="F1362" s="24"/>
      <c r="G1362" s="23"/>
      <c r="H1362" s="21" t="str">
        <f aca="true">IF(E1362="","",ROUND((E1362-TODAY())/30.4,1))</f>
        <v/>
      </c>
      <c r="I1362" s="17" t="str">
        <f aca="false">IF(E1362="","",IF(H1362&lt;0,IF(LEFT(A1362,1)="Q","Périmé (en quarantaine)","PÉRIMÉ → déplacer en zone Q"),IF(H1362&lt;3,"Péremption &lt; 3 mois",IF(H1362&lt;6,"Péremption &lt; 6 mois",""))))</f>
        <v/>
      </c>
      <c r="J1362" s="17" t="str">
        <f aca="false">IF(A1362="","",IF(COUNTIF(Emplacements!$A$2:$A$1001,A1362)=0,"⚠ emplacement inconnu","OK"))</f>
        <v/>
      </c>
      <c r="K1362" s="22" t="str">
        <f aca="false">IF(AND(B1362&lt;&gt;"",ISNUMBER(SEARCH(Recherche!$C$3,C1362&amp;" "&amp;B1362&amp;" "&amp;A1362&amp;" "&amp;D1362))),MAX($K$1:K1361)+1,"")</f>
        <v/>
      </c>
    </row>
    <row r="1363" customFormat="false" ht="15" hidden="false" customHeight="false" outlineLevel="0" collapsed="false">
      <c r="A1363" s="12"/>
      <c r="B1363" s="12"/>
      <c r="C1363" s="17" t="str">
        <f aca="false">IF(B1363="","",IFERROR(INDEX(Produits!$F$2:$F$1001,MATCH(B1363,Produits!$A$2:$A$1001,0)),"⚠ code article inconnu"))</f>
        <v/>
      </c>
      <c r="D1363" s="12"/>
      <c r="E1363" s="23"/>
      <c r="F1363" s="24"/>
      <c r="G1363" s="23"/>
      <c r="H1363" s="21" t="str">
        <f aca="true">IF(E1363="","",ROUND((E1363-TODAY())/30.4,1))</f>
        <v/>
      </c>
      <c r="I1363" s="17" t="str">
        <f aca="false">IF(E1363="","",IF(H1363&lt;0,IF(LEFT(A1363,1)="Q","Périmé (en quarantaine)","PÉRIMÉ → déplacer en zone Q"),IF(H1363&lt;3,"Péremption &lt; 3 mois",IF(H1363&lt;6,"Péremption &lt; 6 mois",""))))</f>
        <v/>
      </c>
      <c r="J1363" s="17" t="str">
        <f aca="false">IF(A1363="","",IF(COUNTIF(Emplacements!$A$2:$A$1001,A1363)=0,"⚠ emplacement inconnu","OK"))</f>
        <v/>
      </c>
      <c r="K1363" s="22" t="str">
        <f aca="false">IF(AND(B1363&lt;&gt;"",ISNUMBER(SEARCH(Recherche!$C$3,C1363&amp;" "&amp;B1363&amp;" "&amp;A1363&amp;" "&amp;D1363))),MAX($K$1:K1362)+1,"")</f>
        <v/>
      </c>
    </row>
    <row r="1364" customFormat="false" ht="15" hidden="false" customHeight="false" outlineLevel="0" collapsed="false">
      <c r="A1364" s="12"/>
      <c r="B1364" s="12"/>
      <c r="C1364" s="17" t="str">
        <f aca="false">IF(B1364="","",IFERROR(INDEX(Produits!$F$2:$F$1001,MATCH(B1364,Produits!$A$2:$A$1001,0)),"⚠ code article inconnu"))</f>
        <v/>
      </c>
      <c r="D1364" s="12"/>
      <c r="E1364" s="23"/>
      <c r="F1364" s="24"/>
      <c r="G1364" s="23"/>
      <c r="H1364" s="21" t="str">
        <f aca="true">IF(E1364="","",ROUND((E1364-TODAY())/30.4,1))</f>
        <v/>
      </c>
      <c r="I1364" s="17" t="str">
        <f aca="false">IF(E1364="","",IF(H1364&lt;0,IF(LEFT(A1364,1)="Q","Périmé (en quarantaine)","PÉRIMÉ → déplacer en zone Q"),IF(H1364&lt;3,"Péremption &lt; 3 mois",IF(H1364&lt;6,"Péremption &lt; 6 mois",""))))</f>
        <v/>
      </c>
      <c r="J1364" s="17" t="str">
        <f aca="false">IF(A1364="","",IF(COUNTIF(Emplacements!$A$2:$A$1001,A1364)=0,"⚠ emplacement inconnu","OK"))</f>
        <v/>
      </c>
      <c r="K1364" s="22" t="str">
        <f aca="false">IF(AND(B1364&lt;&gt;"",ISNUMBER(SEARCH(Recherche!$C$3,C1364&amp;" "&amp;B1364&amp;" "&amp;A1364&amp;" "&amp;D1364))),MAX($K$1:K1363)+1,"")</f>
        <v/>
      </c>
    </row>
    <row r="1365" customFormat="false" ht="15" hidden="false" customHeight="false" outlineLevel="0" collapsed="false">
      <c r="A1365" s="12"/>
      <c r="B1365" s="12"/>
      <c r="C1365" s="17" t="str">
        <f aca="false">IF(B1365="","",IFERROR(INDEX(Produits!$F$2:$F$1001,MATCH(B1365,Produits!$A$2:$A$1001,0)),"⚠ code article inconnu"))</f>
        <v/>
      </c>
      <c r="D1365" s="12"/>
      <c r="E1365" s="23"/>
      <c r="F1365" s="24"/>
      <c r="G1365" s="23"/>
      <c r="H1365" s="21" t="str">
        <f aca="true">IF(E1365="","",ROUND((E1365-TODAY())/30.4,1))</f>
        <v/>
      </c>
      <c r="I1365" s="17" t="str">
        <f aca="false">IF(E1365="","",IF(H1365&lt;0,IF(LEFT(A1365,1)="Q","Périmé (en quarantaine)","PÉRIMÉ → déplacer en zone Q"),IF(H1365&lt;3,"Péremption &lt; 3 mois",IF(H1365&lt;6,"Péremption &lt; 6 mois",""))))</f>
        <v/>
      </c>
      <c r="J1365" s="17" t="str">
        <f aca="false">IF(A1365="","",IF(COUNTIF(Emplacements!$A$2:$A$1001,A1365)=0,"⚠ emplacement inconnu","OK"))</f>
        <v/>
      </c>
      <c r="K1365" s="22" t="str">
        <f aca="false">IF(AND(B1365&lt;&gt;"",ISNUMBER(SEARCH(Recherche!$C$3,C1365&amp;" "&amp;B1365&amp;" "&amp;A1365&amp;" "&amp;D1365))),MAX($K$1:K1364)+1,"")</f>
        <v/>
      </c>
    </row>
    <row r="1366" customFormat="false" ht="15" hidden="false" customHeight="false" outlineLevel="0" collapsed="false">
      <c r="A1366" s="12"/>
      <c r="B1366" s="12"/>
      <c r="C1366" s="17" t="str">
        <f aca="false">IF(B1366="","",IFERROR(INDEX(Produits!$F$2:$F$1001,MATCH(B1366,Produits!$A$2:$A$1001,0)),"⚠ code article inconnu"))</f>
        <v/>
      </c>
      <c r="D1366" s="12"/>
      <c r="E1366" s="23"/>
      <c r="F1366" s="24"/>
      <c r="G1366" s="23"/>
      <c r="H1366" s="21" t="str">
        <f aca="true">IF(E1366="","",ROUND((E1366-TODAY())/30.4,1))</f>
        <v/>
      </c>
      <c r="I1366" s="17" t="str">
        <f aca="false">IF(E1366="","",IF(H1366&lt;0,IF(LEFT(A1366,1)="Q","Périmé (en quarantaine)","PÉRIMÉ → déplacer en zone Q"),IF(H1366&lt;3,"Péremption &lt; 3 mois",IF(H1366&lt;6,"Péremption &lt; 6 mois",""))))</f>
        <v/>
      </c>
      <c r="J1366" s="17" t="str">
        <f aca="false">IF(A1366="","",IF(COUNTIF(Emplacements!$A$2:$A$1001,A1366)=0,"⚠ emplacement inconnu","OK"))</f>
        <v/>
      </c>
      <c r="K1366" s="22" t="str">
        <f aca="false">IF(AND(B1366&lt;&gt;"",ISNUMBER(SEARCH(Recherche!$C$3,C1366&amp;" "&amp;B1366&amp;" "&amp;A1366&amp;" "&amp;D1366))),MAX($K$1:K1365)+1,"")</f>
        <v/>
      </c>
    </row>
    <row r="1367" customFormat="false" ht="15" hidden="false" customHeight="false" outlineLevel="0" collapsed="false">
      <c r="A1367" s="12"/>
      <c r="B1367" s="12"/>
      <c r="C1367" s="17" t="str">
        <f aca="false">IF(B1367="","",IFERROR(INDEX(Produits!$F$2:$F$1001,MATCH(B1367,Produits!$A$2:$A$1001,0)),"⚠ code article inconnu"))</f>
        <v/>
      </c>
      <c r="D1367" s="12"/>
      <c r="E1367" s="23"/>
      <c r="F1367" s="24"/>
      <c r="G1367" s="23"/>
      <c r="H1367" s="21" t="str">
        <f aca="true">IF(E1367="","",ROUND((E1367-TODAY())/30.4,1))</f>
        <v/>
      </c>
      <c r="I1367" s="17" t="str">
        <f aca="false">IF(E1367="","",IF(H1367&lt;0,IF(LEFT(A1367,1)="Q","Périmé (en quarantaine)","PÉRIMÉ → déplacer en zone Q"),IF(H1367&lt;3,"Péremption &lt; 3 mois",IF(H1367&lt;6,"Péremption &lt; 6 mois",""))))</f>
        <v/>
      </c>
      <c r="J1367" s="17" t="str">
        <f aca="false">IF(A1367="","",IF(COUNTIF(Emplacements!$A$2:$A$1001,A1367)=0,"⚠ emplacement inconnu","OK"))</f>
        <v/>
      </c>
      <c r="K1367" s="22" t="str">
        <f aca="false">IF(AND(B1367&lt;&gt;"",ISNUMBER(SEARCH(Recherche!$C$3,C1367&amp;" "&amp;B1367&amp;" "&amp;A1367&amp;" "&amp;D1367))),MAX($K$1:K1366)+1,"")</f>
        <v/>
      </c>
    </row>
    <row r="1368" customFormat="false" ht="15" hidden="false" customHeight="false" outlineLevel="0" collapsed="false">
      <c r="A1368" s="12"/>
      <c r="B1368" s="12"/>
      <c r="C1368" s="17" t="str">
        <f aca="false">IF(B1368="","",IFERROR(INDEX(Produits!$F$2:$F$1001,MATCH(B1368,Produits!$A$2:$A$1001,0)),"⚠ code article inconnu"))</f>
        <v/>
      </c>
      <c r="D1368" s="12"/>
      <c r="E1368" s="23"/>
      <c r="F1368" s="24"/>
      <c r="G1368" s="23"/>
      <c r="H1368" s="21" t="str">
        <f aca="true">IF(E1368="","",ROUND((E1368-TODAY())/30.4,1))</f>
        <v/>
      </c>
      <c r="I1368" s="17" t="str">
        <f aca="false">IF(E1368="","",IF(H1368&lt;0,IF(LEFT(A1368,1)="Q","Périmé (en quarantaine)","PÉRIMÉ → déplacer en zone Q"),IF(H1368&lt;3,"Péremption &lt; 3 mois",IF(H1368&lt;6,"Péremption &lt; 6 mois",""))))</f>
        <v/>
      </c>
      <c r="J1368" s="17" t="str">
        <f aca="false">IF(A1368="","",IF(COUNTIF(Emplacements!$A$2:$A$1001,A1368)=0,"⚠ emplacement inconnu","OK"))</f>
        <v/>
      </c>
      <c r="K1368" s="22" t="str">
        <f aca="false">IF(AND(B1368&lt;&gt;"",ISNUMBER(SEARCH(Recherche!$C$3,C1368&amp;" "&amp;B1368&amp;" "&amp;A1368&amp;" "&amp;D1368))),MAX($K$1:K1367)+1,"")</f>
        <v/>
      </c>
    </row>
    <row r="1369" customFormat="false" ht="15" hidden="false" customHeight="false" outlineLevel="0" collapsed="false">
      <c r="A1369" s="12"/>
      <c r="B1369" s="12"/>
      <c r="C1369" s="17" t="str">
        <f aca="false">IF(B1369="","",IFERROR(INDEX(Produits!$F$2:$F$1001,MATCH(B1369,Produits!$A$2:$A$1001,0)),"⚠ code article inconnu"))</f>
        <v/>
      </c>
      <c r="D1369" s="12"/>
      <c r="E1369" s="23"/>
      <c r="F1369" s="24"/>
      <c r="G1369" s="23"/>
      <c r="H1369" s="21" t="str">
        <f aca="true">IF(E1369="","",ROUND((E1369-TODAY())/30.4,1))</f>
        <v/>
      </c>
      <c r="I1369" s="17" t="str">
        <f aca="false">IF(E1369="","",IF(H1369&lt;0,IF(LEFT(A1369,1)="Q","Périmé (en quarantaine)","PÉRIMÉ → déplacer en zone Q"),IF(H1369&lt;3,"Péremption &lt; 3 mois",IF(H1369&lt;6,"Péremption &lt; 6 mois",""))))</f>
        <v/>
      </c>
      <c r="J1369" s="17" t="str">
        <f aca="false">IF(A1369="","",IF(COUNTIF(Emplacements!$A$2:$A$1001,A1369)=0,"⚠ emplacement inconnu","OK"))</f>
        <v/>
      </c>
      <c r="K1369" s="22" t="str">
        <f aca="false">IF(AND(B1369&lt;&gt;"",ISNUMBER(SEARCH(Recherche!$C$3,C1369&amp;" "&amp;B1369&amp;" "&amp;A1369&amp;" "&amp;D1369))),MAX($K$1:K1368)+1,"")</f>
        <v/>
      </c>
    </row>
    <row r="1370" customFormat="false" ht="15" hidden="false" customHeight="false" outlineLevel="0" collapsed="false">
      <c r="A1370" s="12"/>
      <c r="B1370" s="12"/>
      <c r="C1370" s="17" t="str">
        <f aca="false">IF(B1370="","",IFERROR(INDEX(Produits!$F$2:$F$1001,MATCH(B1370,Produits!$A$2:$A$1001,0)),"⚠ code article inconnu"))</f>
        <v/>
      </c>
      <c r="D1370" s="12"/>
      <c r="E1370" s="23"/>
      <c r="F1370" s="24"/>
      <c r="G1370" s="23"/>
      <c r="H1370" s="21" t="str">
        <f aca="true">IF(E1370="","",ROUND((E1370-TODAY())/30.4,1))</f>
        <v/>
      </c>
      <c r="I1370" s="17" t="str">
        <f aca="false">IF(E1370="","",IF(H1370&lt;0,IF(LEFT(A1370,1)="Q","Périmé (en quarantaine)","PÉRIMÉ → déplacer en zone Q"),IF(H1370&lt;3,"Péremption &lt; 3 mois",IF(H1370&lt;6,"Péremption &lt; 6 mois",""))))</f>
        <v/>
      </c>
      <c r="J1370" s="17" t="str">
        <f aca="false">IF(A1370="","",IF(COUNTIF(Emplacements!$A$2:$A$1001,A1370)=0,"⚠ emplacement inconnu","OK"))</f>
        <v/>
      </c>
      <c r="K1370" s="22" t="str">
        <f aca="false">IF(AND(B1370&lt;&gt;"",ISNUMBER(SEARCH(Recherche!$C$3,C1370&amp;" "&amp;B1370&amp;" "&amp;A1370&amp;" "&amp;D1370))),MAX($K$1:K1369)+1,"")</f>
        <v/>
      </c>
    </row>
    <row r="1371" customFormat="false" ht="15" hidden="false" customHeight="false" outlineLevel="0" collapsed="false">
      <c r="A1371" s="12"/>
      <c r="B1371" s="12"/>
      <c r="C1371" s="17" t="str">
        <f aca="false">IF(B1371="","",IFERROR(INDEX(Produits!$F$2:$F$1001,MATCH(B1371,Produits!$A$2:$A$1001,0)),"⚠ code article inconnu"))</f>
        <v/>
      </c>
      <c r="D1371" s="12"/>
      <c r="E1371" s="23"/>
      <c r="F1371" s="24"/>
      <c r="G1371" s="23"/>
      <c r="H1371" s="21" t="str">
        <f aca="true">IF(E1371="","",ROUND((E1371-TODAY())/30.4,1))</f>
        <v/>
      </c>
      <c r="I1371" s="17" t="str">
        <f aca="false">IF(E1371="","",IF(H1371&lt;0,IF(LEFT(A1371,1)="Q","Périmé (en quarantaine)","PÉRIMÉ → déplacer en zone Q"),IF(H1371&lt;3,"Péremption &lt; 3 mois",IF(H1371&lt;6,"Péremption &lt; 6 mois",""))))</f>
        <v/>
      </c>
      <c r="J1371" s="17" t="str">
        <f aca="false">IF(A1371="","",IF(COUNTIF(Emplacements!$A$2:$A$1001,A1371)=0,"⚠ emplacement inconnu","OK"))</f>
        <v/>
      </c>
      <c r="K1371" s="22" t="str">
        <f aca="false">IF(AND(B1371&lt;&gt;"",ISNUMBER(SEARCH(Recherche!$C$3,C1371&amp;" "&amp;B1371&amp;" "&amp;A1371&amp;" "&amp;D1371))),MAX($K$1:K1370)+1,"")</f>
        <v/>
      </c>
    </row>
    <row r="1372" customFormat="false" ht="15" hidden="false" customHeight="false" outlineLevel="0" collapsed="false">
      <c r="A1372" s="12"/>
      <c r="B1372" s="12"/>
      <c r="C1372" s="17" t="str">
        <f aca="false">IF(B1372="","",IFERROR(INDEX(Produits!$F$2:$F$1001,MATCH(B1372,Produits!$A$2:$A$1001,0)),"⚠ code article inconnu"))</f>
        <v/>
      </c>
      <c r="D1372" s="12"/>
      <c r="E1372" s="23"/>
      <c r="F1372" s="24"/>
      <c r="G1372" s="23"/>
      <c r="H1372" s="21" t="str">
        <f aca="true">IF(E1372="","",ROUND((E1372-TODAY())/30.4,1))</f>
        <v/>
      </c>
      <c r="I1372" s="17" t="str">
        <f aca="false">IF(E1372="","",IF(H1372&lt;0,IF(LEFT(A1372,1)="Q","Périmé (en quarantaine)","PÉRIMÉ → déplacer en zone Q"),IF(H1372&lt;3,"Péremption &lt; 3 mois",IF(H1372&lt;6,"Péremption &lt; 6 mois",""))))</f>
        <v/>
      </c>
      <c r="J1372" s="17" t="str">
        <f aca="false">IF(A1372="","",IF(COUNTIF(Emplacements!$A$2:$A$1001,A1372)=0,"⚠ emplacement inconnu","OK"))</f>
        <v/>
      </c>
      <c r="K1372" s="22" t="str">
        <f aca="false">IF(AND(B1372&lt;&gt;"",ISNUMBER(SEARCH(Recherche!$C$3,C1372&amp;" "&amp;B1372&amp;" "&amp;A1372&amp;" "&amp;D1372))),MAX($K$1:K1371)+1,"")</f>
        <v/>
      </c>
    </row>
    <row r="1373" customFormat="false" ht="15" hidden="false" customHeight="false" outlineLevel="0" collapsed="false">
      <c r="A1373" s="12"/>
      <c r="B1373" s="12"/>
      <c r="C1373" s="17" t="str">
        <f aca="false">IF(B1373="","",IFERROR(INDEX(Produits!$F$2:$F$1001,MATCH(B1373,Produits!$A$2:$A$1001,0)),"⚠ code article inconnu"))</f>
        <v/>
      </c>
      <c r="D1373" s="12"/>
      <c r="E1373" s="23"/>
      <c r="F1373" s="24"/>
      <c r="G1373" s="23"/>
      <c r="H1373" s="21" t="str">
        <f aca="true">IF(E1373="","",ROUND((E1373-TODAY())/30.4,1))</f>
        <v/>
      </c>
      <c r="I1373" s="17" t="str">
        <f aca="false">IF(E1373="","",IF(H1373&lt;0,IF(LEFT(A1373,1)="Q","Périmé (en quarantaine)","PÉRIMÉ → déplacer en zone Q"),IF(H1373&lt;3,"Péremption &lt; 3 mois",IF(H1373&lt;6,"Péremption &lt; 6 mois",""))))</f>
        <v/>
      </c>
      <c r="J1373" s="17" t="str">
        <f aca="false">IF(A1373="","",IF(COUNTIF(Emplacements!$A$2:$A$1001,A1373)=0,"⚠ emplacement inconnu","OK"))</f>
        <v/>
      </c>
      <c r="K1373" s="22" t="str">
        <f aca="false">IF(AND(B1373&lt;&gt;"",ISNUMBER(SEARCH(Recherche!$C$3,C1373&amp;" "&amp;B1373&amp;" "&amp;A1373&amp;" "&amp;D1373))),MAX($K$1:K1372)+1,"")</f>
        <v/>
      </c>
    </row>
    <row r="1374" customFormat="false" ht="15" hidden="false" customHeight="false" outlineLevel="0" collapsed="false">
      <c r="A1374" s="12"/>
      <c r="B1374" s="12"/>
      <c r="C1374" s="17" t="str">
        <f aca="false">IF(B1374="","",IFERROR(INDEX(Produits!$F$2:$F$1001,MATCH(B1374,Produits!$A$2:$A$1001,0)),"⚠ code article inconnu"))</f>
        <v/>
      </c>
      <c r="D1374" s="12"/>
      <c r="E1374" s="23"/>
      <c r="F1374" s="24"/>
      <c r="G1374" s="23"/>
      <c r="H1374" s="21" t="str">
        <f aca="true">IF(E1374="","",ROUND((E1374-TODAY())/30.4,1))</f>
        <v/>
      </c>
      <c r="I1374" s="17" t="str">
        <f aca="false">IF(E1374="","",IF(H1374&lt;0,IF(LEFT(A1374,1)="Q","Périmé (en quarantaine)","PÉRIMÉ → déplacer en zone Q"),IF(H1374&lt;3,"Péremption &lt; 3 mois",IF(H1374&lt;6,"Péremption &lt; 6 mois",""))))</f>
        <v/>
      </c>
      <c r="J1374" s="17" t="str">
        <f aca="false">IF(A1374="","",IF(COUNTIF(Emplacements!$A$2:$A$1001,A1374)=0,"⚠ emplacement inconnu","OK"))</f>
        <v/>
      </c>
      <c r="K1374" s="22" t="str">
        <f aca="false">IF(AND(B1374&lt;&gt;"",ISNUMBER(SEARCH(Recherche!$C$3,C1374&amp;" "&amp;B1374&amp;" "&amp;A1374&amp;" "&amp;D1374))),MAX($K$1:K1373)+1,"")</f>
        <v/>
      </c>
    </row>
    <row r="1375" customFormat="false" ht="15" hidden="false" customHeight="false" outlineLevel="0" collapsed="false">
      <c r="A1375" s="12"/>
      <c r="B1375" s="12"/>
      <c r="C1375" s="17" t="str">
        <f aca="false">IF(B1375="","",IFERROR(INDEX(Produits!$F$2:$F$1001,MATCH(B1375,Produits!$A$2:$A$1001,0)),"⚠ code article inconnu"))</f>
        <v/>
      </c>
      <c r="D1375" s="12"/>
      <c r="E1375" s="23"/>
      <c r="F1375" s="24"/>
      <c r="G1375" s="23"/>
      <c r="H1375" s="21" t="str">
        <f aca="true">IF(E1375="","",ROUND((E1375-TODAY())/30.4,1))</f>
        <v/>
      </c>
      <c r="I1375" s="17" t="str">
        <f aca="false">IF(E1375="","",IF(H1375&lt;0,IF(LEFT(A1375,1)="Q","Périmé (en quarantaine)","PÉRIMÉ → déplacer en zone Q"),IF(H1375&lt;3,"Péremption &lt; 3 mois",IF(H1375&lt;6,"Péremption &lt; 6 mois",""))))</f>
        <v/>
      </c>
      <c r="J1375" s="17" t="str">
        <f aca="false">IF(A1375="","",IF(COUNTIF(Emplacements!$A$2:$A$1001,A1375)=0,"⚠ emplacement inconnu","OK"))</f>
        <v/>
      </c>
      <c r="K1375" s="22" t="str">
        <f aca="false">IF(AND(B1375&lt;&gt;"",ISNUMBER(SEARCH(Recherche!$C$3,C1375&amp;" "&amp;B1375&amp;" "&amp;A1375&amp;" "&amp;D1375))),MAX($K$1:K1374)+1,"")</f>
        <v/>
      </c>
    </row>
    <row r="1376" customFormat="false" ht="15" hidden="false" customHeight="false" outlineLevel="0" collapsed="false">
      <c r="A1376" s="12"/>
      <c r="B1376" s="12"/>
      <c r="C1376" s="17" t="str">
        <f aca="false">IF(B1376="","",IFERROR(INDEX(Produits!$F$2:$F$1001,MATCH(B1376,Produits!$A$2:$A$1001,0)),"⚠ code article inconnu"))</f>
        <v/>
      </c>
      <c r="D1376" s="12"/>
      <c r="E1376" s="23"/>
      <c r="F1376" s="24"/>
      <c r="G1376" s="23"/>
      <c r="H1376" s="21" t="str">
        <f aca="true">IF(E1376="","",ROUND((E1376-TODAY())/30.4,1))</f>
        <v/>
      </c>
      <c r="I1376" s="17" t="str">
        <f aca="false">IF(E1376="","",IF(H1376&lt;0,IF(LEFT(A1376,1)="Q","Périmé (en quarantaine)","PÉRIMÉ → déplacer en zone Q"),IF(H1376&lt;3,"Péremption &lt; 3 mois",IF(H1376&lt;6,"Péremption &lt; 6 mois",""))))</f>
        <v/>
      </c>
      <c r="J1376" s="17" t="str">
        <f aca="false">IF(A1376="","",IF(COUNTIF(Emplacements!$A$2:$A$1001,A1376)=0,"⚠ emplacement inconnu","OK"))</f>
        <v/>
      </c>
      <c r="K1376" s="22" t="str">
        <f aca="false">IF(AND(B1376&lt;&gt;"",ISNUMBER(SEARCH(Recherche!$C$3,C1376&amp;" "&amp;B1376&amp;" "&amp;A1376&amp;" "&amp;D1376))),MAX($K$1:K1375)+1,"")</f>
        <v/>
      </c>
    </row>
    <row r="1377" customFormat="false" ht="15" hidden="false" customHeight="false" outlineLevel="0" collapsed="false">
      <c r="A1377" s="12"/>
      <c r="B1377" s="12"/>
      <c r="C1377" s="17" t="str">
        <f aca="false">IF(B1377="","",IFERROR(INDEX(Produits!$F$2:$F$1001,MATCH(B1377,Produits!$A$2:$A$1001,0)),"⚠ code article inconnu"))</f>
        <v/>
      </c>
      <c r="D1377" s="12"/>
      <c r="E1377" s="23"/>
      <c r="F1377" s="24"/>
      <c r="G1377" s="23"/>
      <c r="H1377" s="21" t="str">
        <f aca="true">IF(E1377="","",ROUND((E1377-TODAY())/30.4,1))</f>
        <v/>
      </c>
      <c r="I1377" s="17" t="str">
        <f aca="false">IF(E1377="","",IF(H1377&lt;0,IF(LEFT(A1377,1)="Q","Périmé (en quarantaine)","PÉRIMÉ → déplacer en zone Q"),IF(H1377&lt;3,"Péremption &lt; 3 mois",IF(H1377&lt;6,"Péremption &lt; 6 mois",""))))</f>
        <v/>
      </c>
      <c r="J1377" s="17" t="str">
        <f aca="false">IF(A1377="","",IF(COUNTIF(Emplacements!$A$2:$A$1001,A1377)=0,"⚠ emplacement inconnu","OK"))</f>
        <v/>
      </c>
      <c r="K1377" s="22" t="str">
        <f aca="false">IF(AND(B1377&lt;&gt;"",ISNUMBER(SEARCH(Recherche!$C$3,C1377&amp;" "&amp;B1377&amp;" "&amp;A1377&amp;" "&amp;D1377))),MAX($K$1:K1376)+1,"")</f>
        <v/>
      </c>
    </row>
    <row r="1378" customFormat="false" ht="15" hidden="false" customHeight="false" outlineLevel="0" collapsed="false">
      <c r="A1378" s="12"/>
      <c r="B1378" s="12"/>
      <c r="C1378" s="17" t="str">
        <f aca="false">IF(B1378="","",IFERROR(INDEX(Produits!$F$2:$F$1001,MATCH(B1378,Produits!$A$2:$A$1001,0)),"⚠ code article inconnu"))</f>
        <v/>
      </c>
      <c r="D1378" s="12"/>
      <c r="E1378" s="23"/>
      <c r="F1378" s="24"/>
      <c r="G1378" s="23"/>
      <c r="H1378" s="21" t="str">
        <f aca="true">IF(E1378="","",ROUND((E1378-TODAY())/30.4,1))</f>
        <v/>
      </c>
      <c r="I1378" s="17" t="str">
        <f aca="false">IF(E1378="","",IF(H1378&lt;0,IF(LEFT(A1378,1)="Q","Périmé (en quarantaine)","PÉRIMÉ → déplacer en zone Q"),IF(H1378&lt;3,"Péremption &lt; 3 mois",IF(H1378&lt;6,"Péremption &lt; 6 mois",""))))</f>
        <v/>
      </c>
      <c r="J1378" s="17" t="str">
        <f aca="false">IF(A1378="","",IF(COUNTIF(Emplacements!$A$2:$A$1001,A1378)=0,"⚠ emplacement inconnu","OK"))</f>
        <v/>
      </c>
      <c r="K1378" s="22" t="str">
        <f aca="false">IF(AND(B1378&lt;&gt;"",ISNUMBER(SEARCH(Recherche!$C$3,C1378&amp;" "&amp;B1378&amp;" "&amp;A1378&amp;" "&amp;D1378))),MAX($K$1:K1377)+1,"")</f>
        <v/>
      </c>
    </row>
    <row r="1379" customFormat="false" ht="15" hidden="false" customHeight="false" outlineLevel="0" collapsed="false">
      <c r="A1379" s="12"/>
      <c r="B1379" s="12"/>
      <c r="C1379" s="17" t="str">
        <f aca="false">IF(B1379="","",IFERROR(INDEX(Produits!$F$2:$F$1001,MATCH(B1379,Produits!$A$2:$A$1001,0)),"⚠ code article inconnu"))</f>
        <v/>
      </c>
      <c r="D1379" s="12"/>
      <c r="E1379" s="23"/>
      <c r="F1379" s="24"/>
      <c r="G1379" s="23"/>
      <c r="H1379" s="21" t="str">
        <f aca="true">IF(E1379="","",ROUND((E1379-TODAY())/30.4,1))</f>
        <v/>
      </c>
      <c r="I1379" s="17" t="str">
        <f aca="false">IF(E1379="","",IF(H1379&lt;0,IF(LEFT(A1379,1)="Q","Périmé (en quarantaine)","PÉRIMÉ → déplacer en zone Q"),IF(H1379&lt;3,"Péremption &lt; 3 mois",IF(H1379&lt;6,"Péremption &lt; 6 mois",""))))</f>
        <v/>
      </c>
      <c r="J1379" s="17" t="str">
        <f aca="false">IF(A1379="","",IF(COUNTIF(Emplacements!$A$2:$A$1001,A1379)=0,"⚠ emplacement inconnu","OK"))</f>
        <v/>
      </c>
      <c r="K1379" s="22" t="str">
        <f aca="false">IF(AND(B1379&lt;&gt;"",ISNUMBER(SEARCH(Recherche!$C$3,C1379&amp;" "&amp;B1379&amp;" "&amp;A1379&amp;" "&amp;D1379))),MAX($K$1:K1378)+1,"")</f>
        <v/>
      </c>
    </row>
    <row r="1380" customFormat="false" ht="15" hidden="false" customHeight="false" outlineLevel="0" collapsed="false">
      <c r="A1380" s="12"/>
      <c r="B1380" s="12"/>
      <c r="C1380" s="17" t="str">
        <f aca="false">IF(B1380="","",IFERROR(INDEX(Produits!$F$2:$F$1001,MATCH(B1380,Produits!$A$2:$A$1001,0)),"⚠ code article inconnu"))</f>
        <v/>
      </c>
      <c r="D1380" s="12"/>
      <c r="E1380" s="23"/>
      <c r="F1380" s="24"/>
      <c r="G1380" s="23"/>
      <c r="H1380" s="21" t="str">
        <f aca="true">IF(E1380="","",ROUND((E1380-TODAY())/30.4,1))</f>
        <v/>
      </c>
      <c r="I1380" s="17" t="str">
        <f aca="false">IF(E1380="","",IF(H1380&lt;0,IF(LEFT(A1380,1)="Q","Périmé (en quarantaine)","PÉRIMÉ → déplacer en zone Q"),IF(H1380&lt;3,"Péremption &lt; 3 mois",IF(H1380&lt;6,"Péremption &lt; 6 mois",""))))</f>
        <v/>
      </c>
      <c r="J1380" s="17" t="str">
        <f aca="false">IF(A1380="","",IF(COUNTIF(Emplacements!$A$2:$A$1001,A1380)=0,"⚠ emplacement inconnu","OK"))</f>
        <v/>
      </c>
      <c r="K1380" s="22" t="str">
        <f aca="false">IF(AND(B1380&lt;&gt;"",ISNUMBER(SEARCH(Recherche!$C$3,C1380&amp;" "&amp;B1380&amp;" "&amp;A1380&amp;" "&amp;D1380))),MAX($K$1:K1379)+1,"")</f>
        <v/>
      </c>
    </row>
    <row r="1381" customFormat="false" ht="15" hidden="false" customHeight="false" outlineLevel="0" collapsed="false">
      <c r="A1381" s="12"/>
      <c r="B1381" s="12"/>
      <c r="C1381" s="17" t="str">
        <f aca="false">IF(B1381="","",IFERROR(INDEX(Produits!$F$2:$F$1001,MATCH(B1381,Produits!$A$2:$A$1001,0)),"⚠ code article inconnu"))</f>
        <v/>
      </c>
      <c r="D1381" s="12"/>
      <c r="E1381" s="23"/>
      <c r="F1381" s="24"/>
      <c r="G1381" s="23"/>
      <c r="H1381" s="21" t="str">
        <f aca="true">IF(E1381="","",ROUND((E1381-TODAY())/30.4,1))</f>
        <v/>
      </c>
      <c r="I1381" s="17" t="str">
        <f aca="false">IF(E1381="","",IF(H1381&lt;0,IF(LEFT(A1381,1)="Q","Périmé (en quarantaine)","PÉRIMÉ → déplacer en zone Q"),IF(H1381&lt;3,"Péremption &lt; 3 mois",IF(H1381&lt;6,"Péremption &lt; 6 mois",""))))</f>
        <v/>
      </c>
      <c r="J1381" s="17" t="str">
        <f aca="false">IF(A1381="","",IF(COUNTIF(Emplacements!$A$2:$A$1001,A1381)=0,"⚠ emplacement inconnu","OK"))</f>
        <v/>
      </c>
      <c r="K1381" s="22" t="str">
        <f aca="false">IF(AND(B1381&lt;&gt;"",ISNUMBER(SEARCH(Recherche!$C$3,C1381&amp;" "&amp;B1381&amp;" "&amp;A1381&amp;" "&amp;D1381))),MAX($K$1:K1380)+1,"")</f>
        <v/>
      </c>
    </row>
    <row r="1382" customFormat="false" ht="15" hidden="false" customHeight="false" outlineLevel="0" collapsed="false">
      <c r="A1382" s="12"/>
      <c r="B1382" s="12"/>
      <c r="C1382" s="17" t="str">
        <f aca="false">IF(B1382="","",IFERROR(INDEX(Produits!$F$2:$F$1001,MATCH(B1382,Produits!$A$2:$A$1001,0)),"⚠ code article inconnu"))</f>
        <v/>
      </c>
      <c r="D1382" s="12"/>
      <c r="E1382" s="23"/>
      <c r="F1382" s="24"/>
      <c r="G1382" s="23"/>
      <c r="H1382" s="21" t="str">
        <f aca="true">IF(E1382="","",ROUND((E1382-TODAY())/30.4,1))</f>
        <v/>
      </c>
      <c r="I1382" s="17" t="str">
        <f aca="false">IF(E1382="","",IF(H1382&lt;0,IF(LEFT(A1382,1)="Q","Périmé (en quarantaine)","PÉRIMÉ → déplacer en zone Q"),IF(H1382&lt;3,"Péremption &lt; 3 mois",IF(H1382&lt;6,"Péremption &lt; 6 mois",""))))</f>
        <v/>
      </c>
      <c r="J1382" s="17" t="str">
        <f aca="false">IF(A1382="","",IF(COUNTIF(Emplacements!$A$2:$A$1001,A1382)=0,"⚠ emplacement inconnu","OK"))</f>
        <v/>
      </c>
      <c r="K1382" s="22" t="str">
        <f aca="false">IF(AND(B1382&lt;&gt;"",ISNUMBER(SEARCH(Recherche!$C$3,C1382&amp;" "&amp;B1382&amp;" "&amp;A1382&amp;" "&amp;D1382))),MAX($K$1:K1381)+1,"")</f>
        <v/>
      </c>
    </row>
    <row r="1383" customFormat="false" ht="15" hidden="false" customHeight="false" outlineLevel="0" collapsed="false">
      <c r="A1383" s="12"/>
      <c r="B1383" s="12"/>
      <c r="C1383" s="17" t="str">
        <f aca="false">IF(B1383="","",IFERROR(INDEX(Produits!$F$2:$F$1001,MATCH(B1383,Produits!$A$2:$A$1001,0)),"⚠ code article inconnu"))</f>
        <v/>
      </c>
      <c r="D1383" s="12"/>
      <c r="E1383" s="23"/>
      <c r="F1383" s="24"/>
      <c r="G1383" s="23"/>
      <c r="H1383" s="21" t="str">
        <f aca="true">IF(E1383="","",ROUND((E1383-TODAY())/30.4,1))</f>
        <v/>
      </c>
      <c r="I1383" s="17" t="str">
        <f aca="false">IF(E1383="","",IF(H1383&lt;0,IF(LEFT(A1383,1)="Q","Périmé (en quarantaine)","PÉRIMÉ → déplacer en zone Q"),IF(H1383&lt;3,"Péremption &lt; 3 mois",IF(H1383&lt;6,"Péremption &lt; 6 mois",""))))</f>
        <v/>
      </c>
      <c r="J1383" s="17" t="str">
        <f aca="false">IF(A1383="","",IF(COUNTIF(Emplacements!$A$2:$A$1001,A1383)=0,"⚠ emplacement inconnu","OK"))</f>
        <v/>
      </c>
      <c r="K1383" s="22" t="str">
        <f aca="false">IF(AND(B1383&lt;&gt;"",ISNUMBER(SEARCH(Recherche!$C$3,C1383&amp;" "&amp;B1383&amp;" "&amp;A1383&amp;" "&amp;D1383))),MAX($K$1:K1382)+1,"")</f>
        <v/>
      </c>
    </row>
    <row r="1384" customFormat="false" ht="15" hidden="false" customHeight="false" outlineLevel="0" collapsed="false">
      <c r="A1384" s="12"/>
      <c r="B1384" s="12"/>
      <c r="C1384" s="17" t="str">
        <f aca="false">IF(B1384="","",IFERROR(INDEX(Produits!$F$2:$F$1001,MATCH(B1384,Produits!$A$2:$A$1001,0)),"⚠ code article inconnu"))</f>
        <v/>
      </c>
      <c r="D1384" s="12"/>
      <c r="E1384" s="23"/>
      <c r="F1384" s="24"/>
      <c r="G1384" s="23"/>
      <c r="H1384" s="21" t="str">
        <f aca="true">IF(E1384="","",ROUND((E1384-TODAY())/30.4,1))</f>
        <v/>
      </c>
      <c r="I1384" s="17" t="str">
        <f aca="false">IF(E1384="","",IF(H1384&lt;0,IF(LEFT(A1384,1)="Q","Périmé (en quarantaine)","PÉRIMÉ → déplacer en zone Q"),IF(H1384&lt;3,"Péremption &lt; 3 mois",IF(H1384&lt;6,"Péremption &lt; 6 mois",""))))</f>
        <v/>
      </c>
      <c r="J1384" s="17" t="str">
        <f aca="false">IF(A1384="","",IF(COUNTIF(Emplacements!$A$2:$A$1001,A1384)=0,"⚠ emplacement inconnu","OK"))</f>
        <v/>
      </c>
      <c r="K1384" s="22" t="str">
        <f aca="false">IF(AND(B1384&lt;&gt;"",ISNUMBER(SEARCH(Recherche!$C$3,C1384&amp;" "&amp;B1384&amp;" "&amp;A1384&amp;" "&amp;D1384))),MAX($K$1:K1383)+1,"")</f>
        <v/>
      </c>
    </row>
    <row r="1385" customFormat="false" ht="15" hidden="false" customHeight="false" outlineLevel="0" collapsed="false">
      <c r="A1385" s="12"/>
      <c r="B1385" s="12"/>
      <c r="C1385" s="17" t="str">
        <f aca="false">IF(B1385="","",IFERROR(INDEX(Produits!$F$2:$F$1001,MATCH(B1385,Produits!$A$2:$A$1001,0)),"⚠ code article inconnu"))</f>
        <v/>
      </c>
      <c r="D1385" s="12"/>
      <c r="E1385" s="23"/>
      <c r="F1385" s="24"/>
      <c r="G1385" s="23"/>
      <c r="H1385" s="21" t="str">
        <f aca="true">IF(E1385="","",ROUND((E1385-TODAY())/30.4,1))</f>
        <v/>
      </c>
      <c r="I1385" s="17" t="str">
        <f aca="false">IF(E1385="","",IF(H1385&lt;0,IF(LEFT(A1385,1)="Q","Périmé (en quarantaine)","PÉRIMÉ → déplacer en zone Q"),IF(H1385&lt;3,"Péremption &lt; 3 mois",IF(H1385&lt;6,"Péremption &lt; 6 mois",""))))</f>
        <v/>
      </c>
      <c r="J1385" s="17" t="str">
        <f aca="false">IF(A1385="","",IF(COUNTIF(Emplacements!$A$2:$A$1001,A1385)=0,"⚠ emplacement inconnu","OK"))</f>
        <v/>
      </c>
      <c r="K1385" s="22" t="str">
        <f aca="false">IF(AND(B1385&lt;&gt;"",ISNUMBER(SEARCH(Recherche!$C$3,C1385&amp;" "&amp;B1385&amp;" "&amp;A1385&amp;" "&amp;D1385))),MAX($K$1:K1384)+1,"")</f>
        <v/>
      </c>
    </row>
    <row r="1386" customFormat="false" ht="15" hidden="false" customHeight="false" outlineLevel="0" collapsed="false">
      <c r="A1386" s="12"/>
      <c r="B1386" s="12"/>
      <c r="C1386" s="17" t="str">
        <f aca="false">IF(B1386="","",IFERROR(INDEX(Produits!$F$2:$F$1001,MATCH(B1386,Produits!$A$2:$A$1001,0)),"⚠ code article inconnu"))</f>
        <v/>
      </c>
      <c r="D1386" s="12"/>
      <c r="E1386" s="23"/>
      <c r="F1386" s="24"/>
      <c r="G1386" s="23"/>
      <c r="H1386" s="21" t="str">
        <f aca="true">IF(E1386="","",ROUND((E1386-TODAY())/30.4,1))</f>
        <v/>
      </c>
      <c r="I1386" s="17" t="str">
        <f aca="false">IF(E1386="","",IF(H1386&lt;0,IF(LEFT(A1386,1)="Q","Périmé (en quarantaine)","PÉRIMÉ → déplacer en zone Q"),IF(H1386&lt;3,"Péremption &lt; 3 mois",IF(H1386&lt;6,"Péremption &lt; 6 mois",""))))</f>
        <v/>
      </c>
      <c r="J1386" s="17" t="str">
        <f aca="false">IF(A1386="","",IF(COUNTIF(Emplacements!$A$2:$A$1001,A1386)=0,"⚠ emplacement inconnu","OK"))</f>
        <v/>
      </c>
      <c r="K1386" s="22" t="str">
        <f aca="false">IF(AND(B1386&lt;&gt;"",ISNUMBER(SEARCH(Recherche!$C$3,C1386&amp;" "&amp;B1386&amp;" "&amp;A1386&amp;" "&amp;D1386))),MAX($K$1:K1385)+1,"")</f>
        <v/>
      </c>
    </row>
    <row r="1387" customFormat="false" ht="15" hidden="false" customHeight="false" outlineLevel="0" collapsed="false">
      <c r="A1387" s="12"/>
      <c r="B1387" s="12"/>
      <c r="C1387" s="17" t="str">
        <f aca="false">IF(B1387="","",IFERROR(INDEX(Produits!$F$2:$F$1001,MATCH(B1387,Produits!$A$2:$A$1001,0)),"⚠ code article inconnu"))</f>
        <v/>
      </c>
      <c r="D1387" s="12"/>
      <c r="E1387" s="23"/>
      <c r="F1387" s="24"/>
      <c r="G1387" s="23"/>
      <c r="H1387" s="21" t="str">
        <f aca="true">IF(E1387="","",ROUND((E1387-TODAY())/30.4,1))</f>
        <v/>
      </c>
      <c r="I1387" s="17" t="str">
        <f aca="false">IF(E1387="","",IF(H1387&lt;0,IF(LEFT(A1387,1)="Q","Périmé (en quarantaine)","PÉRIMÉ → déplacer en zone Q"),IF(H1387&lt;3,"Péremption &lt; 3 mois",IF(H1387&lt;6,"Péremption &lt; 6 mois",""))))</f>
        <v/>
      </c>
      <c r="J1387" s="17" t="str">
        <f aca="false">IF(A1387="","",IF(COUNTIF(Emplacements!$A$2:$A$1001,A1387)=0,"⚠ emplacement inconnu","OK"))</f>
        <v/>
      </c>
      <c r="K1387" s="22" t="str">
        <f aca="false">IF(AND(B1387&lt;&gt;"",ISNUMBER(SEARCH(Recherche!$C$3,C1387&amp;" "&amp;B1387&amp;" "&amp;A1387&amp;" "&amp;D1387))),MAX($K$1:K1386)+1,"")</f>
        <v/>
      </c>
    </row>
    <row r="1388" customFormat="false" ht="15" hidden="false" customHeight="false" outlineLevel="0" collapsed="false">
      <c r="A1388" s="12"/>
      <c r="B1388" s="12"/>
      <c r="C1388" s="17" t="str">
        <f aca="false">IF(B1388="","",IFERROR(INDEX(Produits!$F$2:$F$1001,MATCH(B1388,Produits!$A$2:$A$1001,0)),"⚠ code article inconnu"))</f>
        <v/>
      </c>
      <c r="D1388" s="12"/>
      <c r="E1388" s="23"/>
      <c r="F1388" s="24"/>
      <c r="G1388" s="23"/>
      <c r="H1388" s="21" t="str">
        <f aca="true">IF(E1388="","",ROUND((E1388-TODAY())/30.4,1))</f>
        <v/>
      </c>
      <c r="I1388" s="17" t="str">
        <f aca="false">IF(E1388="","",IF(H1388&lt;0,IF(LEFT(A1388,1)="Q","Périmé (en quarantaine)","PÉRIMÉ → déplacer en zone Q"),IF(H1388&lt;3,"Péremption &lt; 3 mois",IF(H1388&lt;6,"Péremption &lt; 6 mois",""))))</f>
        <v/>
      </c>
      <c r="J1388" s="17" t="str">
        <f aca="false">IF(A1388="","",IF(COUNTIF(Emplacements!$A$2:$A$1001,A1388)=0,"⚠ emplacement inconnu","OK"))</f>
        <v/>
      </c>
      <c r="K1388" s="22" t="str">
        <f aca="false">IF(AND(B1388&lt;&gt;"",ISNUMBER(SEARCH(Recherche!$C$3,C1388&amp;" "&amp;B1388&amp;" "&amp;A1388&amp;" "&amp;D1388))),MAX($K$1:K1387)+1,"")</f>
        <v/>
      </c>
    </row>
    <row r="1389" customFormat="false" ht="15" hidden="false" customHeight="false" outlineLevel="0" collapsed="false">
      <c r="A1389" s="12"/>
      <c r="B1389" s="12"/>
      <c r="C1389" s="17" t="str">
        <f aca="false">IF(B1389="","",IFERROR(INDEX(Produits!$F$2:$F$1001,MATCH(B1389,Produits!$A$2:$A$1001,0)),"⚠ code article inconnu"))</f>
        <v/>
      </c>
      <c r="D1389" s="12"/>
      <c r="E1389" s="23"/>
      <c r="F1389" s="24"/>
      <c r="G1389" s="23"/>
      <c r="H1389" s="21" t="str">
        <f aca="true">IF(E1389="","",ROUND((E1389-TODAY())/30.4,1))</f>
        <v/>
      </c>
      <c r="I1389" s="17" t="str">
        <f aca="false">IF(E1389="","",IF(H1389&lt;0,IF(LEFT(A1389,1)="Q","Périmé (en quarantaine)","PÉRIMÉ → déplacer en zone Q"),IF(H1389&lt;3,"Péremption &lt; 3 mois",IF(H1389&lt;6,"Péremption &lt; 6 mois",""))))</f>
        <v/>
      </c>
      <c r="J1389" s="17" t="str">
        <f aca="false">IF(A1389="","",IF(COUNTIF(Emplacements!$A$2:$A$1001,A1389)=0,"⚠ emplacement inconnu","OK"))</f>
        <v/>
      </c>
      <c r="K1389" s="22" t="str">
        <f aca="false">IF(AND(B1389&lt;&gt;"",ISNUMBER(SEARCH(Recherche!$C$3,C1389&amp;" "&amp;B1389&amp;" "&amp;A1389&amp;" "&amp;D1389))),MAX($K$1:K1388)+1,"")</f>
        <v/>
      </c>
    </row>
    <row r="1390" customFormat="false" ht="15" hidden="false" customHeight="false" outlineLevel="0" collapsed="false">
      <c r="A1390" s="12"/>
      <c r="B1390" s="12"/>
      <c r="C1390" s="17" t="str">
        <f aca="false">IF(B1390="","",IFERROR(INDEX(Produits!$F$2:$F$1001,MATCH(B1390,Produits!$A$2:$A$1001,0)),"⚠ code article inconnu"))</f>
        <v/>
      </c>
      <c r="D1390" s="12"/>
      <c r="E1390" s="23"/>
      <c r="F1390" s="24"/>
      <c r="G1390" s="23"/>
      <c r="H1390" s="21" t="str">
        <f aca="true">IF(E1390="","",ROUND((E1390-TODAY())/30.4,1))</f>
        <v/>
      </c>
      <c r="I1390" s="17" t="str">
        <f aca="false">IF(E1390="","",IF(H1390&lt;0,IF(LEFT(A1390,1)="Q","Périmé (en quarantaine)","PÉRIMÉ → déplacer en zone Q"),IF(H1390&lt;3,"Péremption &lt; 3 mois",IF(H1390&lt;6,"Péremption &lt; 6 mois",""))))</f>
        <v/>
      </c>
      <c r="J1390" s="17" t="str">
        <f aca="false">IF(A1390="","",IF(COUNTIF(Emplacements!$A$2:$A$1001,A1390)=0,"⚠ emplacement inconnu","OK"))</f>
        <v/>
      </c>
      <c r="K1390" s="22" t="str">
        <f aca="false">IF(AND(B1390&lt;&gt;"",ISNUMBER(SEARCH(Recherche!$C$3,C1390&amp;" "&amp;B1390&amp;" "&amp;A1390&amp;" "&amp;D1390))),MAX($K$1:K1389)+1,"")</f>
        <v/>
      </c>
    </row>
    <row r="1391" customFormat="false" ht="15" hidden="false" customHeight="false" outlineLevel="0" collapsed="false">
      <c r="A1391" s="12"/>
      <c r="B1391" s="12"/>
      <c r="C1391" s="17" t="str">
        <f aca="false">IF(B1391="","",IFERROR(INDEX(Produits!$F$2:$F$1001,MATCH(B1391,Produits!$A$2:$A$1001,0)),"⚠ code article inconnu"))</f>
        <v/>
      </c>
      <c r="D1391" s="12"/>
      <c r="E1391" s="23"/>
      <c r="F1391" s="24"/>
      <c r="G1391" s="23"/>
      <c r="H1391" s="21" t="str">
        <f aca="true">IF(E1391="","",ROUND((E1391-TODAY())/30.4,1))</f>
        <v/>
      </c>
      <c r="I1391" s="17" t="str">
        <f aca="false">IF(E1391="","",IF(H1391&lt;0,IF(LEFT(A1391,1)="Q","Périmé (en quarantaine)","PÉRIMÉ → déplacer en zone Q"),IF(H1391&lt;3,"Péremption &lt; 3 mois",IF(H1391&lt;6,"Péremption &lt; 6 mois",""))))</f>
        <v/>
      </c>
      <c r="J1391" s="17" t="str">
        <f aca="false">IF(A1391="","",IF(COUNTIF(Emplacements!$A$2:$A$1001,A1391)=0,"⚠ emplacement inconnu","OK"))</f>
        <v/>
      </c>
      <c r="K1391" s="22" t="str">
        <f aca="false">IF(AND(B1391&lt;&gt;"",ISNUMBER(SEARCH(Recherche!$C$3,C1391&amp;" "&amp;B1391&amp;" "&amp;A1391&amp;" "&amp;D1391))),MAX($K$1:K1390)+1,"")</f>
        <v/>
      </c>
    </row>
    <row r="1392" customFormat="false" ht="15" hidden="false" customHeight="false" outlineLevel="0" collapsed="false">
      <c r="A1392" s="12"/>
      <c r="B1392" s="12"/>
      <c r="C1392" s="17" t="str">
        <f aca="false">IF(B1392="","",IFERROR(INDEX(Produits!$F$2:$F$1001,MATCH(B1392,Produits!$A$2:$A$1001,0)),"⚠ code article inconnu"))</f>
        <v/>
      </c>
      <c r="D1392" s="12"/>
      <c r="E1392" s="23"/>
      <c r="F1392" s="24"/>
      <c r="G1392" s="23"/>
      <c r="H1392" s="21" t="str">
        <f aca="true">IF(E1392="","",ROUND((E1392-TODAY())/30.4,1))</f>
        <v/>
      </c>
      <c r="I1392" s="17" t="str">
        <f aca="false">IF(E1392="","",IF(H1392&lt;0,IF(LEFT(A1392,1)="Q","Périmé (en quarantaine)","PÉRIMÉ → déplacer en zone Q"),IF(H1392&lt;3,"Péremption &lt; 3 mois",IF(H1392&lt;6,"Péremption &lt; 6 mois",""))))</f>
        <v/>
      </c>
      <c r="J1392" s="17" t="str">
        <f aca="false">IF(A1392="","",IF(COUNTIF(Emplacements!$A$2:$A$1001,A1392)=0,"⚠ emplacement inconnu","OK"))</f>
        <v/>
      </c>
      <c r="K1392" s="22" t="str">
        <f aca="false">IF(AND(B1392&lt;&gt;"",ISNUMBER(SEARCH(Recherche!$C$3,C1392&amp;" "&amp;B1392&amp;" "&amp;A1392&amp;" "&amp;D1392))),MAX($K$1:K1391)+1,"")</f>
        <v/>
      </c>
    </row>
    <row r="1393" customFormat="false" ht="15" hidden="false" customHeight="false" outlineLevel="0" collapsed="false">
      <c r="A1393" s="12"/>
      <c r="B1393" s="12"/>
      <c r="C1393" s="17" t="str">
        <f aca="false">IF(B1393="","",IFERROR(INDEX(Produits!$F$2:$F$1001,MATCH(B1393,Produits!$A$2:$A$1001,0)),"⚠ code article inconnu"))</f>
        <v/>
      </c>
      <c r="D1393" s="12"/>
      <c r="E1393" s="23"/>
      <c r="F1393" s="24"/>
      <c r="G1393" s="23"/>
      <c r="H1393" s="21" t="str">
        <f aca="true">IF(E1393="","",ROUND((E1393-TODAY())/30.4,1))</f>
        <v/>
      </c>
      <c r="I1393" s="17" t="str">
        <f aca="false">IF(E1393="","",IF(H1393&lt;0,IF(LEFT(A1393,1)="Q","Périmé (en quarantaine)","PÉRIMÉ → déplacer en zone Q"),IF(H1393&lt;3,"Péremption &lt; 3 mois",IF(H1393&lt;6,"Péremption &lt; 6 mois",""))))</f>
        <v/>
      </c>
      <c r="J1393" s="17" t="str">
        <f aca="false">IF(A1393="","",IF(COUNTIF(Emplacements!$A$2:$A$1001,A1393)=0,"⚠ emplacement inconnu","OK"))</f>
        <v/>
      </c>
      <c r="K1393" s="22" t="str">
        <f aca="false">IF(AND(B1393&lt;&gt;"",ISNUMBER(SEARCH(Recherche!$C$3,C1393&amp;" "&amp;B1393&amp;" "&amp;A1393&amp;" "&amp;D1393))),MAX($K$1:K1392)+1,"")</f>
        <v/>
      </c>
    </row>
    <row r="1394" customFormat="false" ht="15" hidden="false" customHeight="false" outlineLevel="0" collapsed="false">
      <c r="A1394" s="12"/>
      <c r="B1394" s="12"/>
      <c r="C1394" s="17" t="str">
        <f aca="false">IF(B1394="","",IFERROR(INDEX(Produits!$F$2:$F$1001,MATCH(B1394,Produits!$A$2:$A$1001,0)),"⚠ code article inconnu"))</f>
        <v/>
      </c>
      <c r="D1394" s="12"/>
      <c r="E1394" s="23"/>
      <c r="F1394" s="24"/>
      <c r="G1394" s="23"/>
      <c r="H1394" s="21" t="str">
        <f aca="true">IF(E1394="","",ROUND((E1394-TODAY())/30.4,1))</f>
        <v/>
      </c>
      <c r="I1394" s="17" t="str">
        <f aca="false">IF(E1394="","",IF(H1394&lt;0,IF(LEFT(A1394,1)="Q","Périmé (en quarantaine)","PÉRIMÉ → déplacer en zone Q"),IF(H1394&lt;3,"Péremption &lt; 3 mois",IF(H1394&lt;6,"Péremption &lt; 6 mois",""))))</f>
        <v/>
      </c>
      <c r="J1394" s="17" t="str">
        <f aca="false">IF(A1394="","",IF(COUNTIF(Emplacements!$A$2:$A$1001,A1394)=0,"⚠ emplacement inconnu","OK"))</f>
        <v/>
      </c>
      <c r="K1394" s="22" t="str">
        <f aca="false">IF(AND(B1394&lt;&gt;"",ISNUMBER(SEARCH(Recherche!$C$3,C1394&amp;" "&amp;B1394&amp;" "&amp;A1394&amp;" "&amp;D1394))),MAX($K$1:K1393)+1,"")</f>
        <v/>
      </c>
    </row>
    <row r="1395" customFormat="false" ht="15" hidden="false" customHeight="false" outlineLevel="0" collapsed="false">
      <c r="A1395" s="12"/>
      <c r="B1395" s="12"/>
      <c r="C1395" s="17" t="str">
        <f aca="false">IF(B1395="","",IFERROR(INDEX(Produits!$F$2:$F$1001,MATCH(B1395,Produits!$A$2:$A$1001,0)),"⚠ code article inconnu"))</f>
        <v/>
      </c>
      <c r="D1395" s="12"/>
      <c r="E1395" s="23"/>
      <c r="F1395" s="24"/>
      <c r="G1395" s="23"/>
      <c r="H1395" s="21" t="str">
        <f aca="true">IF(E1395="","",ROUND((E1395-TODAY())/30.4,1))</f>
        <v/>
      </c>
      <c r="I1395" s="17" t="str">
        <f aca="false">IF(E1395="","",IF(H1395&lt;0,IF(LEFT(A1395,1)="Q","Périmé (en quarantaine)","PÉRIMÉ → déplacer en zone Q"),IF(H1395&lt;3,"Péremption &lt; 3 mois",IF(H1395&lt;6,"Péremption &lt; 6 mois",""))))</f>
        <v/>
      </c>
      <c r="J1395" s="17" t="str">
        <f aca="false">IF(A1395="","",IF(COUNTIF(Emplacements!$A$2:$A$1001,A1395)=0,"⚠ emplacement inconnu","OK"))</f>
        <v/>
      </c>
      <c r="K1395" s="22" t="str">
        <f aca="false">IF(AND(B1395&lt;&gt;"",ISNUMBER(SEARCH(Recherche!$C$3,C1395&amp;" "&amp;B1395&amp;" "&amp;A1395&amp;" "&amp;D1395))),MAX($K$1:K1394)+1,"")</f>
        <v/>
      </c>
    </row>
    <row r="1396" customFormat="false" ht="15" hidden="false" customHeight="false" outlineLevel="0" collapsed="false">
      <c r="A1396" s="12"/>
      <c r="B1396" s="12"/>
      <c r="C1396" s="17" t="str">
        <f aca="false">IF(B1396="","",IFERROR(INDEX(Produits!$F$2:$F$1001,MATCH(B1396,Produits!$A$2:$A$1001,0)),"⚠ code article inconnu"))</f>
        <v/>
      </c>
      <c r="D1396" s="12"/>
      <c r="E1396" s="23"/>
      <c r="F1396" s="24"/>
      <c r="G1396" s="23"/>
      <c r="H1396" s="21" t="str">
        <f aca="true">IF(E1396="","",ROUND((E1396-TODAY())/30.4,1))</f>
        <v/>
      </c>
      <c r="I1396" s="17" t="str">
        <f aca="false">IF(E1396="","",IF(H1396&lt;0,IF(LEFT(A1396,1)="Q","Périmé (en quarantaine)","PÉRIMÉ → déplacer en zone Q"),IF(H1396&lt;3,"Péremption &lt; 3 mois",IF(H1396&lt;6,"Péremption &lt; 6 mois",""))))</f>
        <v/>
      </c>
      <c r="J1396" s="17" t="str">
        <f aca="false">IF(A1396="","",IF(COUNTIF(Emplacements!$A$2:$A$1001,A1396)=0,"⚠ emplacement inconnu","OK"))</f>
        <v/>
      </c>
      <c r="K1396" s="22" t="str">
        <f aca="false">IF(AND(B1396&lt;&gt;"",ISNUMBER(SEARCH(Recherche!$C$3,C1396&amp;" "&amp;B1396&amp;" "&amp;A1396&amp;" "&amp;D1396))),MAX($K$1:K1395)+1,"")</f>
        <v/>
      </c>
    </row>
    <row r="1397" customFormat="false" ht="15" hidden="false" customHeight="false" outlineLevel="0" collapsed="false">
      <c r="A1397" s="12"/>
      <c r="B1397" s="12"/>
      <c r="C1397" s="17" t="str">
        <f aca="false">IF(B1397="","",IFERROR(INDEX(Produits!$F$2:$F$1001,MATCH(B1397,Produits!$A$2:$A$1001,0)),"⚠ code article inconnu"))</f>
        <v/>
      </c>
      <c r="D1397" s="12"/>
      <c r="E1397" s="23"/>
      <c r="F1397" s="24"/>
      <c r="G1397" s="23"/>
      <c r="H1397" s="21" t="str">
        <f aca="true">IF(E1397="","",ROUND((E1397-TODAY())/30.4,1))</f>
        <v/>
      </c>
      <c r="I1397" s="17" t="str">
        <f aca="false">IF(E1397="","",IF(H1397&lt;0,IF(LEFT(A1397,1)="Q","Périmé (en quarantaine)","PÉRIMÉ → déplacer en zone Q"),IF(H1397&lt;3,"Péremption &lt; 3 mois",IF(H1397&lt;6,"Péremption &lt; 6 mois",""))))</f>
        <v/>
      </c>
      <c r="J1397" s="17" t="str">
        <f aca="false">IF(A1397="","",IF(COUNTIF(Emplacements!$A$2:$A$1001,A1397)=0,"⚠ emplacement inconnu","OK"))</f>
        <v/>
      </c>
      <c r="K1397" s="22" t="str">
        <f aca="false">IF(AND(B1397&lt;&gt;"",ISNUMBER(SEARCH(Recherche!$C$3,C1397&amp;" "&amp;B1397&amp;" "&amp;A1397&amp;" "&amp;D1397))),MAX($K$1:K1396)+1,"")</f>
        <v/>
      </c>
    </row>
    <row r="1398" customFormat="false" ht="15" hidden="false" customHeight="false" outlineLevel="0" collapsed="false">
      <c r="A1398" s="12"/>
      <c r="B1398" s="12"/>
      <c r="C1398" s="17" t="str">
        <f aca="false">IF(B1398="","",IFERROR(INDEX(Produits!$F$2:$F$1001,MATCH(B1398,Produits!$A$2:$A$1001,0)),"⚠ code article inconnu"))</f>
        <v/>
      </c>
      <c r="D1398" s="12"/>
      <c r="E1398" s="23"/>
      <c r="F1398" s="24"/>
      <c r="G1398" s="23"/>
      <c r="H1398" s="21" t="str">
        <f aca="true">IF(E1398="","",ROUND((E1398-TODAY())/30.4,1))</f>
        <v/>
      </c>
      <c r="I1398" s="17" t="str">
        <f aca="false">IF(E1398="","",IF(H1398&lt;0,IF(LEFT(A1398,1)="Q","Périmé (en quarantaine)","PÉRIMÉ → déplacer en zone Q"),IF(H1398&lt;3,"Péremption &lt; 3 mois",IF(H1398&lt;6,"Péremption &lt; 6 mois",""))))</f>
        <v/>
      </c>
      <c r="J1398" s="17" t="str">
        <f aca="false">IF(A1398="","",IF(COUNTIF(Emplacements!$A$2:$A$1001,A1398)=0,"⚠ emplacement inconnu","OK"))</f>
        <v/>
      </c>
      <c r="K1398" s="22" t="str">
        <f aca="false">IF(AND(B1398&lt;&gt;"",ISNUMBER(SEARCH(Recherche!$C$3,C1398&amp;" "&amp;B1398&amp;" "&amp;A1398&amp;" "&amp;D1398))),MAX($K$1:K1397)+1,"")</f>
        <v/>
      </c>
    </row>
    <row r="1399" customFormat="false" ht="15" hidden="false" customHeight="false" outlineLevel="0" collapsed="false">
      <c r="A1399" s="12"/>
      <c r="B1399" s="12"/>
      <c r="C1399" s="17" t="str">
        <f aca="false">IF(B1399="","",IFERROR(INDEX(Produits!$F$2:$F$1001,MATCH(B1399,Produits!$A$2:$A$1001,0)),"⚠ code article inconnu"))</f>
        <v/>
      </c>
      <c r="D1399" s="12"/>
      <c r="E1399" s="23"/>
      <c r="F1399" s="24"/>
      <c r="G1399" s="23"/>
      <c r="H1399" s="21" t="str">
        <f aca="true">IF(E1399="","",ROUND((E1399-TODAY())/30.4,1))</f>
        <v/>
      </c>
      <c r="I1399" s="17" t="str">
        <f aca="false">IF(E1399="","",IF(H1399&lt;0,IF(LEFT(A1399,1)="Q","Périmé (en quarantaine)","PÉRIMÉ → déplacer en zone Q"),IF(H1399&lt;3,"Péremption &lt; 3 mois",IF(H1399&lt;6,"Péremption &lt; 6 mois",""))))</f>
        <v/>
      </c>
      <c r="J1399" s="17" t="str">
        <f aca="false">IF(A1399="","",IF(COUNTIF(Emplacements!$A$2:$A$1001,A1399)=0,"⚠ emplacement inconnu","OK"))</f>
        <v/>
      </c>
      <c r="K1399" s="22" t="str">
        <f aca="false">IF(AND(B1399&lt;&gt;"",ISNUMBER(SEARCH(Recherche!$C$3,C1399&amp;" "&amp;B1399&amp;" "&amp;A1399&amp;" "&amp;D1399))),MAX($K$1:K1398)+1,"")</f>
        <v/>
      </c>
    </row>
    <row r="1400" customFormat="false" ht="15" hidden="false" customHeight="false" outlineLevel="0" collapsed="false">
      <c r="A1400" s="12"/>
      <c r="B1400" s="12"/>
      <c r="C1400" s="17" t="str">
        <f aca="false">IF(B1400="","",IFERROR(INDEX(Produits!$F$2:$F$1001,MATCH(B1400,Produits!$A$2:$A$1001,0)),"⚠ code article inconnu"))</f>
        <v/>
      </c>
      <c r="D1400" s="12"/>
      <c r="E1400" s="23"/>
      <c r="F1400" s="24"/>
      <c r="G1400" s="23"/>
      <c r="H1400" s="21" t="str">
        <f aca="true">IF(E1400="","",ROUND((E1400-TODAY())/30.4,1))</f>
        <v/>
      </c>
      <c r="I1400" s="17" t="str">
        <f aca="false">IF(E1400="","",IF(H1400&lt;0,IF(LEFT(A1400,1)="Q","Périmé (en quarantaine)","PÉRIMÉ → déplacer en zone Q"),IF(H1400&lt;3,"Péremption &lt; 3 mois",IF(H1400&lt;6,"Péremption &lt; 6 mois",""))))</f>
        <v/>
      </c>
      <c r="J1400" s="17" t="str">
        <f aca="false">IF(A1400="","",IF(COUNTIF(Emplacements!$A$2:$A$1001,A1400)=0,"⚠ emplacement inconnu","OK"))</f>
        <v/>
      </c>
      <c r="K1400" s="22" t="str">
        <f aca="false">IF(AND(B1400&lt;&gt;"",ISNUMBER(SEARCH(Recherche!$C$3,C1400&amp;" "&amp;B1400&amp;" "&amp;A1400&amp;" "&amp;D1400))),MAX($K$1:K1399)+1,"")</f>
        <v/>
      </c>
    </row>
    <row r="1401" customFormat="false" ht="15" hidden="false" customHeight="false" outlineLevel="0" collapsed="false">
      <c r="A1401" s="12"/>
      <c r="B1401" s="12"/>
      <c r="C1401" s="17" t="str">
        <f aca="false">IF(B1401="","",IFERROR(INDEX(Produits!$F$2:$F$1001,MATCH(B1401,Produits!$A$2:$A$1001,0)),"⚠ code article inconnu"))</f>
        <v/>
      </c>
      <c r="D1401" s="12"/>
      <c r="E1401" s="23"/>
      <c r="F1401" s="24"/>
      <c r="G1401" s="23"/>
      <c r="H1401" s="21" t="str">
        <f aca="true">IF(E1401="","",ROUND((E1401-TODAY())/30.4,1))</f>
        <v/>
      </c>
      <c r="I1401" s="17" t="str">
        <f aca="false">IF(E1401="","",IF(H1401&lt;0,IF(LEFT(A1401,1)="Q","Périmé (en quarantaine)","PÉRIMÉ → déplacer en zone Q"),IF(H1401&lt;3,"Péremption &lt; 3 mois",IF(H1401&lt;6,"Péremption &lt; 6 mois",""))))</f>
        <v/>
      </c>
      <c r="J1401" s="17" t="str">
        <f aca="false">IF(A1401="","",IF(COUNTIF(Emplacements!$A$2:$A$1001,A1401)=0,"⚠ emplacement inconnu","OK"))</f>
        <v/>
      </c>
      <c r="K1401" s="22" t="str">
        <f aca="false">IF(AND(B1401&lt;&gt;"",ISNUMBER(SEARCH(Recherche!$C$3,C1401&amp;" "&amp;B1401&amp;" "&amp;A1401&amp;" "&amp;D1401))),MAX($K$1:K1400)+1,"")</f>
        <v/>
      </c>
    </row>
    <row r="1402" customFormat="false" ht="15" hidden="false" customHeight="false" outlineLevel="0" collapsed="false">
      <c r="A1402" s="12"/>
      <c r="B1402" s="12"/>
      <c r="C1402" s="17" t="str">
        <f aca="false">IF(B1402="","",IFERROR(INDEX(Produits!$F$2:$F$1001,MATCH(B1402,Produits!$A$2:$A$1001,0)),"⚠ code article inconnu"))</f>
        <v/>
      </c>
      <c r="D1402" s="12"/>
      <c r="E1402" s="23"/>
      <c r="F1402" s="24"/>
      <c r="G1402" s="23"/>
      <c r="H1402" s="21" t="str">
        <f aca="true">IF(E1402="","",ROUND((E1402-TODAY())/30.4,1))</f>
        <v/>
      </c>
      <c r="I1402" s="17" t="str">
        <f aca="false">IF(E1402="","",IF(H1402&lt;0,IF(LEFT(A1402,1)="Q","Périmé (en quarantaine)","PÉRIMÉ → déplacer en zone Q"),IF(H1402&lt;3,"Péremption &lt; 3 mois",IF(H1402&lt;6,"Péremption &lt; 6 mois",""))))</f>
        <v/>
      </c>
      <c r="J1402" s="17" t="str">
        <f aca="false">IF(A1402="","",IF(COUNTIF(Emplacements!$A$2:$A$1001,A1402)=0,"⚠ emplacement inconnu","OK"))</f>
        <v/>
      </c>
      <c r="K1402" s="22" t="str">
        <f aca="false">IF(AND(B1402&lt;&gt;"",ISNUMBER(SEARCH(Recherche!$C$3,C1402&amp;" "&amp;B1402&amp;" "&amp;A1402&amp;" "&amp;D1402))),MAX($K$1:K1401)+1,"")</f>
        <v/>
      </c>
    </row>
    <row r="1403" customFormat="false" ht="15" hidden="false" customHeight="false" outlineLevel="0" collapsed="false">
      <c r="A1403" s="12"/>
      <c r="B1403" s="12"/>
      <c r="C1403" s="17" t="str">
        <f aca="false">IF(B1403="","",IFERROR(INDEX(Produits!$F$2:$F$1001,MATCH(B1403,Produits!$A$2:$A$1001,0)),"⚠ code article inconnu"))</f>
        <v/>
      </c>
      <c r="D1403" s="12"/>
      <c r="E1403" s="23"/>
      <c r="F1403" s="24"/>
      <c r="G1403" s="23"/>
      <c r="H1403" s="21" t="str">
        <f aca="true">IF(E1403="","",ROUND((E1403-TODAY())/30.4,1))</f>
        <v/>
      </c>
      <c r="I1403" s="17" t="str">
        <f aca="false">IF(E1403="","",IF(H1403&lt;0,IF(LEFT(A1403,1)="Q","Périmé (en quarantaine)","PÉRIMÉ → déplacer en zone Q"),IF(H1403&lt;3,"Péremption &lt; 3 mois",IF(H1403&lt;6,"Péremption &lt; 6 mois",""))))</f>
        <v/>
      </c>
      <c r="J1403" s="17" t="str">
        <f aca="false">IF(A1403="","",IF(COUNTIF(Emplacements!$A$2:$A$1001,A1403)=0,"⚠ emplacement inconnu","OK"))</f>
        <v/>
      </c>
      <c r="K1403" s="22" t="str">
        <f aca="false">IF(AND(B1403&lt;&gt;"",ISNUMBER(SEARCH(Recherche!$C$3,C1403&amp;" "&amp;B1403&amp;" "&amp;A1403&amp;" "&amp;D1403))),MAX($K$1:K1402)+1,"")</f>
        <v/>
      </c>
    </row>
    <row r="1404" customFormat="false" ht="15" hidden="false" customHeight="false" outlineLevel="0" collapsed="false">
      <c r="A1404" s="12"/>
      <c r="B1404" s="12"/>
      <c r="C1404" s="17" t="str">
        <f aca="false">IF(B1404="","",IFERROR(INDEX(Produits!$F$2:$F$1001,MATCH(B1404,Produits!$A$2:$A$1001,0)),"⚠ code article inconnu"))</f>
        <v/>
      </c>
      <c r="D1404" s="12"/>
      <c r="E1404" s="23"/>
      <c r="F1404" s="24"/>
      <c r="G1404" s="23"/>
      <c r="H1404" s="21" t="str">
        <f aca="true">IF(E1404="","",ROUND((E1404-TODAY())/30.4,1))</f>
        <v/>
      </c>
      <c r="I1404" s="17" t="str">
        <f aca="false">IF(E1404="","",IF(H1404&lt;0,IF(LEFT(A1404,1)="Q","Périmé (en quarantaine)","PÉRIMÉ → déplacer en zone Q"),IF(H1404&lt;3,"Péremption &lt; 3 mois",IF(H1404&lt;6,"Péremption &lt; 6 mois",""))))</f>
        <v/>
      </c>
      <c r="J1404" s="17" t="str">
        <f aca="false">IF(A1404="","",IF(COUNTIF(Emplacements!$A$2:$A$1001,A1404)=0,"⚠ emplacement inconnu","OK"))</f>
        <v/>
      </c>
      <c r="K1404" s="22" t="str">
        <f aca="false">IF(AND(B1404&lt;&gt;"",ISNUMBER(SEARCH(Recherche!$C$3,C1404&amp;" "&amp;B1404&amp;" "&amp;A1404&amp;" "&amp;D1404))),MAX($K$1:K1403)+1,"")</f>
        <v/>
      </c>
    </row>
    <row r="1405" customFormat="false" ht="15" hidden="false" customHeight="false" outlineLevel="0" collapsed="false">
      <c r="A1405" s="12"/>
      <c r="B1405" s="12"/>
      <c r="C1405" s="17" t="str">
        <f aca="false">IF(B1405="","",IFERROR(INDEX(Produits!$F$2:$F$1001,MATCH(B1405,Produits!$A$2:$A$1001,0)),"⚠ code article inconnu"))</f>
        <v/>
      </c>
      <c r="D1405" s="12"/>
      <c r="E1405" s="23"/>
      <c r="F1405" s="24"/>
      <c r="G1405" s="23"/>
      <c r="H1405" s="21" t="str">
        <f aca="true">IF(E1405="","",ROUND((E1405-TODAY())/30.4,1))</f>
        <v/>
      </c>
      <c r="I1405" s="17" t="str">
        <f aca="false">IF(E1405="","",IF(H1405&lt;0,IF(LEFT(A1405,1)="Q","Périmé (en quarantaine)","PÉRIMÉ → déplacer en zone Q"),IF(H1405&lt;3,"Péremption &lt; 3 mois",IF(H1405&lt;6,"Péremption &lt; 6 mois",""))))</f>
        <v/>
      </c>
      <c r="J1405" s="17" t="str">
        <f aca="false">IF(A1405="","",IF(COUNTIF(Emplacements!$A$2:$A$1001,A1405)=0,"⚠ emplacement inconnu","OK"))</f>
        <v/>
      </c>
      <c r="K1405" s="22" t="str">
        <f aca="false">IF(AND(B1405&lt;&gt;"",ISNUMBER(SEARCH(Recherche!$C$3,C1405&amp;" "&amp;B1405&amp;" "&amp;A1405&amp;" "&amp;D1405))),MAX($K$1:K1404)+1,"")</f>
        <v/>
      </c>
    </row>
    <row r="1406" customFormat="false" ht="15" hidden="false" customHeight="false" outlineLevel="0" collapsed="false">
      <c r="A1406" s="12"/>
      <c r="B1406" s="12"/>
      <c r="C1406" s="17" t="str">
        <f aca="false">IF(B1406="","",IFERROR(INDEX(Produits!$F$2:$F$1001,MATCH(B1406,Produits!$A$2:$A$1001,0)),"⚠ code article inconnu"))</f>
        <v/>
      </c>
      <c r="D1406" s="12"/>
      <c r="E1406" s="23"/>
      <c r="F1406" s="24"/>
      <c r="G1406" s="23"/>
      <c r="H1406" s="21" t="str">
        <f aca="true">IF(E1406="","",ROUND((E1406-TODAY())/30.4,1))</f>
        <v/>
      </c>
      <c r="I1406" s="17" t="str">
        <f aca="false">IF(E1406="","",IF(H1406&lt;0,IF(LEFT(A1406,1)="Q","Périmé (en quarantaine)","PÉRIMÉ → déplacer en zone Q"),IF(H1406&lt;3,"Péremption &lt; 3 mois",IF(H1406&lt;6,"Péremption &lt; 6 mois",""))))</f>
        <v/>
      </c>
      <c r="J1406" s="17" t="str">
        <f aca="false">IF(A1406="","",IF(COUNTIF(Emplacements!$A$2:$A$1001,A1406)=0,"⚠ emplacement inconnu","OK"))</f>
        <v/>
      </c>
      <c r="K1406" s="22" t="str">
        <f aca="false">IF(AND(B1406&lt;&gt;"",ISNUMBER(SEARCH(Recherche!$C$3,C1406&amp;" "&amp;B1406&amp;" "&amp;A1406&amp;" "&amp;D1406))),MAX($K$1:K1405)+1,"")</f>
        <v/>
      </c>
    </row>
    <row r="1407" customFormat="false" ht="15" hidden="false" customHeight="false" outlineLevel="0" collapsed="false">
      <c r="A1407" s="12"/>
      <c r="B1407" s="12"/>
      <c r="C1407" s="17" t="str">
        <f aca="false">IF(B1407="","",IFERROR(INDEX(Produits!$F$2:$F$1001,MATCH(B1407,Produits!$A$2:$A$1001,0)),"⚠ code article inconnu"))</f>
        <v/>
      </c>
      <c r="D1407" s="12"/>
      <c r="E1407" s="23"/>
      <c r="F1407" s="24"/>
      <c r="G1407" s="23"/>
      <c r="H1407" s="21" t="str">
        <f aca="true">IF(E1407="","",ROUND((E1407-TODAY())/30.4,1))</f>
        <v/>
      </c>
      <c r="I1407" s="17" t="str">
        <f aca="false">IF(E1407="","",IF(H1407&lt;0,IF(LEFT(A1407,1)="Q","Périmé (en quarantaine)","PÉRIMÉ → déplacer en zone Q"),IF(H1407&lt;3,"Péremption &lt; 3 mois",IF(H1407&lt;6,"Péremption &lt; 6 mois",""))))</f>
        <v/>
      </c>
      <c r="J1407" s="17" t="str">
        <f aca="false">IF(A1407="","",IF(COUNTIF(Emplacements!$A$2:$A$1001,A1407)=0,"⚠ emplacement inconnu","OK"))</f>
        <v/>
      </c>
      <c r="K1407" s="22" t="str">
        <f aca="false">IF(AND(B1407&lt;&gt;"",ISNUMBER(SEARCH(Recherche!$C$3,C1407&amp;" "&amp;B1407&amp;" "&amp;A1407&amp;" "&amp;D1407))),MAX($K$1:K1406)+1,"")</f>
        <v/>
      </c>
    </row>
    <row r="1408" customFormat="false" ht="15" hidden="false" customHeight="false" outlineLevel="0" collapsed="false">
      <c r="A1408" s="12"/>
      <c r="B1408" s="12"/>
      <c r="C1408" s="17" t="str">
        <f aca="false">IF(B1408="","",IFERROR(INDEX(Produits!$F$2:$F$1001,MATCH(B1408,Produits!$A$2:$A$1001,0)),"⚠ code article inconnu"))</f>
        <v/>
      </c>
      <c r="D1408" s="12"/>
      <c r="E1408" s="23"/>
      <c r="F1408" s="24"/>
      <c r="G1408" s="23"/>
      <c r="H1408" s="21" t="str">
        <f aca="true">IF(E1408="","",ROUND((E1408-TODAY())/30.4,1))</f>
        <v/>
      </c>
      <c r="I1408" s="17" t="str">
        <f aca="false">IF(E1408="","",IF(H1408&lt;0,IF(LEFT(A1408,1)="Q","Périmé (en quarantaine)","PÉRIMÉ → déplacer en zone Q"),IF(H1408&lt;3,"Péremption &lt; 3 mois",IF(H1408&lt;6,"Péremption &lt; 6 mois",""))))</f>
        <v/>
      </c>
      <c r="J1408" s="17" t="str">
        <f aca="false">IF(A1408="","",IF(COUNTIF(Emplacements!$A$2:$A$1001,A1408)=0,"⚠ emplacement inconnu","OK"))</f>
        <v/>
      </c>
      <c r="K1408" s="22" t="str">
        <f aca="false">IF(AND(B1408&lt;&gt;"",ISNUMBER(SEARCH(Recherche!$C$3,C1408&amp;" "&amp;B1408&amp;" "&amp;A1408&amp;" "&amp;D1408))),MAX($K$1:K1407)+1,"")</f>
        <v/>
      </c>
    </row>
    <row r="1409" customFormat="false" ht="15" hidden="false" customHeight="false" outlineLevel="0" collapsed="false">
      <c r="A1409" s="12"/>
      <c r="B1409" s="12"/>
      <c r="C1409" s="17" t="str">
        <f aca="false">IF(B1409="","",IFERROR(INDEX(Produits!$F$2:$F$1001,MATCH(B1409,Produits!$A$2:$A$1001,0)),"⚠ code article inconnu"))</f>
        <v/>
      </c>
      <c r="D1409" s="12"/>
      <c r="E1409" s="23"/>
      <c r="F1409" s="24"/>
      <c r="G1409" s="23"/>
      <c r="H1409" s="21" t="str">
        <f aca="true">IF(E1409="","",ROUND((E1409-TODAY())/30.4,1))</f>
        <v/>
      </c>
      <c r="I1409" s="17" t="str">
        <f aca="false">IF(E1409="","",IF(H1409&lt;0,IF(LEFT(A1409,1)="Q","Périmé (en quarantaine)","PÉRIMÉ → déplacer en zone Q"),IF(H1409&lt;3,"Péremption &lt; 3 mois",IF(H1409&lt;6,"Péremption &lt; 6 mois",""))))</f>
        <v/>
      </c>
      <c r="J1409" s="17" t="str">
        <f aca="false">IF(A1409="","",IF(COUNTIF(Emplacements!$A$2:$A$1001,A1409)=0,"⚠ emplacement inconnu","OK"))</f>
        <v/>
      </c>
      <c r="K1409" s="22" t="str">
        <f aca="false">IF(AND(B1409&lt;&gt;"",ISNUMBER(SEARCH(Recherche!$C$3,C1409&amp;" "&amp;B1409&amp;" "&amp;A1409&amp;" "&amp;D1409))),MAX($K$1:K1408)+1,"")</f>
        <v/>
      </c>
    </row>
    <row r="1410" customFormat="false" ht="15" hidden="false" customHeight="false" outlineLevel="0" collapsed="false">
      <c r="A1410" s="12"/>
      <c r="B1410" s="12"/>
      <c r="C1410" s="17" t="str">
        <f aca="false">IF(B1410="","",IFERROR(INDEX(Produits!$F$2:$F$1001,MATCH(B1410,Produits!$A$2:$A$1001,0)),"⚠ code article inconnu"))</f>
        <v/>
      </c>
      <c r="D1410" s="12"/>
      <c r="E1410" s="23"/>
      <c r="F1410" s="24"/>
      <c r="G1410" s="23"/>
      <c r="H1410" s="21" t="str">
        <f aca="true">IF(E1410="","",ROUND((E1410-TODAY())/30.4,1))</f>
        <v/>
      </c>
      <c r="I1410" s="17" t="str">
        <f aca="false">IF(E1410="","",IF(H1410&lt;0,IF(LEFT(A1410,1)="Q","Périmé (en quarantaine)","PÉRIMÉ → déplacer en zone Q"),IF(H1410&lt;3,"Péremption &lt; 3 mois",IF(H1410&lt;6,"Péremption &lt; 6 mois",""))))</f>
        <v/>
      </c>
      <c r="J1410" s="17" t="str">
        <f aca="false">IF(A1410="","",IF(COUNTIF(Emplacements!$A$2:$A$1001,A1410)=0,"⚠ emplacement inconnu","OK"))</f>
        <v/>
      </c>
      <c r="K1410" s="22" t="str">
        <f aca="false">IF(AND(B1410&lt;&gt;"",ISNUMBER(SEARCH(Recherche!$C$3,C1410&amp;" "&amp;B1410&amp;" "&amp;A1410&amp;" "&amp;D1410))),MAX($K$1:K1409)+1,"")</f>
        <v/>
      </c>
    </row>
    <row r="1411" customFormat="false" ht="15" hidden="false" customHeight="false" outlineLevel="0" collapsed="false">
      <c r="A1411" s="12"/>
      <c r="B1411" s="12"/>
      <c r="C1411" s="17" t="str">
        <f aca="false">IF(B1411="","",IFERROR(INDEX(Produits!$F$2:$F$1001,MATCH(B1411,Produits!$A$2:$A$1001,0)),"⚠ code article inconnu"))</f>
        <v/>
      </c>
      <c r="D1411" s="12"/>
      <c r="E1411" s="23"/>
      <c r="F1411" s="24"/>
      <c r="G1411" s="23"/>
      <c r="H1411" s="21" t="str">
        <f aca="true">IF(E1411="","",ROUND((E1411-TODAY())/30.4,1))</f>
        <v/>
      </c>
      <c r="I1411" s="17" t="str">
        <f aca="false">IF(E1411="","",IF(H1411&lt;0,IF(LEFT(A1411,1)="Q","Périmé (en quarantaine)","PÉRIMÉ → déplacer en zone Q"),IF(H1411&lt;3,"Péremption &lt; 3 mois",IF(H1411&lt;6,"Péremption &lt; 6 mois",""))))</f>
        <v/>
      </c>
      <c r="J1411" s="17" t="str">
        <f aca="false">IF(A1411="","",IF(COUNTIF(Emplacements!$A$2:$A$1001,A1411)=0,"⚠ emplacement inconnu","OK"))</f>
        <v/>
      </c>
      <c r="K1411" s="22" t="str">
        <f aca="false">IF(AND(B1411&lt;&gt;"",ISNUMBER(SEARCH(Recherche!$C$3,C1411&amp;" "&amp;B1411&amp;" "&amp;A1411&amp;" "&amp;D1411))),MAX($K$1:K1410)+1,"")</f>
        <v/>
      </c>
    </row>
    <row r="1412" customFormat="false" ht="15" hidden="false" customHeight="false" outlineLevel="0" collapsed="false">
      <c r="A1412" s="12"/>
      <c r="B1412" s="12"/>
      <c r="C1412" s="17" t="str">
        <f aca="false">IF(B1412="","",IFERROR(INDEX(Produits!$F$2:$F$1001,MATCH(B1412,Produits!$A$2:$A$1001,0)),"⚠ code article inconnu"))</f>
        <v/>
      </c>
      <c r="D1412" s="12"/>
      <c r="E1412" s="23"/>
      <c r="F1412" s="24"/>
      <c r="G1412" s="23"/>
      <c r="H1412" s="21" t="str">
        <f aca="true">IF(E1412="","",ROUND((E1412-TODAY())/30.4,1))</f>
        <v/>
      </c>
      <c r="I1412" s="17" t="str">
        <f aca="false">IF(E1412="","",IF(H1412&lt;0,IF(LEFT(A1412,1)="Q","Périmé (en quarantaine)","PÉRIMÉ → déplacer en zone Q"),IF(H1412&lt;3,"Péremption &lt; 3 mois",IF(H1412&lt;6,"Péremption &lt; 6 mois",""))))</f>
        <v/>
      </c>
      <c r="J1412" s="17" t="str">
        <f aca="false">IF(A1412="","",IF(COUNTIF(Emplacements!$A$2:$A$1001,A1412)=0,"⚠ emplacement inconnu","OK"))</f>
        <v/>
      </c>
      <c r="K1412" s="22" t="str">
        <f aca="false">IF(AND(B1412&lt;&gt;"",ISNUMBER(SEARCH(Recherche!$C$3,C1412&amp;" "&amp;B1412&amp;" "&amp;A1412&amp;" "&amp;D1412))),MAX($K$1:K1411)+1,"")</f>
        <v/>
      </c>
    </row>
    <row r="1413" customFormat="false" ht="15" hidden="false" customHeight="false" outlineLevel="0" collapsed="false">
      <c r="A1413" s="12"/>
      <c r="B1413" s="12"/>
      <c r="C1413" s="17" t="str">
        <f aca="false">IF(B1413="","",IFERROR(INDEX(Produits!$F$2:$F$1001,MATCH(B1413,Produits!$A$2:$A$1001,0)),"⚠ code article inconnu"))</f>
        <v/>
      </c>
      <c r="D1413" s="12"/>
      <c r="E1413" s="23"/>
      <c r="F1413" s="24"/>
      <c r="G1413" s="23"/>
      <c r="H1413" s="21" t="str">
        <f aca="true">IF(E1413="","",ROUND((E1413-TODAY())/30.4,1))</f>
        <v/>
      </c>
      <c r="I1413" s="17" t="str">
        <f aca="false">IF(E1413="","",IF(H1413&lt;0,IF(LEFT(A1413,1)="Q","Périmé (en quarantaine)","PÉRIMÉ → déplacer en zone Q"),IF(H1413&lt;3,"Péremption &lt; 3 mois",IF(H1413&lt;6,"Péremption &lt; 6 mois",""))))</f>
        <v/>
      </c>
      <c r="J1413" s="17" t="str">
        <f aca="false">IF(A1413="","",IF(COUNTIF(Emplacements!$A$2:$A$1001,A1413)=0,"⚠ emplacement inconnu","OK"))</f>
        <v/>
      </c>
      <c r="K1413" s="22" t="str">
        <f aca="false">IF(AND(B1413&lt;&gt;"",ISNUMBER(SEARCH(Recherche!$C$3,C1413&amp;" "&amp;B1413&amp;" "&amp;A1413&amp;" "&amp;D1413))),MAX($K$1:K1412)+1,"")</f>
        <v/>
      </c>
    </row>
    <row r="1414" customFormat="false" ht="15" hidden="false" customHeight="false" outlineLevel="0" collapsed="false">
      <c r="A1414" s="12"/>
      <c r="B1414" s="12"/>
      <c r="C1414" s="17" t="str">
        <f aca="false">IF(B1414="","",IFERROR(INDEX(Produits!$F$2:$F$1001,MATCH(B1414,Produits!$A$2:$A$1001,0)),"⚠ code article inconnu"))</f>
        <v/>
      </c>
      <c r="D1414" s="12"/>
      <c r="E1414" s="23"/>
      <c r="F1414" s="24"/>
      <c r="G1414" s="23"/>
      <c r="H1414" s="21" t="str">
        <f aca="true">IF(E1414="","",ROUND((E1414-TODAY())/30.4,1))</f>
        <v/>
      </c>
      <c r="I1414" s="17" t="str">
        <f aca="false">IF(E1414="","",IF(H1414&lt;0,IF(LEFT(A1414,1)="Q","Périmé (en quarantaine)","PÉRIMÉ → déplacer en zone Q"),IF(H1414&lt;3,"Péremption &lt; 3 mois",IF(H1414&lt;6,"Péremption &lt; 6 mois",""))))</f>
        <v/>
      </c>
      <c r="J1414" s="17" t="str">
        <f aca="false">IF(A1414="","",IF(COUNTIF(Emplacements!$A$2:$A$1001,A1414)=0,"⚠ emplacement inconnu","OK"))</f>
        <v/>
      </c>
      <c r="K1414" s="22" t="str">
        <f aca="false">IF(AND(B1414&lt;&gt;"",ISNUMBER(SEARCH(Recherche!$C$3,C1414&amp;" "&amp;B1414&amp;" "&amp;A1414&amp;" "&amp;D1414))),MAX($K$1:K1413)+1,"")</f>
        <v/>
      </c>
    </row>
    <row r="1415" customFormat="false" ht="15" hidden="false" customHeight="false" outlineLevel="0" collapsed="false">
      <c r="A1415" s="12"/>
      <c r="B1415" s="12"/>
      <c r="C1415" s="17" t="str">
        <f aca="false">IF(B1415="","",IFERROR(INDEX(Produits!$F$2:$F$1001,MATCH(B1415,Produits!$A$2:$A$1001,0)),"⚠ code article inconnu"))</f>
        <v/>
      </c>
      <c r="D1415" s="12"/>
      <c r="E1415" s="23"/>
      <c r="F1415" s="24"/>
      <c r="G1415" s="23"/>
      <c r="H1415" s="21" t="str">
        <f aca="true">IF(E1415="","",ROUND((E1415-TODAY())/30.4,1))</f>
        <v/>
      </c>
      <c r="I1415" s="17" t="str">
        <f aca="false">IF(E1415="","",IF(H1415&lt;0,IF(LEFT(A1415,1)="Q","Périmé (en quarantaine)","PÉRIMÉ → déplacer en zone Q"),IF(H1415&lt;3,"Péremption &lt; 3 mois",IF(H1415&lt;6,"Péremption &lt; 6 mois",""))))</f>
        <v/>
      </c>
      <c r="J1415" s="17" t="str">
        <f aca="false">IF(A1415="","",IF(COUNTIF(Emplacements!$A$2:$A$1001,A1415)=0,"⚠ emplacement inconnu","OK"))</f>
        <v/>
      </c>
      <c r="K1415" s="22" t="str">
        <f aca="false">IF(AND(B1415&lt;&gt;"",ISNUMBER(SEARCH(Recherche!$C$3,C1415&amp;" "&amp;B1415&amp;" "&amp;A1415&amp;" "&amp;D1415))),MAX($K$1:K1414)+1,"")</f>
        <v/>
      </c>
    </row>
    <row r="1416" customFormat="false" ht="15" hidden="false" customHeight="false" outlineLevel="0" collapsed="false">
      <c r="A1416" s="12"/>
      <c r="B1416" s="12"/>
      <c r="C1416" s="17" t="str">
        <f aca="false">IF(B1416="","",IFERROR(INDEX(Produits!$F$2:$F$1001,MATCH(B1416,Produits!$A$2:$A$1001,0)),"⚠ code article inconnu"))</f>
        <v/>
      </c>
      <c r="D1416" s="12"/>
      <c r="E1416" s="23"/>
      <c r="F1416" s="24"/>
      <c r="G1416" s="23"/>
      <c r="H1416" s="21" t="str">
        <f aca="true">IF(E1416="","",ROUND((E1416-TODAY())/30.4,1))</f>
        <v/>
      </c>
      <c r="I1416" s="17" t="str">
        <f aca="false">IF(E1416="","",IF(H1416&lt;0,IF(LEFT(A1416,1)="Q","Périmé (en quarantaine)","PÉRIMÉ → déplacer en zone Q"),IF(H1416&lt;3,"Péremption &lt; 3 mois",IF(H1416&lt;6,"Péremption &lt; 6 mois",""))))</f>
        <v/>
      </c>
      <c r="J1416" s="17" t="str">
        <f aca="false">IF(A1416="","",IF(COUNTIF(Emplacements!$A$2:$A$1001,A1416)=0,"⚠ emplacement inconnu","OK"))</f>
        <v/>
      </c>
      <c r="K1416" s="22" t="str">
        <f aca="false">IF(AND(B1416&lt;&gt;"",ISNUMBER(SEARCH(Recherche!$C$3,C1416&amp;" "&amp;B1416&amp;" "&amp;A1416&amp;" "&amp;D1416))),MAX($K$1:K1415)+1,"")</f>
        <v/>
      </c>
    </row>
    <row r="1417" customFormat="false" ht="15" hidden="false" customHeight="false" outlineLevel="0" collapsed="false">
      <c r="A1417" s="12"/>
      <c r="B1417" s="12"/>
      <c r="C1417" s="17" t="str">
        <f aca="false">IF(B1417="","",IFERROR(INDEX(Produits!$F$2:$F$1001,MATCH(B1417,Produits!$A$2:$A$1001,0)),"⚠ code article inconnu"))</f>
        <v/>
      </c>
      <c r="D1417" s="12"/>
      <c r="E1417" s="23"/>
      <c r="F1417" s="24"/>
      <c r="G1417" s="23"/>
      <c r="H1417" s="21" t="str">
        <f aca="true">IF(E1417="","",ROUND((E1417-TODAY())/30.4,1))</f>
        <v/>
      </c>
      <c r="I1417" s="17" t="str">
        <f aca="false">IF(E1417="","",IF(H1417&lt;0,IF(LEFT(A1417,1)="Q","Périmé (en quarantaine)","PÉRIMÉ → déplacer en zone Q"),IF(H1417&lt;3,"Péremption &lt; 3 mois",IF(H1417&lt;6,"Péremption &lt; 6 mois",""))))</f>
        <v/>
      </c>
      <c r="J1417" s="17" t="str">
        <f aca="false">IF(A1417="","",IF(COUNTIF(Emplacements!$A$2:$A$1001,A1417)=0,"⚠ emplacement inconnu","OK"))</f>
        <v/>
      </c>
      <c r="K1417" s="22" t="str">
        <f aca="false">IF(AND(B1417&lt;&gt;"",ISNUMBER(SEARCH(Recherche!$C$3,C1417&amp;" "&amp;B1417&amp;" "&amp;A1417&amp;" "&amp;D1417))),MAX($K$1:K1416)+1,"")</f>
        <v/>
      </c>
    </row>
    <row r="1418" customFormat="false" ht="15" hidden="false" customHeight="false" outlineLevel="0" collapsed="false">
      <c r="A1418" s="12"/>
      <c r="B1418" s="12"/>
      <c r="C1418" s="17" t="str">
        <f aca="false">IF(B1418="","",IFERROR(INDEX(Produits!$F$2:$F$1001,MATCH(B1418,Produits!$A$2:$A$1001,0)),"⚠ code article inconnu"))</f>
        <v/>
      </c>
      <c r="D1418" s="12"/>
      <c r="E1418" s="23"/>
      <c r="F1418" s="24"/>
      <c r="G1418" s="23"/>
      <c r="H1418" s="21" t="str">
        <f aca="true">IF(E1418="","",ROUND((E1418-TODAY())/30.4,1))</f>
        <v/>
      </c>
      <c r="I1418" s="17" t="str">
        <f aca="false">IF(E1418="","",IF(H1418&lt;0,IF(LEFT(A1418,1)="Q","Périmé (en quarantaine)","PÉRIMÉ → déplacer en zone Q"),IF(H1418&lt;3,"Péremption &lt; 3 mois",IF(H1418&lt;6,"Péremption &lt; 6 mois",""))))</f>
        <v/>
      </c>
      <c r="J1418" s="17" t="str">
        <f aca="false">IF(A1418="","",IF(COUNTIF(Emplacements!$A$2:$A$1001,A1418)=0,"⚠ emplacement inconnu","OK"))</f>
        <v/>
      </c>
      <c r="K1418" s="22" t="str">
        <f aca="false">IF(AND(B1418&lt;&gt;"",ISNUMBER(SEARCH(Recherche!$C$3,C1418&amp;" "&amp;B1418&amp;" "&amp;A1418&amp;" "&amp;D1418))),MAX($K$1:K1417)+1,"")</f>
        <v/>
      </c>
    </row>
    <row r="1419" customFormat="false" ht="15" hidden="false" customHeight="false" outlineLevel="0" collapsed="false">
      <c r="A1419" s="12"/>
      <c r="B1419" s="12"/>
      <c r="C1419" s="17" t="str">
        <f aca="false">IF(B1419="","",IFERROR(INDEX(Produits!$F$2:$F$1001,MATCH(B1419,Produits!$A$2:$A$1001,0)),"⚠ code article inconnu"))</f>
        <v/>
      </c>
      <c r="D1419" s="12"/>
      <c r="E1419" s="23"/>
      <c r="F1419" s="24"/>
      <c r="G1419" s="23"/>
      <c r="H1419" s="21" t="str">
        <f aca="true">IF(E1419="","",ROUND((E1419-TODAY())/30.4,1))</f>
        <v/>
      </c>
      <c r="I1419" s="17" t="str">
        <f aca="false">IF(E1419="","",IF(H1419&lt;0,IF(LEFT(A1419,1)="Q","Périmé (en quarantaine)","PÉRIMÉ → déplacer en zone Q"),IF(H1419&lt;3,"Péremption &lt; 3 mois",IF(H1419&lt;6,"Péremption &lt; 6 mois",""))))</f>
        <v/>
      </c>
      <c r="J1419" s="17" t="str">
        <f aca="false">IF(A1419="","",IF(COUNTIF(Emplacements!$A$2:$A$1001,A1419)=0,"⚠ emplacement inconnu","OK"))</f>
        <v/>
      </c>
      <c r="K1419" s="22" t="str">
        <f aca="false">IF(AND(B1419&lt;&gt;"",ISNUMBER(SEARCH(Recherche!$C$3,C1419&amp;" "&amp;B1419&amp;" "&amp;A1419&amp;" "&amp;D1419))),MAX($K$1:K1418)+1,"")</f>
        <v/>
      </c>
    </row>
    <row r="1420" customFormat="false" ht="15" hidden="false" customHeight="false" outlineLevel="0" collapsed="false">
      <c r="A1420" s="12"/>
      <c r="B1420" s="12"/>
      <c r="C1420" s="17" t="str">
        <f aca="false">IF(B1420="","",IFERROR(INDEX(Produits!$F$2:$F$1001,MATCH(B1420,Produits!$A$2:$A$1001,0)),"⚠ code article inconnu"))</f>
        <v/>
      </c>
      <c r="D1420" s="12"/>
      <c r="E1420" s="23"/>
      <c r="F1420" s="24"/>
      <c r="G1420" s="23"/>
      <c r="H1420" s="21" t="str">
        <f aca="true">IF(E1420="","",ROUND((E1420-TODAY())/30.4,1))</f>
        <v/>
      </c>
      <c r="I1420" s="17" t="str">
        <f aca="false">IF(E1420="","",IF(H1420&lt;0,IF(LEFT(A1420,1)="Q","Périmé (en quarantaine)","PÉRIMÉ → déplacer en zone Q"),IF(H1420&lt;3,"Péremption &lt; 3 mois",IF(H1420&lt;6,"Péremption &lt; 6 mois",""))))</f>
        <v/>
      </c>
      <c r="J1420" s="17" t="str">
        <f aca="false">IF(A1420="","",IF(COUNTIF(Emplacements!$A$2:$A$1001,A1420)=0,"⚠ emplacement inconnu","OK"))</f>
        <v/>
      </c>
      <c r="K1420" s="22" t="str">
        <f aca="false">IF(AND(B1420&lt;&gt;"",ISNUMBER(SEARCH(Recherche!$C$3,C1420&amp;" "&amp;B1420&amp;" "&amp;A1420&amp;" "&amp;D1420))),MAX($K$1:K1419)+1,"")</f>
        <v/>
      </c>
    </row>
    <row r="1421" customFormat="false" ht="15" hidden="false" customHeight="false" outlineLevel="0" collapsed="false">
      <c r="A1421" s="12"/>
      <c r="B1421" s="12"/>
      <c r="C1421" s="17" t="str">
        <f aca="false">IF(B1421="","",IFERROR(INDEX(Produits!$F$2:$F$1001,MATCH(B1421,Produits!$A$2:$A$1001,0)),"⚠ code article inconnu"))</f>
        <v/>
      </c>
      <c r="D1421" s="12"/>
      <c r="E1421" s="23"/>
      <c r="F1421" s="24"/>
      <c r="G1421" s="23"/>
      <c r="H1421" s="21" t="str">
        <f aca="true">IF(E1421="","",ROUND((E1421-TODAY())/30.4,1))</f>
        <v/>
      </c>
      <c r="I1421" s="17" t="str">
        <f aca="false">IF(E1421="","",IF(H1421&lt;0,IF(LEFT(A1421,1)="Q","Périmé (en quarantaine)","PÉRIMÉ → déplacer en zone Q"),IF(H1421&lt;3,"Péremption &lt; 3 mois",IF(H1421&lt;6,"Péremption &lt; 6 mois",""))))</f>
        <v/>
      </c>
      <c r="J1421" s="17" t="str">
        <f aca="false">IF(A1421="","",IF(COUNTIF(Emplacements!$A$2:$A$1001,A1421)=0,"⚠ emplacement inconnu","OK"))</f>
        <v/>
      </c>
      <c r="K1421" s="22" t="str">
        <f aca="false">IF(AND(B1421&lt;&gt;"",ISNUMBER(SEARCH(Recherche!$C$3,C1421&amp;" "&amp;B1421&amp;" "&amp;A1421&amp;" "&amp;D1421))),MAX($K$1:K1420)+1,"")</f>
        <v/>
      </c>
    </row>
    <row r="1422" customFormat="false" ht="15" hidden="false" customHeight="false" outlineLevel="0" collapsed="false">
      <c r="A1422" s="12"/>
      <c r="B1422" s="12"/>
      <c r="C1422" s="17" t="str">
        <f aca="false">IF(B1422="","",IFERROR(INDEX(Produits!$F$2:$F$1001,MATCH(B1422,Produits!$A$2:$A$1001,0)),"⚠ code article inconnu"))</f>
        <v/>
      </c>
      <c r="D1422" s="12"/>
      <c r="E1422" s="23"/>
      <c r="F1422" s="24"/>
      <c r="G1422" s="23"/>
      <c r="H1422" s="21" t="str">
        <f aca="true">IF(E1422="","",ROUND((E1422-TODAY())/30.4,1))</f>
        <v/>
      </c>
      <c r="I1422" s="17" t="str">
        <f aca="false">IF(E1422="","",IF(H1422&lt;0,IF(LEFT(A1422,1)="Q","Périmé (en quarantaine)","PÉRIMÉ → déplacer en zone Q"),IF(H1422&lt;3,"Péremption &lt; 3 mois",IF(H1422&lt;6,"Péremption &lt; 6 mois",""))))</f>
        <v/>
      </c>
      <c r="J1422" s="17" t="str">
        <f aca="false">IF(A1422="","",IF(COUNTIF(Emplacements!$A$2:$A$1001,A1422)=0,"⚠ emplacement inconnu","OK"))</f>
        <v/>
      </c>
      <c r="K1422" s="22" t="str">
        <f aca="false">IF(AND(B1422&lt;&gt;"",ISNUMBER(SEARCH(Recherche!$C$3,C1422&amp;" "&amp;B1422&amp;" "&amp;A1422&amp;" "&amp;D1422))),MAX($K$1:K1421)+1,"")</f>
        <v/>
      </c>
    </row>
    <row r="1423" customFormat="false" ht="15" hidden="false" customHeight="false" outlineLevel="0" collapsed="false">
      <c r="A1423" s="12"/>
      <c r="B1423" s="12"/>
      <c r="C1423" s="17" t="str">
        <f aca="false">IF(B1423="","",IFERROR(INDEX(Produits!$F$2:$F$1001,MATCH(B1423,Produits!$A$2:$A$1001,0)),"⚠ code article inconnu"))</f>
        <v/>
      </c>
      <c r="D1423" s="12"/>
      <c r="E1423" s="23"/>
      <c r="F1423" s="24"/>
      <c r="G1423" s="23"/>
      <c r="H1423" s="21" t="str">
        <f aca="true">IF(E1423="","",ROUND((E1423-TODAY())/30.4,1))</f>
        <v/>
      </c>
      <c r="I1423" s="17" t="str">
        <f aca="false">IF(E1423="","",IF(H1423&lt;0,IF(LEFT(A1423,1)="Q","Périmé (en quarantaine)","PÉRIMÉ → déplacer en zone Q"),IF(H1423&lt;3,"Péremption &lt; 3 mois",IF(H1423&lt;6,"Péremption &lt; 6 mois",""))))</f>
        <v/>
      </c>
      <c r="J1423" s="17" t="str">
        <f aca="false">IF(A1423="","",IF(COUNTIF(Emplacements!$A$2:$A$1001,A1423)=0,"⚠ emplacement inconnu","OK"))</f>
        <v/>
      </c>
      <c r="K1423" s="22" t="str">
        <f aca="false">IF(AND(B1423&lt;&gt;"",ISNUMBER(SEARCH(Recherche!$C$3,C1423&amp;" "&amp;B1423&amp;" "&amp;A1423&amp;" "&amp;D1423))),MAX($K$1:K1422)+1,"")</f>
        <v/>
      </c>
    </row>
    <row r="1424" customFormat="false" ht="15" hidden="false" customHeight="false" outlineLevel="0" collapsed="false">
      <c r="A1424" s="12"/>
      <c r="B1424" s="12"/>
      <c r="C1424" s="17" t="str">
        <f aca="false">IF(B1424="","",IFERROR(INDEX(Produits!$F$2:$F$1001,MATCH(B1424,Produits!$A$2:$A$1001,0)),"⚠ code article inconnu"))</f>
        <v/>
      </c>
      <c r="D1424" s="12"/>
      <c r="E1424" s="23"/>
      <c r="F1424" s="24"/>
      <c r="G1424" s="23"/>
      <c r="H1424" s="21" t="str">
        <f aca="true">IF(E1424="","",ROUND((E1424-TODAY())/30.4,1))</f>
        <v/>
      </c>
      <c r="I1424" s="17" t="str">
        <f aca="false">IF(E1424="","",IF(H1424&lt;0,IF(LEFT(A1424,1)="Q","Périmé (en quarantaine)","PÉRIMÉ → déplacer en zone Q"),IF(H1424&lt;3,"Péremption &lt; 3 mois",IF(H1424&lt;6,"Péremption &lt; 6 mois",""))))</f>
        <v/>
      </c>
      <c r="J1424" s="17" t="str">
        <f aca="false">IF(A1424="","",IF(COUNTIF(Emplacements!$A$2:$A$1001,A1424)=0,"⚠ emplacement inconnu","OK"))</f>
        <v/>
      </c>
      <c r="K1424" s="22" t="str">
        <f aca="false">IF(AND(B1424&lt;&gt;"",ISNUMBER(SEARCH(Recherche!$C$3,C1424&amp;" "&amp;B1424&amp;" "&amp;A1424&amp;" "&amp;D1424))),MAX($K$1:K1423)+1,"")</f>
        <v/>
      </c>
    </row>
    <row r="1425" customFormat="false" ht="15" hidden="false" customHeight="false" outlineLevel="0" collapsed="false">
      <c r="A1425" s="12"/>
      <c r="B1425" s="12"/>
      <c r="C1425" s="17" t="str">
        <f aca="false">IF(B1425="","",IFERROR(INDEX(Produits!$F$2:$F$1001,MATCH(B1425,Produits!$A$2:$A$1001,0)),"⚠ code article inconnu"))</f>
        <v/>
      </c>
      <c r="D1425" s="12"/>
      <c r="E1425" s="23"/>
      <c r="F1425" s="24"/>
      <c r="G1425" s="23"/>
      <c r="H1425" s="21" t="str">
        <f aca="true">IF(E1425="","",ROUND((E1425-TODAY())/30.4,1))</f>
        <v/>
      </c>
      <c r="I1425" s="17" t="str">
        <f aca="false">IF(E1425="","",IF(H1425&lt;0,IF(LEFT(A1425,1)="Q","Périmé (en quarantaine)","PÉRIMÉ → déplacer en zone Q"),IF(H1425&lt;3,"Péremption &lt; 3 mois",IF(H1425&lt;6,"Péremption &lt; 6 mois",""))))</f>
        <v/>
      </c>
      <c r="J1425" s="17" t="str">
        <f aca="false">IF(A1425="","",IF(COUNTIF(Emplacements!$A$2:$A$1001,A1425)=0,"⚠ emplacement inconnu","OK"))</f>
        <v/>
      </c>
      <c r="K1425" s="22" t="str">
        <f aca="false">IF(AND(B1425&lt;&gt;"",ISNUMBER(SEARCH(Recherche!$C$3,C1425&amp;" "&amp;B1425&amp;" "&amp;A1425&amp;" "&amp;D1425))),MAX($K$1:K1424)+1,"")</f>
        <v/>
      </c>
    </row>
    <row r="1426" customFormat="false" ht="15" hidden="false" customHeight="false" outlineLevel="0" collapsed="false">
      <c r="A1426" s="12"/>
      <c r="B1426" s="12"/>
      <c r="C1426" s="17" t="str">
        <f aca="false">IF(B1426="","",IFERROR(INDEX(Produits!$F$2:$F$1001,MATCH(B1426,Produits!$A$2:$A$1001,0)),"⚠ code article inconnu"))</f>
        <v/>
      </c>
      <c r="D1426" s="12"/>
      <c r="E1426" s="23"/>
      <c r="F1426" s="24"/>
      <c r="G1426" s="23"/>
      <c r="H1426" s="21" t="str">
        <f aca="true">IF(E1426="","",ROUND((E1426-TODAY())/30.4,1))</f>
        <v/>
      </c>
      <c r="I1426" s="17" t="str">
        <f aca="false">IF(E1426="","",IF(H1426&lt;0,IF(LEFT(A1426,1)="Q","Périmé (en quarantaine)","PÉRIMÉ → déplacer en zone Q"),IF(H1426&lt;3,"Péremption &lt; 3 mois",IF(H1426&lt;6,"Péremption &lt; 6 mois",""))))</f>
        <v/>
      </c>
      <c r="J1426" s="17" t="str">
        <f aca="false">IF(A1426="","",IF(COUNTIF(Emplacements!$A$2:$A$1001,A1426)=0,"⚠ emplacement inconnu","OK"))</f>
        <v/>
      </c>
      <c r="K1426" s="22" t="str">
        <f aca="false">IF(AND(B1426&lt;&gt;"",ISNUMBER(SEARCH(Recherche!$C$3,C1426&amp;" "&amp;B1426&amp;" "&amp;A1426&amp;" "&amp;D1426))),MAX($K$1:K1425)+1,"")</f>
        <v/>
      </c>
    </row>
    <row r="1427" customFormat="false" ht="15" hidden="false" customHeight="false" outlineLevel="0" collapsed="false">
      <c r="A1427" s="12"/>
      <c r="B1427" s="12"/>
      <c r="C1427" s="17" t="str">
        <f aca="false">IF(B1427="","",IFERROR(INDEX(Produits!$F$2:$F$1001,MATCH(B1427,Produits!$A$2:$A$1001,0)),"⚠ code article inconnu"))</f>
        <v/>
      </c>
      <c r="D1427" s="12"/>
      <c r="E1427" s="23"/>
      <c r="F1427" s="24"/>
      <c r="G1427" s="23"/>
      <c r="H1427" s="21" t="str">
        <f aca="true">IF(E1427="","",ROUND((E1427-TODAY())/30.4,1))</f>
        <v/>
      </c>
      <c r="I1427" s="17" t="str">
        <f aca="false">IF(E1427="","",IF(H1427&lt;0,IF(LEFT(A1427,1)="Q","Périmé (en quarantaine)","PÉRIMÉ → déplacer en zone Q"),IF(H1427&lt;3,"Péremption &lt; 3 mois",IF(H1427&lt;6,"Péremption &lt; 6 mois",""))))</f>
        <v/>
      </c>
      <c r="J1427" s="17" t="str">
        <f aca="false">IF(A1427="","",IF(COUNTIF(Emplacements!$A$2:$A$1001,A1427)=0,"⚠ emplacement inconnu","OK"))</f>
        <v/>
      </c>
      <c r="K1427" s="22" t="str">
        <f aca="false">IF(AND(B1427&lt;&gt;"",ISNUMBER(SEARCH(Recherche!$C$3,C1427&amp;" "&amp;B1427&amp;" "&amp;A1427&amp;" "&amp;D1427))),MAX($K$1:K1426)+1,"")</f>
        <v/>
      </c>
    </row>
    <row r="1428" customFormat="false" ht="15" hidden="false" customHeight="false" outlineLevel="0" collapsed="false">
      <c r="A1428" s="12"/>
      <c r="B1428" s="12"/>
      <c r="C1428" s="17" t="str">
        <f aca="false">IF(B1428="","",IFERROR(INDEX(Produits!$F$2:$F$1001,MATCH(B1428,Produits!$A$2:$A$1001,0)),"⚠ code article inconnu"))</f>
        <v/>
      </c>
      <c r="D1428" s="12"/>
      <c r="E1428" s="23"/>
      <c r="F1428" s="24"/>
      <c r="G1428" s="23"/>
      <c r="H1428" s="21" t="str">
        <f aca="true">IF(E1428="","",ROUND((E1428-TODAY())/30.4,1))</f>
        <v/>
      </c>
      <c r="I1428" s="17" t="str">
        <f aca="false">IF(E1428="","",IF(H1428&lt;0,IF(LEFT(A1428,1)="Q","Périmé (en quarantaine)","PÉRIMÉ → déplacer en zone Q"),IF(H1428&lt;3,"Péremption &lt; 3 mois",IF(H1428&lt;6,"Péremption &lt; 6 mois",""))))</f>
        <v/>
      </c>
      <c r="J1428" s="17" t="str">
        <f aca="false">IF(A1428="","",IF(COUNTIF(Emplacements!$A$2:$A$1001,A1428)=0,"⚠ emplacement inconnu","OK"))</f>
        <v/>
      </c>
      <c r="K1428" s="22" t="str">
        <f aca="false">IF(AND(B1428&lt;&gt;"",ISNUMBER(SEARCH(Recherche!$C$3,C1428&amp;" "&amp;B1428&amp;" "&amp;A1428&amp;" "&amp;D1428))),MAX($K$1:K1427)+1,"")</f>
        <v/>
      </c>
    </row>
    <row r="1429" customFormat="false" ht="15" hidden="false" customHeight="false" outlineLevel="0" collapsed="false">
      <c r="A1429" s="12"/>
      <c r="B1429" s="12"/>
      <c r="C1429" s="17" t="str">
        <f aca="false">IF(B1429="","",IFERROR(INDEX(Produits!$F$2:$F$1001,MATCH(B1429,Produits!$A$2:$A$1001,0)),"⚠ code article inconnu"))</f>
        <v/>
      </c>
      <c r="D1429" s="12"/>
      <c r="E1429" s="23"/>
      <c r="F1429" s="24"/>
      <c r="G1429" s="23"/>
      <c r="H1429" s="21" t="str">
        <f aca="true">IF(E1429="","",ROUND((E1429-TODAY())/30.4,1))</f>
        <v/>
      </c>
      <c r="I1429" s="17" t="str">
        <f aca="false">IF(E1429="","",IF(H1429&lt;0,IF(LEFT(A1429,1)="Q","Périmé (en quarantaine)","PÉRIMÉ → déplacer en zone Q"),IF(H1429&lt;3,"Péremption &lt; 3 mois",IF(H1429&lt;6,"Péremption &lt; 6 mois",""))))</f>
        <v/>
      </c>
      <c r="J1429" s="17" t="str">
        <f aca="false">IF(A1429="","",IF(COUNTIF(Emplacements!$A$2:$A$1001,A1429)=0,"⚠ emplacement inconnu","OK"))</f>
        <v/>
      </c>
      <c r="K1429" s="22" t="str">
        <f aca="false">IF(AND(B1429&lt;&gt;"",ISNUMBER(SEARCH(Recherche!$C$3,C1429&amp;" "&amp;B1429&amp;" "&amp;A1429&amp;" "&amp;D1429))),MAX($K$1:K1428)+1,"")</f>
        <v/>
      </c>
    </row>
    <row r="1430" customFormat="false" ht="15" hidden="false" customHeight="false" outlineLevel="0" collapsed="false">
      <c r="A1430" s="12"/>
      <c r="B1430" s="12"/>
      <c r="C1430" s="17" t="str">
        <f aca="false">IF(B1430="","",IFERROR(INDEX(Produits!$F$2:$F$1001,MATCH(B1430,Produits!$A$2:$A$1001,0)),"⚠ code article inconnu"))</f>
        <v/>
      </c>
      <c r="D1430" s="12"/>
      <c r="E1430" s="23"/>
      <c r="F1430" s="24"/>
      <c r="G1430" s="23"/>
      <c r="H1430" s="21" t="str">
        <f aca="true">IF(E1430="","",ROUND((E1430-TODAY())/30.4,1))</f>
        <v/>
      </c>
      <c r="I1430" s="17" t="str">
        <f aca="false">IF(E1430="","",IF(H1430&lt;0,IF(LEFT(A1430,1)="Q","Périmé (en quarantaine)","PÉRIMÉ → déplacer en zone Q"),IF(H1430&lt;3,"Péremption &lt; 3 mois",IF(H1430&lt;6,"Péremption &lt; 6 mois",""))))</f>
        <v/>
      </c>
      <c r="J1430" s="17" t="str">
        <f aca="false">IF(A1430="","",IF(COUNTIF(Emplacements!$A$2:$A$1001,A1430)=0,"⚠ emplacement inconnu","OK"))</f>
        <v/>
      </c>
      <c r="K1430" s="22" t="str">
        <f aca="false">IF(AND(B1430&lt;&gt;"",ISNUMBER(SEARCH(Recherche!$C$3,C1430&amp;" "&amp;B1430&amp;" "&amp;A1430&amp;" "&amp;D1430))),MAX($K$1:K1429)+1,"")</f>
        <v/>
      </c>
    </row>
    <row r="1431" customFormat="false" ht="15" hidden="false" customHeight="false" outlineLevel="0" collapsed="false">
      <c r="A1431" s="12"/>
      <c r="B1431" s="12"/>
      <c r="C1431" s="17" t="str">
        <f aca="false">IF(B1431="","",IFERROR(INDEX(Produits!$F$2:$F$1001,MATCH(B1431,Produits!$A$2:$A$1001,0)),"⚠ code article inconnu"))</f>
        <v/>
      </c>
      <c r="D1431" s="12"/>
      <c r="E1431" s="23"/>
      <c r="F1431" s="24"/>
      <c r="G1431" s="23"/>
      <c r="H1431" s="21" t="str">
        <f aca="true">IF(E1431="","",ROUND((E1431-TODAY())/30.4,1))</f>
        <v/>
      </c>
      <c r="I1431" s="17" t="str">
        <f aca="false">IF(E1431="","",IF(H1431&lt;0,IF(LEFT(A1431,1)="Q","Périmé (en quarantaine)","PÉRIMÉ → déplacer en zone Q"),IF(H1431&lt;3,"Péremption &lt; 3 mois",IF(H1431&lt;6,"Péremption &lt; 6 mois",""))))</f>
        <v/>
      </c>
      <c r="J1431" s="17" t="str">
        <f aca="false">IF(A1431="","",IF(COUNTIF(Emplacements!$A$2:$A$1001,A1431)=0,"⚠ emplacement inconnu","OK"))</f>
        <v/>
      </c>
      <c r="K1431" s="22" t="str">
        <f aca="false">IF(AND(B1431&lt;&gt;"",ISNUMBER(SEARCH(Recherche!$C$3,C1431&amp;" "&amp;B1431&amp;" "&amp;A1431&amp;" "&amp;D1431))),MAX($K$1:K1430)+1,"")</f>
        <v/>
      </c>
    </row>
    <row r="1432" customFormat="false" ht="15" hidden="false" customHeight="false" outlineLevel="0" collapsed="false">
      <c r="A1432" s="12"/>
      <c r="B1432" s="12"/>
      <c r="C1432" s="17" t="str">
        <f aca="false">IF(B1432="","",IFERROR(INDEX(Produits!$F$2:$F$1001,MATCH(B1432,Produits!$A$2:$A$1001,0)),"⚠ code article inconnu"))</f>
        <v/>
      </c>
      <c r="D1432" s="12"/>
      <c r="E1432" s="23"/>
      <c r="F1432" s="24"/>
      <c r="G1432" s="23"/>
      <c r="H1432" s="21" t="str">
        <f aca="true">IF(E1432="","",ROUND((E1432-TODAY())/30.4,1))</f>
        <v/>
      </c>
      <c r="I1432" s="17" t="str">
        <f aca="false">IF(E1432="","",IF(H1432&lt;0,IF(LEFT(A1432,1)="Q","Périmé (en quarantaine)","PÉRIMÉ → déplacer en zone Q"),IF(H1432&lt;3,"Péremption &lt; 3 mois",IF(H1432&lt;6,"Péremption &lt; 6 mois",""))))</f>
        <v/>
      </c>
      <c r="J1432" s="17" t="str">
        <f aca="false">IF(A1432="","",IF(COUNTIF(Emplacements!$A$2:$A$1001,A1432)=0,"⚠ emplacement inconnu","OK"))</f>
        <v/>
      </c>
      <c r="K1432" s="22" t="str">
        <f aca="false">IF(AND(B1432&lt;&gt;"",ISNUMBER(SEARCH(Recherche!$C$3,C1432&amp;" "&amp;B1432&amp;" "&amp;A1432&amp;" "&amp;D1432))),MAX($K$1:K1431)+1,"")</f>
        <v/>
      </c>
    </row>
    <row r="1433" customFormat="false" ht="15" hidden="false" customHeight="false" outlineLevel="0" collapsed="false">
      <c r="A1433" s="12"/>
      <c r="B1433" s="12"/>
      <c r="C1433" s="17" t="str">
        <f aca="false">IF(B1433="","",IFERROR(INDEX(Produits!$F$2:$F$1001,MATCH(B1433,Produits!$A$2:$A$1001,0)),"⚠ code article inconnu"))</f>
        <v/>
      </c>
      <c r="D1433" s="12"/>
      <c r="E1433" s="23"/>
      <c r="F1433" s="24"/>
      <c r="G1433" s="23"/>
      <c r="H1433" s="21" t="str">
        <f aca="true">IF(E1433="","",ROUND((E1433-TODAY())/30.4,1))</f>
        <v/>
      </c>
      <c r="I1433" s="17" t="str">
        <f aca="false">IF(E1433="","",IF(H1433&lt;0,IF(LEFT(A1433,1)="Q","Périmé (en quarantaine)","PÉRIMÉ → déplacer en zone Q"),IF(H1433&lt;3,"Péremption &lt; 3 mois",IF(H1433&lt;6,"Péremption &lt; 6 mois",""))))</f>
        <v/>
      </c>
      <c r="J1433" s="17" t="str">
        <f aca="false">IF(A1433="","",IF(COUNTIF(Emplacements!$A$2:$A$1001,A1433)=0,"⚠ emplacement inconnu","OK"))</f>
        <v/>
      </c>
      <c r="K1433" s="22" t="str">
        <f aca="false">IF(AND(B1433&lt;&gt;"",ISNUMBER(SEARCH(Recherche!$C$3,C1433&amp;" "&amp;B1433&amp;" "&amp;A1433&amp;" "&amp;D1433))),MAX($K$1:K1432)+1,"")</f>
        <v/>
      </c>
    </row>
    <row r="1434" customFormat="false" ht="15" hidden="false" customHeight="false" outlineLevel="0" collapsed="false">
      <c r="A1434" s="12"/>
      <c r="B1434" s="12"/>
      <c r="C1434" s="17" t="str">
        <f aca="false">IF(B1434="","",IFERROR(INDEX(Produits!$F$2:$F$1001,MATCH(B1434,Produits!$A$2:$A$1001,0)),"⚠ code article inconnu"))</f>
        <v/>
      </c>
      <c r="D1434" s="12"/>
      <c r="E1434" s="23"/>
      <c r="F1434" s="24"/>
      <c r="G1434" s="23"/>
      <c r="H1434" s="21" t="str">
        <f aca="true">IF(E1434="","",ROUND((E1434-TODAY())/30.4,1))</f>
        <v/>
      </c>
      <c r="I1434" s="17" t="str">
        <f aca="false">IF(E1434="","",IF(H1434&lt;0,IF(LEFT(A1434,1)="Q","Périmé (en quarantaine)","PÉRIMÉ → déplacer en zone Q"),IF(H1434&lt;3,"Péremption &lt; 3 mois",IF(H1434&lt;6,"Péremption &lt; 6 mois",""))))</f>
        <v/>
      </c>
      <c r="J1434" s="17" t="str">
        <f aca="false">IF(A1434="","",IF(COUNTIF(Emplacements!$A$2:$A$1001,A1434)=0,"⚠ emplacement inconnu","OK"))</f>
        <v/>
      </c>
      <c r="K1434" s="22" t="str">
        <f aca="false">IF(AND(B1434&lt;&gt;"",ISNUMBER(SEARCH(Recherche!$C$3,C1434&amp;" "&amp;B1434&amp;" "&amp;A1434&amp;" "&amp;D1434))),MAX($K$1:K1433)+1,"")</f>
        <v/>
      </c>
    </row>
    <row r="1435" customFormat="false" ht="15" hidden="false" customHeight="false" outlineLevel="0" collapsed="false">
      <c r="A1435" s="12"/>
      <c r="B1435" s="12"/>
      <c r="C1435" s="17" t="str">
        <f aca="false">IF(B1435="","",IFERROR(INDEX(Produits!$F$2:$F$1001,MATCH(B1435,Produits!$A$2:$A$1001,0)),"⚠ code article inconnu"))</f>
        <v/>
      </c>
      <c r="D1435" s="12"/>
      <c r="E1435" s="23"/>
      <c r="F1435" s="24"/>
      <c r="G1435" s="23"/>
      <c r="H1435" s="21" t="str">
        <f aca="true">IF(E1435="","",ROUND((E1435-TODAY())/30.4,1))</f>
        <v/>
      </c>
      <c r="I1435" s="17" t="str">
        <f aca="false">IF(E1435="","",IF(H1435&lt;0,IF(LEFT(A1435,1)="Q","Périmé (en quarantaine)","PÉRIMÉ → déplacer en zone Q"),IF(H1435&lt;3,"Péremption &lt; 3 mois",IF(H1435&lt;6,"Péremption &lt; 6 mois",""))))</f>
        <v/>
      </c>
      <c r="J1435" s="17" t="str">
        <f aca="false">IF(A1435="","",IF(COUNTIF(Emplacements!$A$2:$A$1001,A1435)=0,"⚠ emplacement inconnu","OK"))</f>
        <v/>
      </c>
      <c r="K1435" s="22" t="str">
        <f aca="false">IF(AND(B1435&lt;&gt;"",ISNUMBER(SEARCH(Recherche!$C$3,C1435&amp;" "&amp;B1435&amp;" "&amp;A1435&amp;" "&amp;D1435))),MAX($K$1:K1434)+1,"")</f>
        <v/>
      </c>
    </row>
    <row r="1436" customFormat="false" ht="15" hidden="false" customHeight="false" outlineLevel="0" collapsed="false">
      <c r="A1436" s="12"/>
      <c r="B1436" s="12"/>
      <c r="C1436" s="17" t="str">
        <f aca="false">IF(B1436="","",IFERROR(INDEX(Produits!$F$2:$F$1001,MATCH(B1436,Produits!$A$2:$A$1001,0)),"⚠ code article inconnu"))</f>
        <v/>
      </c>
      <c r="D1436" s="12"/>
      <c r="E1436" s="23"/>
      <c r="F1436" s="24"/>
      <c r="G1436" s="23"/>
      <c r="H1436" s="21" t="str">
        <f aca="true">IF(E1436="","",ROUND((E1436-TODAY())/30.4,1))</f>
        <v/>
      </c>
      <c r="I1436" s="17" t="str">
        <f aca="false">IF(E1436="","",IF(H1436&lt;0,IF(LEFT(A1436,1)="Q","Périmé (en quarantaine)","PÉRIMÉ → déplacer en zone Q"),IF(H1436&lt;3,"Péremption &lt; 3 mois",IF(H1436&lt;6,"Péremption &lt; 6 mois",""))))</f>
        <v/>
      </c>
      <c r="J1436" s="17" t="str">
        <f aca="false">IF(A1436="","",IF(COUNTIF(Emplacements!$A$2:$A$1001,A1436)=0,"⚠ emplacement inconnu","OK"))</f>
        <v/>
      </c>
      <c r="K1436" s="22" t="str">
        <f aca="false">IF(AND(B1436&lt;&gt;"",ISNUMBER(SEARCH(Recherche!$C$3,C1436&amp;" "&amp;B1436&amp;" "&amp;A1436&amp;" "&amp;D1436))),MAX($K$1:K1435)+1,"")</f>
        <v/>
      </c>
    </row>
    <row r="1437" customFormat="false" ht="15" hidden="false" customHeight="false" outlineLevel="0" collapsed="false">
      <c r="A1437" s="12"/>
      <c r="B1437" s="12"/>
      <c r="C1437" s="17" t="str">
        <f aca="false">IF(B1437="","",IFERROR(INDEX(Produits!$F$2:$F$1001,MATCH(B1437,Produits!$A$2:$A$1001,0)),"⚠ code article inconnu"))</f>
        <v/>
      </c>
      <c r="D1437" s="12"/>
      <c r="E1437" s="23"/>
      <c r="F1437" s="24"/>
      <c r="G1437" s="23"/>
      <c r="H1437" s="21" t="str">
        <f aca="true">IF(E1437="","",ROUND((E1437-TODAY())/30.4,1))</f>
        <v/>
      </c>
      <c r="I1437" s="17" t="str">
        <f aca="false">IF(E1437="","",IF(H1437&lt;0,IF(LEFT(A1437,1)="Q","Périmé (en quarantaine)","PÉRIMÉ → déplacer en zone Q"),IF(H1437&lt;3,"Péremption &lt; 3 mois",IF(H1437&lt;6,"Péremption &lt; 6 mois",""))))</f>
        <v/>
      </c>
      <c r="J1437" s="17" t="str">
        <f aca="false">IF(A1437="","",IF(COUNTIF(Emplacements!$A$2:$A$1001,A1437)=0,"⚠ emplacement inconnu","OK"))</f>
        <v/>
      </c>
      <c r="K1437" s="22" t="str">
        <f aca="false">IF(AND(B1437&lt;&gt;"",ISNUMBER(SEARCH(Recherche!$C$3,C1437&amp;" "&amp;B1437&amp;" "&amp;A1437&amp;" "&amp;D1437))),MAX($K$1:K1436)+1,"")</f>
        <v/>
      </c>
    </row>
    <row r="1438" customFormat="false" ht="15" hidden="false" customHeight="false" outlineLevel="0" collapsed="false">
      <c r="A1438" s="12"/>
      <c r="B1438" s="12"/>
      <c r="C1438" s="17" t="str">
        <f aca="false">IF(B1438="","",IFERROR(INDEX(Produits!$F$2:$F$1001,MATCH(B1438,Produits!$A$2:$A$1001,0)),"⚠ code article inconnu"))</f>
        <v/>
      </c>
      <c r="D1438" s="12"/>
      <c r="E1438" s="23"/>
      <c r="F1438" s="24"/>
      <c r="G1438" s="23"/>
      <c r="H1438" s="21" t="str">
        <f aca="true">IF(E1438="","",ROUND((E1438-TODAY())/30.4,1))</f>
        <v/>
      </c>
      <c r="I1438" s="17" t="str">
        <f aca="false">IF(E1438="","",IF(H1438&lt;0,IF(LEFT(A1438,1)="Q","Périmé (en quarantaine)","PÉRIMÉ → déplacer en zone Q"),IF(H1438&lt;3,"Péremption &lt; 3 mois",IF(H1438&lt;6,"Péremption &lt; 6 mois",""))))</f>
        <v/>
      </c>
      <c r="J1438" s="17" t="str">
        <f aca="false">IF(A1438="","",IF(COUNTIF(Emplacements!$A$2:$A$1001,A1438)=0,"⚠ emplacement inconnu","OK"))</f>
        <v/>
      </c>
      <c r="K1438" s="22" t="str">
        <f aca="false">IF(AND(B1438&lt;&gt;"",ISNUMBER(SEARCH(Recherche!$C$3,C1438&amp;" "&amp;B1438&amp;" "&amp;A1438&amp;" "&amp;D1438))),MAX($K$1:K1437)+1,"")</f>
        <v/>
      </c>
    </row>
    <row r="1439" customFormat="false" ht="15" hidden="false" customHeight="false" outlineLevel="0" collapsed="false">
      <c r="A1439" s="12"/>
      <c r="B1439" s="12"/>
      <c r="C1439" s="17" t="str">
        <f aca="false">IF(B1439="","",IFERROR(INDEX(Produits!$F$2:$F$1001,MATCH(B1439,Produits!$A$2:$A$1001,0)),"⚠ code article inconnu"))</f>
        <v/>
      </c>
      <c r="D1439" s="12"/>
      <c r="E1439" s="23"/>
      <c r="F1439" s="24"/>
      <c r="G1439" s="23"/>
      <c r="H1439" s="21" t="str">
        <f aca="true">IF(E1439="","",ROUND((E1439-TODAY())/30.4,1))</f>
        <v/>
      </c>
      <c r="I1439" s="17" t="str">
        <f aca="false">IF(E1439="","",IF(H1439&lt;0,IF(LEFT(A1439,1)="Q","Périmé (en quarantaine)","PÉRIMÉ → déplacer en zone Q"),IF(H1439&lt;3,"Péremption &lt; 3 mois",IF(H1439&lt;6,"Péremption &lt; 6 mois",""))))</f>
        <v/>
      </c>
      <c r="J1439" s="17" t="str">
        <f aca="false">IF(A1439="","",IF(COUNTIF(Emplacements!$A$2:$A$1001,A1439)=0,"⚠ emplacement inconnu","OK"))</f>
        <v/>
      </c>
      <c r="K1439" s="22" t="str">
        <f aca="false">IF(AND(B1439&lt;&gt;"",ISNUMBER(SEARCH(Recherche!$C$3,C1439&amp;" "&amp;B1439&amp;" "&amp;A1439&amp;" "&amp;D1439))),MAX($K$1:K1438)+1,"")</f>
        <v/>
      </c>
    </row>
    <row r="1440" customFormat="false" ht="15" hidden="false" customHeight="false" outlineLevel="0" collapsed="false">
      <c r="A1440" s="12"/>
      <c r="B1440" s="12"/>
      <c r="C1440" s="17" t="str">
        <f aca="false">IF(B1440="","",IFERROR(INDEX(Produits!$F$2:$F$1001,MATCH(B1440,Produits!$A$2:$A$1001,0)),"⚠ code article inconnu"))</f>
        <v/>
      </c>
      <c r="D1440" s="12"/>
      <c r="E1440" s="23"/>
      <c r="F1440" s="24"/>
      <c r="G1440" s="23"/>
      <c r="H1440" s="21" t="str">
        <f aca="true">IF(E1440="","",ROUND((E1440-TODAY())/30.4,1))</f>
        <v/>
      </c>
      <c r="I1440" s="17" t="str">
        <f aca="false">IF(E1440="","",IF(H1440&lt;0,IF(LEFT(A1440,1)="Q","Périmé (en quarantaine)","PÉRIMÉ → déplacer en zone Q"),IF(H1440&lt;3,"Péremption &lt; 3 mois",IF(H1440&lt;6,"Péremption &lt; 6 mois",""))))</f>
        <v/>
      </c>
      <c r="J1440" s="17" t="str">
        <f aca="false">IF(A1440="","",IF(COUNTIF(Emplacements!$A$2:$A$1001,A1440)=0,"⚠ emplacement inconnu","OK"))</f>
        <v/>
      </c>
      <c r="K1440" s="22" t="str">
        <f aca="false">IF(AND(B1440&lt;&gt;"",ISNUMBER(SEARCH(Recherche!$C$3,C1440&amp;" "&amp;B1440&amp;" "&amp;A1440&amp;" "&amp;D1440))),MAX($K$1:K1439)+1,"")</f>
        <v/>
      </c>
    </row>
    <row r="1441" customFormat="false" ht="15" hidden="false" customHeight="false" outlineLevel="0" collapsed="false">
      <c r="A1441" s="12"/>
      <c r="B1441" s="12"/>
      <c r="C1441" s="17" t="str">
        <f aca="false">IF(B1441="","",IFERROR(INDEX(Produits!$F$2:$F$1001,MATCH(B1441,Produits!$A$2:$A$1001,0)),"⚠ code article inconnu"))</f>
        <v/>
      </c>
      <c r="D1441" s="12"/>
      <c r="E1441" s="23"/>
      <c r="F1441" s="24"/>
      <c r="G1441" s="23"/>
      <c r="H1441" s="21" t="str">
        <f aca="true">IF(E1441="","",ROUND((E1441-TODAY())/30.4,1))</f>
        <v/>
      </c>
      <c r="I1441" s="17" t="str">
        <f aca="false">IF(E1441="","",IF(H1441&lt;0,IF(LEFT(A1441,1)="Q","Périmé (en quarantaine)","PÉRIMÉ → déplacer en zone Q"),IF(H1441&lt;3,"Péremption &lt; 3 mois",IF(H1441&lt;6,"Péremption &lt; 6 mois",""))))</f>
        <v/>
      </c>
      <c r="J1441" s="17" t="str">
        <f aca="false">IF(A1441="","",IF(COUNTIF(Emplacements!$A$2:$A$1001,A1441)=0,"⚠ emplacement inconnu","OK"))</f>
        <v/>
      </c>
      <c r="K1441" s="22" t="str">
        <f aca="false">IF(AND(B1441&lt;&gt;"",ISNUMBER(SEARCH(Recherche!$C$3,C1441&amp;" "&amp;B1441&amp;" "&amp;A1441&amp;" "&amp;D1441))),MAX($K$1:K1440)+1,"")</f>
        <v/>
      </c>
    </row>
    <row r="1442" customFormat="false" ht="15" hidden="false" customHeight="false" outlineLevel="0" collapsed="false">
      <c r="A1442" s="12"/>
      <c r="B1442" s="12"/>
      <c r="C1442" s="17" t="str">
        <f aca="false">IF(B1442="","",IFERROR(INDEX(Produits!$F$2:$F$1001,MATCH(B1442,Produits!$A$2:$A$1001,0)),"⚠ code article inconnu"))</f>
        <v/>
      </c>
      <c r="D1442" s="12"/>
      <c r="E1442" s="23"/>
      <c r="F1442" s="24"/>
      <c r="G1442" s="23"/>
      <c r="H1442" s="21" t="str">
        <f aca="true">IF(E1442="","",ROUND((E1442-TODAY())/30.4,1))</f>
        <v/>
      </c>
      <c r="I1442" s="17" t="str">
        <f aca="false">IF(E1442="","",IF(H1442&lt;0,IF(LEFT(A1442,1)="Q","Périmé (en quarantaine)","PÉRIMÉ → déplacer en zone Q"),IF(H1442&lt;3,"Péremption &lt; 3 mois",IF(H1442&lt;6,"Péremption &lt; 6 mois",""))))</f>
        <v/>
      </c>
      <c r="J1442" s="17" t="str">
        <f aca="false">IF(A1442="","",IF(COUNTIF(Emplacements!$A$2:$A$1001,A1442)=0,"⚠ emplacement inconnu","OK"))</f>
        <v/>
      </c>
      <c r="K1442" s="22" t="str">
        <f aca="false">IF(AND(B1442&lt;&gt;"",ISNUMBER(SEARCH(Recherche!$C$3,C1442&amp;" "&amp;B1442&amp;" "&amp;A1442&amp;" "&amp;D1442))),MAX($K$1:K1441)+1,"")</f>
        <v/>
      </c>
    </row>
    <row r="1443" customFormat="false" ht="15" hidden="false" customHeight="false" outlineLevel="0" collapsed="false">
      <c r="A1443" s="12"/>
      <c r="B1443" s="12"/>
      <c r="C1443" s="17" t="str">
        <f aca="false">IF(B1443="","",IFERROR(INDEX(Produits!$F$2:$F$1001,MATCH(B1443,Produits!$A$2:$A$1001,0)),"⚠ code article inconnu"))</f>
        <v/>
      </c>
      <c r="D1443" s="12"/>
      <c r="E1443" s="23"/>
      <c r="F1443" s="24"/>
      <c r="G1443" s="23"/>
      <c r="H1443" s="21" t="str">
        <f aca="true">IF(E1443="","",ROUND((E1443-TODAY())/30.4,1))</f>
        <v/>
      </c>
      <c r="I1443" s="17" t="str">
        <f aca="false">IF(E1443="","",IF(H1443&lt;0,IF(LEFT(A1443,1)="Q","Périmé (en quarantaine)","PÉRIMÉ → déplacer en zone Q"),IF(H1443&lt;3,"Péremption &lt; 3 mois",IF(H1443&lt;6,"Péremption &lt; 6 mois",""))))</f>
        <v/>
      </c>
      <c r="J1443" s="17" t="str">
        <f aca="false">IF(A1443="","",IF(COUNTIF(Emplacements!$A$2:$A$1001,A1443)=0,"⚠ emplacement inconnu","OK"))</f>
        <v/>
      </c>
      <c r="K1443" s="22" t="str">
        <f aca="false">IF(AND(B1443&lt;&gt;"",ISNUMBER(SEARCH(Recherche!$C$3,C1443&amp;" "&amp;B1443&amp;" "&amp;A1443&amp;" "&amp;D1443))),MAX($K$1:K1442)+1,"")</f>
        <v/>
      </c>
    </row>
    <row r="1444" customFormat="false" ht="15" hidden="false" customHeight="false" outlineLevel="0" collapsed="false">
      <c r="A1444" s="12"/>
      <c r="B1444" s="12"/>
      <c r="C1444" s="17" t="str">
        <f aca="false">IF(B1444="","",IFERROR(INDEX(Produits!$F$2:$F$1001,MATCH(B1444,Produits!$A$2:$A$1001,0)),"⚠ code article inconnu"))</f>
        <v/>
      </c>
      <c r="D1444" s="12"/>
      <c r="E1444" s="23"/>
      <c r="F1444" s="24"/>
      <c r="G1444" s="23"/>
      <c r="H1444" s="21" t="str">
        <f aca="true">IF(E1444="","",ROUND((E1444-TODAY())/30.4,1))</f>
        <v/>
      </c>
      <c r="I1444" s="17" t="str">
        <f aca="false">IF(E1444="","",IF(H1444&lt;0,IF(LEFT(A1444,1)="Q","Périmé (en quarantaine)","PÉRIMÉ → déplacer en zone Q"),IF(H1444&lt;3,"Péremption &lt; 3 mois",IF(H1444&lt;6,"Péremption &lt; 6 mois",""))))</f>
        <v/>
      </c>
      <c r="J1444" s="17" t="str">
        <f aca="false">IF(A1444="","",IF(COUNTIF(Emplacements!$A$2:$A$1001,A1444)=0,"⚠ emplacement inconnu","OK"))</f>
        <v/>
      </c>
      <c r="K1444" s="22" t="str">
        <f aca="false">IF(AND(B1444&lt;&gt;"",ISNUMBER(SEARCH(Recherche!$C$3,C1444&amp;" "&amp;B1444&amp;" "&amp;A1444&amp;" "&amp;D1444))),MAX($K$1:K1443)+1,"")</f>
        <v/>
      </c>
    </row>
    <row r="1445" customFormat="false" ht="15" hidden="false" customHeight="false" outlineLevel="0" collapsed="false">
      <c r="A1445" s="12"/>
      <c r="B1445" s="12"/>
      <c r="C1445" s="17" t="str">
        <f aca="false">IF(B1445="","",IFERROR(INDEX(Produits!$F$2:$F$1001,MATCH(B1445,Produits!$A$2:$A$1001,0)),"⚠ code article inconnu"))</f>
        <v/>
      </c>
      <c r="D1445" s="12"/>
      <c r="E1445" s="23"/>
      <c r="F1445" s="24"/>
      <c r="G1445" s="23"/>
      <c r="H1445" s="21" t="str">
        <f aca="true">IF(E1445="","",ROUND((E1445-TODAY())/30.4,1))</f>
        <v/>
      </c>
      <c r="I1445" s="17" t="str">
        <f aca="false">IF(E1445="","",IF(H1445&lt;0,IF(LEFT(A1445,1)="Q","Périmé (en quarantaine)","PÉRIMÉ → déplacer en zone Q"),IF(H1445&lt;3,"Péremption &lt; 3 mois",IF(H1445&lt;6,"Péremption &lt; 6 mois",""))))</f>
        <v/>
      </c>
      <c r="J1445" s="17" t="str">
        <f aca="false">IF(A1445="","",IF(COUNTIF(Emplacements!$A$2:$A$1001,A1445)=0,"⚠ emplacement inconnu","OK"))</f>
        <v/>
      </c>
      <c r="K1445" s="22" t="str">
        <f aca="false">IF(AND(B1445&lt;&gt;"",ISNUMBER(SEARCH(Recherche!$C$3,C1445&amp;" "&amp;B1445&amp;" "&amp;A1445&amp;" "&amp;D1445))),MAX($K$1:K1444)+1,"")</f>
        <v/>
      </c>
    </row>
    <row r="1446" customFormat="false" ht="15" hidden="false" customHeight="false" outlineLevel="0" collapsed="false">
      <c r="A1446" s="12"/>
      <c r="B1446" s="12"/>
      <c r="C1446" s="17" t="str">
        <f aca="false">IF(B1446="","",IFERROR(INDEX(Produits!$F$2:$F$1001,MATCH(B1446,Produits!$A$2:$A$1001,0)),"⚠ code article inconnu"))</f>
        <v/>
      </c>
      <c r="D1446" s="12"/>
      <c r="E1446" s="23"/>
      <c r="F1446" s="24"/>
      <c r="G1446" s="23"/>
      <c r="H1446" s="21" t="str">
        <f aca="true">IF(E1446="","",ROUND((E1446-TODAY())/30.4,1))</f>
        <v/>
      </c>
      <c r="I1446" s="17" t="str">
        <f aca="false">IF(E1446="","",IF(H1446&lt;0,IF(LEFT(A1446,1)="Q","Périmé (en quarantaine)","PÉRIMÉ → déplacer en zone Q"),IF(H1446&lt;3,"Péremption &lt; 3 mois",IF(H1446&lt;6,"Péremption &lt; 6 mois",""))))</f>
        <v/>
      </c>
      <c r="J1446" s="17" t="str">
        <f aca="false">IF(A1446="","",IF(COUNTIF(Emplacements!$A$2:$A$1001,A1446)=0,"⚠ emplacement inconnu","OK"))</f>
        <v/>
      </c>
      <c r="K1446" s="22" t="str">
        <f aca="false">IF(AND(B1446&lt;&gt;"",ISNUMBER(SEARCH(Recherche!$C$3,C1446&amp;" "&amp;B1446&amp;" "&amp;A1446&amp;" "&amp;D1446))),MAX($K$1:K1445)+1,"")</f>
        <v/>
      </c>
    </row>
    <row r="1447" customFormat="false" ht="15" hidden="false" customHeight="false" outlineLevel="0" collapsed="false">
      <c r="A1447" s="12"/>
      <c r="B1447" s="12"/>
      <c r="C1447" s="17" t="str">
        <f aca="false">IF(B1447="","",IFERROR(INDEX(Produits!$F$2:$F$1001,MATCH(B1447,Produits!$A$2:$A$1001,0)),"⚠ code article inconnu"))</f>
        <v/>
      </c>
      <c r="D1447" s="12"/>
      <c r="E1447" s="23"/>
      <c r="F1447" s="24"/>
      <c r="G1447" s="23"/>
      <c r="H1447" s="21" t="str">
        <f aca="true">IF(E1447="","",ROUND((E1447-TODAY())/30.4,1))</f>
        <v/>
      </c>
      <c r="I1447" s="17" t="str">
        <f aca="false">IF(E1447="","",IF(H1447&lt;0,IF(LEFT(A1447,1)="Q","Périmé (en quarantaine)","PÉRIMÉ → déplacer en zone Q"),IF(H1447&lt;3,"Péremption &lt; 3 mois",IF(H1447&lt;6,"Péremption &lt; 6 mois",""))))</f>
        <v/>
      </c>
      <c r="J1447" s="17" t="str">
        <f aca="false">IF(A1447="","",IF(COUNTIF(Emplacements!$A$2:$A$1001,A1447)=0,"⚠ emplacement inconnu","OK"))</f>
        <v/>
      </c>
      <c r="K1447" s="22" t="str">
        <f aca="false">IF(AND(B1447&lt;&gt;"",ISNUMBER(SEARCH(Recherche!$C$3,C1447&amp;" "&amp;B1447&amp;" "&amp;A1447&amp;" "&amp;D1447))),MAX($K$1:K1446)+1,"")</f>
        <v/>
      </c>
    </row>
    <row r="1448" customFormat="false" ht="15" hidden="false" customHeight="false" outlineLevel="0" collapsed="false">
      <c r="A1448" s="12"/>
      <c r="B1448" s="12"/>
      <c r="C1448" s="17" t="str">
        <f aca="false">IF(B1448="","",IFERROR(INDEX(Produits!$F$2:$F$1001,MATCH(B1448,Produits!$A$2:$A$1001,0)),"⚠ code article inconnu"))</f>
        <v/>
      </c>
      <c r="D1448" s="12"/>
      <c r="E1448" s="23"/>
      <c r="F1448" s="24"/>
      <c r="G1448" s="23"/>
      <c r="H1448" s="21" t="str">
        <f aca="true">IF(E1448="","",ROUND((E1448-TODAY())/30.4,1))</f>
        <v/>
      </c>
      <c r="I1448" s="17" t="str">
        <f aca="false">IF(E1448="","",IF(H1448&lt;0,IF(LEFT(A1448,1)="Q","Périmé (en quarantaine)","PÉRIMÉ → déplacer en zone Q"),IF(H1448&lt;3,"Péremption &lt; 3 mois",IF(H1448&lt;6,"Péremption &lt; 6 mois",""))))</f>
        <v/>
      </c>
      <c r="J1448" s="17" t="str">
        <f aca="false">IF(A1448="","",IF(COUNTIF(Emplacements!$A$2:$A$1001,A1448)=0,"⚠ emplacement inconnu","OK"))</f>
        <v/>
      </c>
      <c r="K1448" s="22" t="str">
        <f aca="false">IF(AND(B1448&lt;&gt;"",ISNUMBER(SEARCH(Recherche!$C$3,C1448&amp;" "&amp;B1448&amp;" "&amp;A1448&amp;" "&amp;D1448))),MAX($K$1:K1447)+1,"")</f>
        <v/>
      </c>
    </row>
    <row r="1449" customFormat="false" ht="15" hidden="false" customHeight="false" outlineLevel="0" collapsed="false">
      <c r="A1449" s="12"/>
      <c r="B1449" s="12"/>
      <c r="C1449" s="17" t="str">
        <f aca="false">IF(B1449="","",IFERROR(INDEX(Produits!$F$2:$F$1001,MATCH(B1449,Produits!$A$2:$A$1001,0)),"⚠ code article inconnu"))</f>
        <v/>
      </c>
      <c r="D1449" s="12"/>
      <c r="E1449" s="23"/>
      <c r="F1449" s="24"/>
      <c r="G1449" s="23"/>
      <c r="H1449" s="21" t="str">
        <f aca="true">IF(E1449="","",ROUND((E1449-TODAY())/30.4,1))</f>
        <v/>
      </c>
      <c r="I1449" s="17" t="str">
        <f aca="false">IF(E1449="","",IF(H1449&lt;0,IF(LEFT(A1449,1)="Q","Périmé (en quarantaine)","PÉRIMÉ → déplacer en zone Q"),IF(H1449&lt;3,"Péremption &lt; 3 mois",IF(H1449&lt;6,"Péremption &lt; 6 mois",""))))</f>
        <v/>
      </c>
      <c r="J1449" s="17" t="str">
        <f aca="false">IF(A1449="","",IF(COUNTIF(Emplacements!$A$2:$A$1001,A1449)=0,"⚠ emplacement inconnu","OK"))</f>
        <v/>
      </c>
      <c r="K1449" s="22" t="str">
        <f aca="false">IF(AND(B1449&lt;&gt;"",ISNUMBER(SEARCH(Recherche!$C$3,C1449&amp;" "&amp;B1449&amp;" "&amp;A1449&amp;" "&amp;D1449))),MAX($K$1:K1448)+1,"")</f>
        <v/>
      </c>
    </row>
    <row r="1450" customFormat="false" ht="15" hidden="false" customHeight="false" outlineLevel="0" collapsed="false">
      <c r="A1450" s="12"/>
      <c r="B1450" s="12"/>
      <c r="C1450" s="17" t="str">
        <f aca="false">IF(B1450="","",IFERROR(INDEX(Produits!$F$2:$F$1001,MATCH(B1450,Produits!$A$2:$A$1001,0)),"⚠ code article inconnu"))</f>
        <v/>
      </c>
      <c r="D1450" s="12"/>
      <c r="E1450" s="23"/>
      <c r="F1450" s="24"/>
      <c r="G1450" s="23"/>
      <c r="H1450" s="21" t="str">
        <f aca="true">IF(E1450="","",ROUND((E1450-TODAY())/30.4,1))</f>
        <v/>
      </c>
      <c r="I1450" s="17" t="str">
        <f aca="false">IF(E1450="","",IF(H1450&lt;0,IF(LEFT(A1450,1)="Q","Périmé (en quarantaine)","PÉRIMÉ → déplacer en zone Q"),IF(H1450&lt;3,"Péremption &lt; 3 mois",IF(H1450&lt;6,"Péremption &lt; 6 mois",""))))</f>
        <v/>
      </c>
      <c r="J1450" s="17" t="str">
        <f aca="false">IF(A1450="","",IF(COUNTIF(Emplacements!$A$2:$A$1001,A1450)=0,"⚠ emplacement inconnu","OK"))</f>
        <v/>
      </c>
      <c r="K1450" s="22" t="str">
        <f aca="false">IF(AND(B1450&lt;&gt;"",ISNUMBER(SEARCH(Recherche!$C$3,C1450&amp;" "&amp;B1450&amp;" "&amp;A1450&amp;" "&amp;D1450))),MAX($K$1:K1449)+1,"")</f>
        <v/>
      </c>
    </row>
    <row r="1451" customFormat="false" ht="15" hidden="false" customHeight="false" outlineLevel="0" collapsed="false">
      <c r="A1451" s="12"/>
      <c r="B1451" s="12"/>
      <c r="C1451" s="17" t="str">
        <f aca="false">IF(B1451="","",IFERROR(INDEX(Produits!$F$2:$F$1001,MATCH(B1451,Produits!$A$2:$A$1001,0)),"⚠ code article inconnu"))</f>
        <v/>
      </c>
      <c r="D1451" s="12"/>
      <c r="E1451" s="23"/>
      <c r="F1451" s="24"/>
      <c r="G1451" s="23"/>
      <c r="H1451" s="21" t="str">
        <f aca="true">IF(E1451="","",ROUND((E1451-TODAY())/30.4,1))</f>
        <v/>
      </c>
      <c r="I1451" s="17" t="str">
        <f aca="false">IF(E1451="","",IF(H1451&lt;0,IF(LEFT(A1451,1)="Q","Périmé (en quarantaine)","PÉRIMÉ → déplacer en zone Q"),IF(H1451&lt;3,"Péremption &lt; 3 mois",IF(H1451&lt;6,"Péremption &lt; 6 mois",""))))</f>
        <v/>
      </c>
      <c r="J1451" s="17" t="str">
        <f aca="false">IF(A1451="","",IF(COUNTIF(Emplacements!$A$2:$A$1001,A1451)=0,"⚠ emplacement inconnu","OK"))</f>
        <v/>
      </c>
      <c r="K1451" s="22" t="str">
        <f aca="false">IF(AND(B1451&lt;&gt;"",ISNUMBER(SEARCH(Recherche!$C$3,C1451&amp;" "&amp;B1451&amp;" "&amp;A1451&amp;" "&amp;D1451))),MAX($K$1:K1450)+1,"")</f>
        <v/>
      </c>
    </row>
    <row r="1452" customFormat="false" ht="15" hidden="false" customHeight="false" outlineLevel="0" collapsed="false">
      <c r="A1452" s="12"/>
      <c r="B1452" s="12"/>
      <c r="C1452" s="17" t="str">
        <f aca="false">IF(B1452="","",IFERROR(INDEX(Produits!$F$2:$F$1001,MATCH(B1452,Produits!$A$2:$A$1001,0)),"⚠ code article inconnu"))</f>
        <v/>
      </c>
      <c r="D1452" s="12"/>
      <c r="E1452" s="23"/>
      <c r="F1452" s="24"/>
      <c r="G1452" s="23"/>
      <c r="H1452" s="21" t="str">
        <f aca="true">IF(E1452="","",ROUND((E1452-TODAY())/30.4,1))</f>
        <v/>
      </c>
      <c r="I1452" s="17" t="str">
        <f aca="false">IF(E1452="","",IF(H1452&lt;0,IF(LEFT(A1452,1)="Q","Périmé (en quarantaine)","PÉRIMÉ → déplacer en zone Q"),IF(H1452&lt;3,"Péremption &lt; 3 mois",IF(H1452&lt;6,"Péremption &lt; 6 mois",""))))</f>
        <v/>
      </c>
      <c r="J1452" s="17" t="str">
        <f aca="false">IF(A1452="","",IF(COUNTIF(Emplacements!$A$2:$A$1001,A1452)=0,"⚠ emplacement inconnu","OK"))</f>
        <v/>
      </c>
      <c r="K1452" s="22" t="str">
        <f aca="false">IF(AND(B1452&lt;&gt;"",ISNUMBER(SEARCH(Recherche!$C$3,C1452&amp;" "&amp;B1452&amp;" "&amp;A1452&amp;" "&amp;D1452))),MAX($K$1:K1451)+1,"")</f>
        <v/>
      </c>
    </row>
    <row r="1453" customFormat="false" ht="15" hidden="false" customHeight="false" outlineLevel="0" collapsed="false">
      <c r="A1453" s="12"/>
      <c r="B1453" s="12"/>
      <c r="C1453" s="17" t="str">
        <f aca="false">IF(B1453="","",IFERROR(INDEX(Produits!$F$2:$F$1001,MATCH(B1453,Produits!$A$2:$A$1001,0)),"⚠ code article inconnu"))</f>
        <v/>
      </c>
      <c r="D1453" s="12"/>
      <c r="E1453" s="23"/>
      <c r="F1453" s="24"/>
      <c r="G1453" s="23"/>
      <c r="H1453" s="21" t="str">
        <f aca="true">IF(E1453="","",ROUND((E1453-TODAY())/30.4,1))</f>
        <v/>
      </c>
      <c r="I1453" s="17" t="str">
        <f aca="false">IF(E1453="","",IF(H1453&lt;0,IF(LEFT(A1453,1)="Q","Périmé (en quarantaine)","PÉRIMÉ → déplacer en zone Q"),IF(H1453&lt;3,"Péremption &lt; 3 mois",IF(H1453&lt;6,"Péremption &lt; 6 mois",""))))</f>
        <v/>
      </c>
      <c r="J1453" s="17" t="str">
        <f aca="false">IF(A1453="","",IF(COUNTIF(Emplacements!$A$2:$A$1001,A1453)=0,"⚠ emplacement inconnu","OK"))</f>
        <v/>
      </c>
      <c r="K1453" s="22" t="str">
        <f aca="false">IF(AND(B1453&lt;&gt;"",ISNUMBER(SEARCH(Recherche!$C$3,C1453&amp;" "&amp;B1453&amp;" "&amp;A1453&amp;" "&amp;D1453))),MAX($K$1:K1452)+1,"")</f>
        <v/>
      </c>
    </row>
    <row r="1454" customFormat="false" ht="15" hidden="false" customHeight="false" outlineLevel="0" collapsed="false">
      <c r="A1454" s="12"/>
      <c r="B1454" s="12"/>
      <c r="C1454" s="17" t="str">
        <f aca="false">IF(B1454="","",IFERROR(INDEX(Produits!$F$2:$F$1001,MATCH(B1454,Produits!$A$2:$A$1001,0)),"⚠ code article inconnu"))</f>
        <v/>
      </c>
      <c r="D1454" s="12"/>
      <c r="E1454" s="23"/>
      <c r="F1454" s="24"/>
      <c r="G1454" s="23"/>
      <c r="H1454" s="21" t="str">
        <f aca="true">IF(E1454="","",ROUND((E1454-TODAY())/30.4,1))</f>
        <v/>
      </c>
      <c r="I1454" s="17" t="str">
        <f aca="false">IF(E1454="","",IF(H1454&lt;0,IF(LEFT(A1454,1)="Q","Périmé (en quarantaine)","PÉRIMÉ → déplacer en zone Q"),IF(H1454&lt;3,"Péremption &lt; 3 mois",IF(H1454&lt;6,"Péremption &lt; 6 mois",""))))</f>
        <v/>
      </c>
      <c r="J1454" s="17" t="str">
        <f aca="false">IF(A1454="","",IF(COUNTIF(Emplacements!$A$2:$A$1001,A1454)=0,"⚠ emplacement inconnu","OK"))</f>
        <v/>
      </c>
      <c r="K1454" s="22" t="str">
        <f aca="false">IF(AND(B1454&lt;&gt;"",ISNUMBER(SEARCH(Recherche!$C$3,C1454&amp;" "&amp;B1454&amp;" "&amp;A1454&amp;" "&amp;D1454))),MAX($K$1:K1453)+1,"")</f>
        <v/>
      </c>
    </row>
    <row r="1455" customFormat="false" ht="15" hidden="false" customHeight="false" outlineLevel="0" collapsed="false">
      <c r="A1455" s="12"/>
      <c r="B1455" s="12"/>
      <c r="C1455" s="17" t="str">
        <f aca="false">IF(B1455="","",IFERROR(INDEX(Produits!$F$2:$F$1001,MATCH(B1455,Produits!$A$2:$A$1001,0)),"⚠ code article inconnu"))</f>
        <v/>
      </c>
      <c r="D1455" s="12"/>
      <c r="E1455" s="23"/>
      <c r="F1455" s="24"/>
      <c r="G1455" s="23"/>
      <c r="H1455" s="21" t="str">
        <f aca="true">IF(E1455="","",ROUND((E1455-TODAY())/30.4,1))</f>
        <v/>
      </c>
      <c r="I1455" s="17" t="str">
        <f aca="false">IF(E1455="","",IF(H1455&lt;0,IF(LEFT(A1455,1)="Q","Périmé (en quarantaine)","PÉRIMÉ → déplacer en zone Q"),IF(H1455&lt;3,"Péremption &lt; 3 mois",IF(H1455&lt;6,"Péremption &lt; 6 mois",""))))</f>
        <v/>
      </c>
      <c r="J1455" s="17" t="str">
        <f aca="false">IF(A1455="","",IF(COUNTIF(Emplacements!$A$2:$A$1001,A1455)=0,"⚠ emplacement inconnu","OK"))</f>
        <v/>
      </c>
      <c r="K1455" s="22" t="str">
        <f aca="false">IF(AND(B1455&lt;&gt;"",ISNUMBER(SEARCH(Recherche!$C$3,C1455&amp;" "&amp;B1455&amp;" "&amp;A1455&amp;" "&amp;D1455))),MAX($K$1:K1454)+1,"")</f>
        <v/>
      </c>
    </row>
    <row r="1456" customFormat="false" ht="15" hidden="false" customHeight="false" outlineLevel="0" collapsed="false">
      <c r="A1456" s="12"/>
      <c r="B1456" s="12"/>
      <c r="C1456" s="17" t="str">
        <f aca="false">IF(B1456="","",IFERROR(INDEX(Produits!$F$2:$F$1001,MATCH(B1456,Produits!$A$2:$A$1001,0)),"⚠ code article inconnu"))</f>
        <v/>
      </c>
      <c r="D1456" s="12"/>
      <c r="E1456" s="23"/>
      <c r="F1456" s="24"/>
      <c r="G1456" s="23"/>
      <c r="H1456" s="21" t="str">
        <f aca="true">IF(E1456="","",ROUND((E1456-TODAY())/30.4,1))</f>
        <v/>
      </c>
      <c r="I1456" s="17" t="str">
        <f aca="false">IF(E1456="","",IF(H1456&lt;0,IF(LEFT(A1456,1)="Q","Périmé (en quarantaine)","PÉRIMÉ → déplacer en zone Q"),IF(H1456&lt;3,"Péremption &lt; 3 mois",IF(H1456&lt;6,"Péremption &lt; 6 mois",""))))</f>
        <v/>
      </c>
      <c r="J1456" s="17" t="str">
        <f aca="false">IF(A1456="","",IF(COUNTIF(Emplacements!$A$2:$A$1001,A1456)=0,"⚠ emplacement inconnu","OK"))</f>
        <v/>
      </c>
      <c r="K1456" s="22" t="str">
        <f aca="false">IF(AND(B1456&lt;&gt;"",ISNUMBER(SEARCH(Recherche!$C$3,C1456&amp;" "&amp;B1456&amp;" "&amp;A1456&amp;" "&amp;D1456))),MAX($K$1:K1455)+1,"")</f>
        <v/>
      </c>
    </row>
    <row r="1457" customFormat="false" ht="15" hidden="false" customHeight="false" outlineLevel="0" collapsed="false">
      <c r="A1457" s="12"/>
      <c r="B1457" s="12"/>
      <c r="C1457" s="17" t="str">
        <f aca="false">IF(B1457="","",IFERROR(INDEX(Produits!$F$2:$F$1001,MATCH(B1457,Produits!$A$2:$A$1001,0)),"⚠ code article inconnu"))</f>
        <v/>
      </c>
      <c r="D1457" s="12"/>
      <c r="E1457" s="23"/>
      <c r="F1457" s="24"/>
      <c r="G1457" s="23"/>
      <c r="H1457" s="21" t="str">
        <f aca="true">IF(E1457="","",ROUND((E1457-TODAY())/30.4,1))</f>
        <v/>
      </c>
      <c r="I1457" s="17" t="str">
        <f aca="false">IF(E1457="","",IF(H1457&lt;0,IF(LEFT(A1457,1)="Q","Périmé (en quarantaine)","PÉRIMÉ → déplacer en zone Q"),IF(H1457&lt;3,"Péremption &lt; 3 mois",IF(H1457&lt;6,"Péremption &lt; 6 mois",""))))</f>
        <v/>
      </c>
      <c r="J1457" s="17" t="str">
        <f aca="false">IF(A1457="","",IF(COUNTIF(Emplacements!$A$2:$A$1001,A1457)=0,"⚠ emplacement inconnu","OK"))</f>
        <v/>
      </c>
      <c r="K1457" s="22" t="str">
        <f aca="false">IF(AND(B1457&lt;&gt;"",ISNUMBER(SEARCH(Recherche!$C$3,C1457&amp;" "&amp;B1457&amp;" "&amp;A1457&amp;" "&amp;D1457))),MAX($K$1:K1456)+1,"")</f>
        <v/>
      </c>
    </row>
    <row r="1458" customFormat="false" ht="15" hidden="false" customHeight="false" outlineLevel="0" collapsed="false">
      <c r="A1458" s="12"/>
      <c r="B1458" s="12"/>
      <c r="C1458" s="17" t="str">
        <f aca="false">IF(B1458="","",IFERROR(INDEX(Produits!$F$2:$F$1001,MATCH(B1458,Produits!$A$2:$A$1001,0)),"⚠ code article inconnu"))</f>
        <v/>
      </c>
      <c r="D1458" s="12"/>
      <c r="E1458" s="23"/>
      <c r="F1458" s="24"/>
      <c r="G1458" s="23"/>
      <c r="H1458" s="21" t="str">
        <f aca="true">IF(E1458="","",ROUND((E1458-TODAY())/30.4,1))</f>
        <v/>
      </c>
      <c r="I1458" s="17" t="str">
        <f aca="false">IF(E1458="","",IF(H1458&lt;0,IF(LEFT(A1458,1)="Q","Périmé (en quarantaine)","PÉRIMÉ → déplacer en zone Q"),IF(H1458&lt;3,"Péremption &lt; 3 mois",IF(H1458&lt;6,"Péremption &lt; 6 mois",""))))</f>
        <v/>
      </c>
      <c r="J1458" s="17" t="str">
        <f aca="false">IF(A1458="","",IF(COUNTIF(Emplacements!$A$2:$A$1001,A1458)=0,"⚠ emplacement inconnu","OK"))</f>
        <v/>
      </c>
      <c r="K1458" s="22" t="str">
        <f aca="false">IF(AND(B1458&lt;&gt;"",ISNUMBER(SEARCH(Recherche!$C$3,C1458&amp;" "&amp;B1458&amp;" "&amp;A1458&amp;" "&amp;D1458))),MAX($K$1:K1457)+1,"")</f>
        <v/>
      </c>
    </row>
    <row r="1459" customFormat="false" ht="15" hidden="false" customHeight="false" outlineLevel="0" collapsed="false">
      <c r="A1459" s="12"/>
      <c r="B1459" s="12"/>
      <c r="C1459" s="17" t="str">
        <f aca="false">IF(B1459="","",IFERROR(INDEX(Produits!$F$2:$F$1001,MATCH(B1459,Produits!$A$2:$A$1001,0)),"⚠ code article inconnu"))</f>
        <v/>
      </c>
      <c r="D1459" s="12"/>
      <c r="E1459" s="23"/>
      <c r="F1459" s="24"/>
      <c r="G1459" s="23"/>
      <c r="H1459" s="21" t="str">
        <f aca="true">IF(E1459="","",ROUND((E1459-TODAY())/30.4,1))</f>
        <v/>
      </c>
      <c r="I1459" s="17" t="str">
        <f aca="false">IF(E1459="","",IF(H1459&lt;0,IF(LEFT(A1459,1)="Q","Périmé (en quarantaine)","PÉRIMÉ → déplacer en zone Q"),IF(H1459&lt;3,"Péremption &lt; 3 mois",IF(H1459&lt;6,"Péremption &lt; 6 mois",""))))</f>
        <v/>
      </c>
      <c r="J1459" s="17" t="str">
        <f aca="false">IF(A1459="","",IF(COUNTIF(Emplacements!$A$2:$A$1001,A1459)=0,"⚠ emplacement inconnu","OK"))</f>
        <v/>
      </c>
      <c r="K1459" s="22" t="str">
        <f aca="false">IF(AND(B1459&lt;&gt;"",ISNUMBER(SEARCH(Recherche!$C$3,C1459&amp;" "&amp;B1459&amp;" "&amp;A1459&amp;" "&amp;D1459))),MAX($K$1:K1458)+1,"")</f>
        <v/>
      </c>
    </row>
    <row r="1460" customFormat="false" ht="15" hidden="false" customHeight="false" outlineLevel="0" collapsed="false">
      <c r="A1460" s="12"/>
      <c r="B1460" s="12"/>
      <c r="C1460" s="17" t="str">
        <f aca="false">IF(B1460="","",IFERROR(INDEX(Produits!$F$2:$F$1001,MATCH(B1460,Produits!$A$2:$A$1001,0)),"⚠ code article inconnu"))</f>
        <v/>
      </c>
      <c r="D1460" s="12"/>
      <c r="E1460" s="23"/>
      <c r="F1460" s="24"/>
      <c r="G1460" s="23"/>
      <c r="H1460" s="21" t="str">
        <f aca="true">IF(E1460="","",ROUND((E1460-TODAY())/30.4,1))</f>
        <v/>
      </c>
      <c r="I1460" s="17" t="str">
        <f aca="false">IF(E1460="","",IF(H1460&lt;0,IF(LEFT(A1460,1)="Q","Périmé (en quarantaine)","PÉRIMÉ → déplacer en zone Q"),IF(H1460&lt;3,"Péremption &lt; 3 mois",IF(H1460&lt;6,"Péremption &lt; 6 mois",""))))</f>
        <v/>
      </c>
      <c r="J1460" s="17" t="str">
        <f aca="false">IF(A1460="","",IF(COUNTIF(Emplacements!$A$2:$A$1001,A1460)=0,"⚠ emplacement inconnu","OK"))</f>
        <v/>
      </c>
      <c r="K1460" s="22" t="str">
        <f aca="false">IF(AND(B1460&lt;&gt;"",ISNUMBER(SEARCH(Recherche!$C$3,C1460&amp;" "&amp;B1460&amp;" "&amp;A1460&amp;" "&amp;D1460))),MAX($K$1:K1459)+1,"")</f>
        <v/>
      </c>
    </row>
    <row r="1461" customFormat="false" ht="15" hidden="false" customHeight="false" outlineLevel="0" collapsed="false">
      <c r="A1461" s="12"/>
      <c r="B1461" s="12"/>
      <c r="C1461" s="17" t="str">
        <f aca="false">IF(B1461="","",IFERROR(INDEX(Produits!$F$2:$F$1001,MATCH(B1461,Produits!$A$2:$A$1001,0)),"⚠ code article inconnu"))</f>
        <v/>
      </c>
      <c r="D1461" s="12"/>
      <c r="E1461" s="23"/>
      <c r="F1461" s="24"/>
      <c r="G1461" s="23"/>
      <c r="H1461" s="21" t="str">
        <f aca="true">IF(E1461="","",ROUND((E1461-TODAY())/30.4,1))</f>
        <v/>
      </c>
      <c r="I1461" s="17" t="str">
        <f aca="false">IF(E1461="","",IF(H1461&lt;0,IF(LEFT(A1461,1)="Q","Périmé (en quarantaine)","PÉRIMÉ → déplacer en zone Q"),IF(H1461&lt;3,"Péremption &lt; 3 mois",IF(H1461&lt;6,"Péremption &lt; 6 mois",""))))</f>
        <v/>
      </c>
      <c r="J1461" s="17" t="str">
        <f aca="false">IF(A1461="","",IF(COUNTIF(Emplacements!$A$2:$A$1001,A1461)=0,"⚠ emplacement inconnu","OK"))</f>
        <v/>
      </c>
      <c r="K1461" s="22" t="str">
        <f aca="false">IF(AND(B1461&lt;&gt;"",ISNUMBER(SEARCH(Recherche!$C$3,C1461&amp;" "&amp;B1461&amp;" "&amp;A1461&amp;" "&amp;D1461))),MAX($K$1:K1460)+1,"")</f>
        <v/>
      </c>
    </row>
    <row r="1462" customFormat="false" ht="15" hidden="false" customHeight="false" outlineLevel="0" collapsed="false">
      <c r="A1462" s="12"/>
      <c r="B1462" s="12"/>
      <c r="C1462" s="17" t="str">
        <f aca="false">IF(B1462="","",IFERROR(INDEX(Produits!$F$2:$F$1001,MATCH(B1462,Produits!$A$2:$A$1001,0)),"⚠ code article inconnu"))</f>
        <v/>
      </c>
      <c r="D1462" s="12"/>
      <c r="E1462" s="23"/>
      <c r="F1462" s="24"/>
      <c r="G1462" s="23"/>
      <c r="H1462" s="21" t="str">
        <f aca="true">IF(E1462="","",ROUND((E1462-TODAY())/30.4,1))</f>
        <v/>
      </c>
      <c r="I1462" s="17" t="str">
        <f aca="false">IF(E1462="","",IF(H1462&lt;0,IF(LEFT(A1462,1)="Q","Périmé (en quarantaine)","PÉRIMÉ → déplacer en zone Q"),IF(H1462&lt;3,"Péremption &lt; 3 mois",IF(H1462&lt;6,"Péremption &lt; 6 mois",""))))</f>
        <v/>
      </c>
      <c r="J1462" s="17" t="str">
        <f aca="false">IF(A1462="","",IF(COUNTIF(Emplacements!$A$2:$A$1001,A1462)=0,"⚠ emplacement inconnu","OK"))</f>
        <v/>
      </c>
      <c r="K1462" s="22" t="str">
        <f aca="false">IF(AND(B1462&lt;&gt;"",ISNUMBER(SEARCH(Recherche!$C$3,C1462&amp;" "&amp;B1462&amp;" "&amp;A1462&amp;" "&amp;D1462))),MAX($K$1:K1461)+1,"")</f>
        <v/>
      </c>
    </row>
    <row r="1463" customFormat="false" ht="15" hidden="false" customHeight="false" outlineLevel="0" collapsed="false">
      <c r="A1463" s="12"/>
      <c r="B1463" s="12"/>
      <c r="C1463" s="17" t="str">
        <f aca="false">IF(B1463="","",IFERROR(INDEX(Produits!$F$2:$F$1001,MATCH(B1463,Produits!$A$2:$A$1001,0)),"⚠ code article inconnu"))</f>
        <v/>
      </c>
      <c r="D1463" s="12"/>
      <c r="E1463" s="23"/>
      <c r="F1463" s="24"/>
      <c r="G1463" s="23"/>
      <c r="H1463" s="21" t="str">
        <f aca="true">IF(E1463="","",ROUND((E1463-TODAY())/30.4,1))</f>
        <v/>
      </c>
      <c r="I1463" s="17" t="str">
        <f aca="false">IF(E1463="","",IF(H1463&lt;0,IF(LEFT(A1463,1)="Q","Périmé (en quarantaine)","PÉRIMÉ → déplacer en zone Q"),IF(H1463&lt;3,"Péremption &lt; 3 mois",IF(H1463&lt;6,"Péremption &lt; 6 mois",""))))</f>
        <v/>
      </c>
      <c r="J1463" s="17" t="str">
        <f aca="false">IF(A1463="","",IF(COUNTIF(Emplacements!$A$2:$A$1001,A1463)=0,"⚠ emplacement inconnu","OK"))</f>
        <v/>
      </c>
      <c r="K1463" s="22" t="str">
        <f aca="false">IF(AND(B1463&lt;&gt;"",ISNUMBER(SEARCH(Recherche!$C$3,C1463&amp;" "&amp;B1463&amp;" "&amp;A1463&amp;" "&amp;D1463))),MAX($K$1:K1462)+1,"")</f>
        <v/>
      </c>
    </row>
    <row r="1464" customFormat="false" ht="15" hidden="false" customHeight="false" outlineLevel="0" collapsed="false">
      <c r="A1464" s="12"/>
      <c r="B1464" s="12"/>
      <c r="C1464" s="17" t="str">
        <f aca="false">IF(B1464="","",IFERROR(INDEX(Produits!$F$2:$F$1001,MATCH(B1464,Produits!$A$2:$A$1001,0)),"⚠ code article inconnu"))</f>
        <v/>
      </c>
      <c r="D1464" s="12"/>
      <c r="E1464" s="23"/>
      <c r="F1464" s="24"/>
      <c r="G1464" s="23"/>
      <c r="H1464" s="21" t="str">
        <f aca="true">IF(E1464="","",ROUND((E1464-TODAY())/30.4,1))</f>
        <v/>
      </c>
      <c r="I1464" s="17" t="str">
        <f aca="false">IF(E1464="","",IF(H1464&lt;0,IF(LEFT(A1464,1)="Q","Périmé (en quarantaine)","PÉRIMÉ → déplacer en zone Q"),IF(H1464&lt;3,"Péremption &lt; 3 mois",IF(H1464&lt;6,"Péremption &lt; 6 mois",""))))</f>
        <v/>
      </c>
      <c r="J1464" s="17" t="str">
        <f aca="false">IF(A1464="","",IF(COUNTIF(Emplacements!$A$2:$A$1001,A1464)=0,"⚠ emplacement inconnu","OK"))</f>
        <v/>
      </c>
      <c r="K1464" s="22" t="str">
        <f aca="false">IF(AND(B1464&lt;&gt;"",ISNUMBER(SEARCH(Recherche!$C$3,C1464&amp;" "&amp;B1464&amp;" "&amp;A1464&amp;" "&amp;D1464))),MAX($K$1:K1463)+1,"")</f>
        <v/>
      </c>
    </row>
    <row r="1465" customFormat="false" ht="15" hidden="false" customHeight="false" outlineLevel="0" collapsed="false">
      <c r="A1465" s="12"/>
      <c r="B1465" s="12"/>
      <c r="C1465" s="17" t="str">
        <f aca="false">IF(B1465="","",IFERROR(INDEX(Produits!$F$2:$F$1001,MATCH(B1465,Produits!$A$2:$A$1001,0)),"⚠ code article inconnu"))</f>
        <v/>
      </c>
      <c r="D1465" s="12"/>
      <c r="E1465" s="23"/>
      <c r="F1465" s="24"/>
      <c r="G1465" s="23"/>
      <c r="H1465" s="21" t="str">
        <f aca="true">IF(E1465="","",ROUND((E1465-TODAY())/30.4,1))</f>
        <v/>
      </c>
      <c r="I1465" s="17" t="str">
        <f aca="false">IF(E1465="","",IF(H1465&lt;0,IF(LEFT(A1465,1)="Q","Périmé (en quarantaine)","PÉRIMÉ → déplacer en zone Q"),IF(H1465&lt;3,"Péremption &lt; 3 mois",IF(H1465&lt;6,"Péremption &lt; 6 mois",""))))</f>
        <v/>
      </c>
      <c r="J1465" s="17" t="str">
        <f aca="false">IF(A1465="","",IF(COUNTIF(Emplacements!$A$2:$A$1001,A1465)=0,"⚠ emplacement inconnu","OK"))</f>
        <v/>
      </c>
      <c r="K1465" s="22" t="str">
        <f aca="false">IF(AND(B1465&lt;&gt;"",ISNUMBER(SEARCH(Recherche!$C$3,C1465&amp;" "&amp;B1465&amp;" "&amp;A1465&amp;" "&amp;D1465))),MAX($K$1:K1464)+1,"")</f>
        <v/>
      </c>
    </row>
    <row r="1466" customFormat="false" ht="15" hidden="false" customHeight="false" outlineLevel="0" collapsed="false">
      <c r="A1466" s="12"/>
      <c r="B1466" s="12"/>
      <c r="C1466" s="17" t="str">
        <f aca="false">IF(B1466="","",IFERROR(INDEX(Produits!$F$2:$F$1001,MATCH(B1466,Produits!$A$2:$A$1001,0)),"⚠ code article inconnu"))</f>
        <v/>
      </c>
      <c r="D1466" s="12"/>
      <c r="E1466" s="23"/>
      <c r="F1466" s="24"/>
      <c r="G1466" s="23"/>
      <c r="H1466" s="21" t="str">
        <f aca="true">IF(E1466="","",ROUND((E1466-TODAY())/30.4,1))</f>
        <v/>
      </c>
      <c r="I1466" s="17" t="str">
        <f aca="false">IF(E1466="","",IF(H1466&lt;0,IF(LEFT(A1466,1)="Q","Périmé (en quarantaine)","PÉRIMÉ → déplacer en zone Q"),IF(H1466&lt;3,"Péremption &lt; 3 mois",IF(H1466&lt;6,"Péremption &lt; 6 mois",""))))</f>
        <v/>
      </c>
      <c r="J1466" s="17" t="str">
        <f aca="false">IF(A1466="","",IF(COUNTIF(Emplacements!$A$2:$A$1001,A1466)=0,"⚠ emplacement inconnu","OK"))</f>
        <v/>
      </c>
      <c r="K1466" s="22" t="str">
        <f aca="false">IF(AND(B1466&lt;&gt;"",ISNUMBER(SEARCH(Recherche!$C$3,C1466&amp;" "&amp;B1466&amp;" "&amp;A1466&amp;" "&amp;D1466))),MAX($K$1:K1465)+1,"")</f>
        <v/>
      </c>
    </row>
    <row r="1467" customFormat="false" ht="15" hidden="false" customHeight="false" outlineLevel="0" collapsed="false">
      <c r="A1467" s="12"/>
      <c r="B1467" s="12"/>
      <c r="C1467" s="17" t="str">
        <f aca="false">IF(B1467="","",IFERROR(INDEX(Produits!$F$2:$F$1001,MATCH(B1467,Produits!$A$2:$A$1001,0)),"⚠ code article inconnu"))</f>
        <v/>
      </c>
      <c r="D1467" s="12"/>
      <c r="E1467" s="23"/>
      <c r="F1467" s="24"/>
      <c r="G1467" s="23"/>
      <c r="H1467" s="21" t="str">
        <f aca="true">IF(E1467="","",ROUND((E1467-TODAY())/30.4,1))</f>
        <v/>
      </c>
      <c r="I1467" s="17" t="str">
        <f aca="false">IF(E1467="","",IF(H1467&lt;0,IF(LEFT(A1467,1)="Q","Périmé (en quarantaine)","PÉRIMÉ → déplacer en zone Q"),IF(H1467&lt;3,"Péremption &lt; 3 mois",IF(H1467&lt;6,"Péremption &lt; 6 mois",""))))</f>
        <v/>
      </c>
      <c r="J1467" s="17" t="str">
        <f aca="false">IF(A1467="","",IF(COUNTIF(Emplacements!$A$2:$A$1001,A1467)=0,"⚠ emplacement inconnu","OK"))</f>
        <v/>
      </c>
      <c r="K1467" s="22" t="str">
        <f aca="false">IF(AND(B1467&lt;&gt;"",ISNUMBER(SEARCH(Recherche!$C$3,C1467&amp;" "&amp;B1467&amp;" "&amp;A1467&amp;" "&amp;D1467))),MAX($K$1:K1466)+1,"")</f>
        <v/>
      </c>
    </row>
    <row r="1468" customFormat="false" ht="15" hidden="false" customHeight="false" outlineLevel="0" collapsed="false">
      <c r="A1468" s="12"/>
      <c r="B1468" s="12"/>
      <c r="C1468" s="17" t="str">
        <f aca="false">IF(B1468="","",IFERROR(INDEX(Produits!$F$2:$F$1001,MATCH(B1468,Produits!$A$2:$A$1001,0)),"⚠ code article inconnu"))</f>
        <v/>
      </c>
      <c r="D1468" s="12"/>
      <c r="E1468" s="23"/>
      <c r="F1468" s="24"/>
      <c r="G1468" s="23"/>
      <c r="H1468" s="21" t="str">
        <f aca="true">IF(E1468="","",ROUND((E1468-TODAY())/30.4,1))</f>
        <v/>
      </c>
      <c r="I1468" s="17" t="str">
        <f aca="false">IF(E1468="","",IF(H1468&lt;0,IF(LEFT(A1468,1)="Q","Périmé (en quarantaine)","PÉRIMÉ → déplacer en zone Q"),IF(H1468&lt;3,"Péremption &lt; 3 mois",IF(H1468&lt;6,"Péremption &lt; 6 mois",""))))</f>
        <v/>
      </c>
      <c r="J1468" s="17" t="str">
        <f aca="false">IF(A1468="","",IF(COUNTIF(Emplacements!$A$2:$A$1001,A1468)=0,"⚠ emplacement inconnu","OK"))</f>
        <v/>
      </c>
      <c r="K1468" s="22" t="str">
        <f aca="false">IF(AND(B1468&lt;&gt;"",ISNUMBER(SEARCH(Recherche!$C$3,C1468&amp;" "&amp;B1468&amp;" "&amp;A1468&amp;" "&amp;D1468))),MAX($K$1:K1467)+1,"")</f>
        <v/>
      </c>
    </row>
    <row r="1469" customFormat="false" ht="15" hidden="false" customHeight="false" outlineLevel="0" collapsed="false">
      <c r="A1469" s="12"/>
      <c r="B1469" s="12"/>
      <c r="C1469" s="17" t="str">
        <f aca="false">IF(B1469="","",IFERROR(INDEX(Produits!$F$2:$F$1001,MATCH(B1469,Produits!$A$2:$A$1001,0)),"⚠ code article inconnu"))</f>
        <v/>
      </c>
      <c r="D1469" s="12"/>
      <c r="E1469" s="23"/>
      <c r="F1469" s="24"/>
      <c r="G1469" s="23"/>
      <c r="H1469" s="21" t="str">
        <f aca="true">IF(E1469="","",ROUND((E1469-TODAY())/30.4,1))</f>
        <v/>
      </c>
      <c r="I1469" s="17" t="str">
        <f aca="false">IF(E1469="","",IF(H1469&lt;0,IF(LEFT(A1469,1)="Q","Périmé (en quarantaine)","PÉRIMÉ → déplacer en zone Q"),IF(H1469&lt;3,"Péremption &lt; 3 mois",IF(H1469&lt;6,"Péremption &lt; 6 mois",""))))</f>
        <v/>
      </c>
      <c r="J1469" s="17" t="str">
        <f aca="false">IF(A1469="","",IF(COUNTIF(Emplacements!$A$2:$A$1001,A1469)=0,"⚠ emplacement inconnu","OK"))</f>
        <v/>
      </c>
      <c r="K1469" s="22" t="str">
        <f aca="false">IF(AND(B1469&lt;&gt;"",ISNUMBER(SEARCH(Recherche!$C$3,C1469&amp;" "&amp;B1469&amp;" "&amp;A1469&amp;" "&amp;D1469))),MAX($K$1:K1468)+1,"")</f>
        <v/>
      </c>
    </row>
    <row r="1470" customFormat="false" ht="15" hidden="false" customHeight="false" outlineLevel="0" collapsed="false">
      <c r="A1470" s="12"/>
      <c r="B1470" s="12"/>
      <c r="C1470" s="17" t="str">
        <f aca="false">IF(B1470="","",IFERROR(INDEX(Produits!$F$2:$F$1001,MATCH(B1470,Produits!$A$2:$A$1001,0)),"⚠ code article inconnu"))</f>
        <v/>
      </c>
      <c r="D1470" s="12"/>
      <c r="E1470" s="23"/>
      <c r="F1470" s="24"/>
      <c r="G1470" s="23"/>
      <c r="H1470" s="21" t="str">
        <f aca="true">IF(E1470="","",ROUND((E1470-TODAY())/30.4,1))</f>
        <v/>
      </c>
      <c r="I1470" s="17" t="str">
        <f aca="false">IF(E1470="","",IF(H1470&lt;0,IF(LEFT(A1470,1)="Q","Périmé (en quarantaine)","PÉRIMÉ → déplacer en zone Q"),IF(H1470&lt;3,"Péremption &lt; 3 mois",IF(H1470&lt;6,"Péremption &lt; 6 mois",""))))</f>
        <v/>
      </c>
      <c r="J1470" s="17" t="str">
        <f aca="false">IF(A1470="","",IF(COUNTIF(Emplacements!$A$2:$A$1001,A1470)=0,"⚠ emplacement inconnu","OK"))</f>
        <v/>
      </c>
      <c r="K1470" s="22" t="str">
        <f aca="false">IF(AND(B1470&lt;&gt;"",ISNUMBER(SEARCH(Recherche!$C$3,C1470&amp;" "&amp;B1470&amp;" "&amp;A1470&amp;" "&amp;D1470))),MAX($K$1:K1469)+1,"")</f>
        <v/>
      </c>
    </row>
    <row r="1471" customFormat="false" ht="15" hidden="false" customHeight="false" outlineLevel="0" collapsed="false">
      <c r="A1471" s="12"/>
      <c r="B1471" s="12"/>
      <c r="C1471" s="17" t="str">
        <f aca="false">IF(B1471="","",IFERROR(INDEX(Produits!$F$2:$F$1001,MATCH(B1471,Produits!$A$2:$A$1001,0)),"⚠ code article inconnu"))</f>
        <v/>
      </c>
      <c r="D1471" s="12"/>
      <c r="E1471" s="23"/>
      <c r="F1471" s="24"/>
      <c r="G1471" s="23"/>
      <c r="H1471" s="21" t="str">
        <f aca="true">IF(E1471="","",ROUND((E1471-TODAY())/30.4,1))</f>
        <v/>
      </c>
      <c r="I1471" s="17" t="str">
        <f aca="false">IF(E1471="","",IF(H1471&lt;0,IF(LEFT(A1471,1)="Q","Périmé (en quarantaine)","PÉRIMÉ → déplacer en zone Q"),IF(H1471&lt;3,"Péremption &lt; 3 mois",IF(H1471&lt;6,"Péremption &lt; 6 mois",""))))</f>
        <v/>
      </c>
      <c r="J1471" s="17" t="str">
        <f aca="false">IF(A1471="","",IF(COUNTIF(Emplacements!$A$2:$A$1001,A1471)=0,"⚠ emplacement inconnu","OK"))</f>
        <v/>
      </c>
      <c r="K1471" s="22" t="str">
        <f aca="false">IF(AND(B1471&lt;&gt;"",ISNUMBER(SEARCH(Recherche!$C$3,C1471&amp;" "&amp;B1471&amp;" "&amp;A1471&amp;" "&amp;D1471))),MAX($K$1:K1470)+1,"")</f>
        <v/>
      </c>
    </row>
    <row r="1472" customFormat="false" ht="15" hidden="false" customHeight="false" outlineLevel="0" collapsed="false">
      <c r="A1472" s="12"/>
      <c r="B1472" s="12"/>
      <c r="C1472" s="17" t="str">
        <f aca="false">IF(B1472="","",IFERROR(INDEX(Produits!$F$2:$F$1001,MATCH(B1472,Produits!$A$2:$A$1001,0)),"⚠ code article inconnu"))</f>
        <v/>
      </c>
      <c r="D1472" s="12"/>
      <c r="E1472" s="23"/>
      <c r="F1472" s="24"/>
      <c r="G1472" s="23"/>
      <c r="H1472" s="21" t="str">
        <f aca="true">IF(E1472="","",ROUND((E1472-TODAY())/30.4,1))</f>
        <v/>
      </c>
      <c r="I1472" s="17" t="str">
        <f aca="false">IF(E1472="","",IF(H1472&lt;0,IF(LEFT(A1472,1)="Q","Périmé (en quarantaine)","PÉRIMÉ → déplacer en zone Q"),IF(H1472&lt;3,"Péremption &lt; 3 mois",IF(H1472&lt;6,"Péremption &lt; 6 mois",""))))</f>
        <v/>
      </c>
      <c r="J1472" s="17" t="str">
        <f aca="false">IF(A1472="","",IF(COUNTIF(Emplacements!$A$2:$A$1001,A1472)=0,"⚠ emplacement inconnu","OK"))</f>
        <v/>
      </c>
      <c r="K1472" s="22" t="str">
        <f aca="false">IF(AND(B1472&lt;&gt;"",ISNUMBER(SEARCH(Recherche!$C$3,C1472&amp;" "&amp;B1472&amp;" "&amp;A1472&amp;" "&amp;D1472))),MAX($K$1:K1471)+1,"")</f>
        <v/>
      </c>
    </row>
    <row r="1473" customFormat="false" ht="15" hidden="false" customHeight="false" outlineLevel="0" collapsed="false">
      <c r="A1473" s="12"/>
      <c r="B1473" s="12"/>
      <c r="C1473" s="17" t="str">
        <f aca="false">IF(B1473="","",IFERROR(INDEX(Produits!$F$2:$F$1001,MATCH(B1473,Produits!$A$2:$A$1001,0)),"⚠ code article inconnu"))</f>
        <v/>
      </c>
      <c r="D1473" s="12"/>
      <c r="E1473" s="23"/>
      <c r="F1473" s="24"/>
      <c r="G1473" s="23"/>
      <c r="H1473" s="21" t="str">
        <f aca="true">IF(E1473="","",ROUND((E1473-TODAY())/30.4,1))</f>
        <v/>
      </c>
      <c r="I1473" s="17" t="str">
        <f aca="false">IF(E1473="","",IF(H1473&lt;0,IF(LEFT(A1473,1)="Q","Périmé (en quarantaine)","PÉRIMÉ → déplacer en zone Q"),IF(H1473&lt;3,"Péremption &lt; 3 mois",IF(H1473&lt;6,"Péremption &lt; 6 mois",""))))</f>
        <v/>
      </c>
      <c r="J1473" s="17" t="str">
        <f aca="false">IF(A1473="","",IF(COUNTIF(Emplacements!$A$2:$A$1001,A1473)=0,"⚠ emplacement inconnu","OK"))</f>
        <v/>
      </c>
      <c r="K1473" s="22" t="str">
        <f aca="false">IF(AND(B1473&lt;&gt;"",ISNUMBER(SEARCH(Recherche!$C$3,C1473&amp;" "&amp;B1473&amp;" "&amp;A1473&amp;" "&amp;D1473))),MAX($K$1:K1472)+1,"")</f>
        <v/>
      </c>
    </row>
    <row r="1474" customFormat="false" ht="15" hidden="false" customHeight="false" outlineLevel="0" collapsed="false">
      <c r="A1474" s="12"/>
      <c r="B1474" s="12"/>
      <c r="C1474" s="17" t="str">
        <f aca="false">IF(B1474="","",IFERROR(INDEX(Produits!$F$2:$F$1001,MATCH(B1474,Produits!$A$2:$A$1001,0)),"⚠ code article inconnu"))</f>
        <v/>
      </c>
      <c r="D1474" s="12"/>
      <c r="E1474" s="23"/>
      <c r="F1474" s="24"/>
      <c r="G1474" s="23"/>
      <c r="H1474" s="21" t="str">
        <f aca="true">IF(E1474="","",ROUND((E1474-TODAY())/30.4,1))</f>
        <v/>
      </c>
      <c r="I1474" s="17" t="str">
        <f aca="false">IF(E1474="","",IF(H1474&lt;0,IF(LEFT(A1474,1)="Q","Périmé (en quarantaine)","PÉRIMÉ → déplacer en zone Q"),IF(H1474&lt;3,"Péremption &lt; 3 mois",IF(H1474&lt;6,"Péremption &lt; 6 mois",""))))</f>
        <v/>
      </c>
      <c r="J1474" s="17" t="str">
        <f aca="false">IF(A1474="","",IF(COUNTIF(Emplacements!$A$2:$A$1001,A1474)=0,"⚠ emplacement inconnu","OK"))</f>
        <v/>
      </c>
      <c r="K1474" s="22" t="str">
        <f aca="false">IF(AND(B1474&lt;&gt;"",ISNUMBER(SEARCH(Recherche!$C$3,C1474&amp;" "&amp;B1474&amp;" "&amp;A1474&amp;" "&amp;D1474))),MAX($K$1:K1473)+1,"")</f>
        <v/>
      </c>
    </row>
    <row r="1475" customFormat="false" ht="15" hidden="false" customHeight="false" outlineLevel="0" collapsed="false">
      <c r="A1475" s="12"/>
      <c r="B1475" s="12"/>
      <c r="C1475" s="17" t="str">
        <f aca="false">IF(B1475="","",IFERROR(INDEX(Produits!$F$2:$F$1001,MATCH(B1475,Produits!$A$2:$A$1001,0)),"⚠ code article inconnu"))</f>
        <v/>
      </c>
      <c r="D1475" s="12"/>
      <c r="E1475" s="23"/>
      <c r="F1475" s="24"/>
      <c r="G1475" s="23"/>
      <c r="H1475" s="21" t="str">
        <f aca="true">IF(E1475="","",ROUND((E1475-TODAY())/30.4,1))</f>
        <v/>
      </c>
      <c r="I1475" s="17" t="str">
        <f aca="false">IF(E1475="","",IF(H1475&lt;0,IF(LEFT(A1475,1)="Q","Périmé (en quarantaine)","PÉRIMÉ → déplacer en zone Q"),IF(H1475&lt;3,"Péremption &lt; 3 mois",IF(H1475&lt;6,"Péremption &lt; 6 mois",""))))</f>
        <v/>
      </c>
      <c r="J1475" s="17" t="str">
        <f aca="false">IF(A1475="","",IF(COUNTIF(Emplacements!$A$2:$A$1001,A1475)=0,"⚠ emplacement inconnu","OK"))</f>
        <v/>
      </c>
      <c r="K1475" s="22" t="str">
        <f aca="false">IF(AND(B1475&lt;&gt;"",ISNUMBER(SEARCH(Recherche!$C$3,C1475&amp;" "&amp;B1475&amp;" "&amp;A1475&amp;" "&amp;D1475))),MAX($K$1:K1474)+1,"")</f>
        <v/>
      </c>
    </row>
    <row r="1476" customFormat="false" ht="15" hidden="false" customHeight="false" outlineLevel="0" collapsed="false">
      <c r="A1476" s="12"/>
      <c r="B1476" s="12"/>
      <c r="C1476" s="17" t="str">
        <f aca="false">IF(B1476="","",IFERROR(INDEX(Produits!$F$2:$F$1001,MATCH(B1476,Produits!$A$2:$A$1001,0)),"⚠ code article inconnu"))</f>
        <v/>
      </c>
      <c r="D1476" s="12"/>
      <c r="E1476" s="23"/>
      <c r="F1476" s="24"/>
      <c r="G1476" s="23"/>
      <c r="H1476" s="21" t="str">
        <f aca="true">IF(E1476="","",ROUND((E1476-TODAY())/30.4,1))</f>
        <v/>
      </c>
      <c r="I1476" s="17" t="str">
        <f aca="false">IF(E1476="","",IF(H1476&lt;0,IF(LEFT(A1476,1)="Q","Périmé (en quarantaine)","PÉRIMÉ → déplacer en zone Q"),IF(H1476&lt;3,"Péremption &lt; 3 mois",IF(H1476&lt;6,"Péremption &lt; 6 mois",""))))</f>
        <v/>
      </c>
      <c r="J1476" s="17" t="str">
        <f aca="false">IF(A1476="","",IF(COUNTIF(Emplacements!$A$2:$A$1001,A1476)=0,"⚠ emplacement inconnu","OK"))</f>
        <v/>
      </c>
      <c r="K1476" s="22" t="str">
        <f aca="false">IF(AND(B1476&lt;&gt;"",ISNUMBER(SEARCH(Recherche!$C$3,C1476&amp;" "&amp;B1476&amp;" "&amp;A1476&amp;" "&amp;D1476))),MAX($K$1:K1475)+1,"")</f>
        <v/>
      </c>
    </row>
    <row r="1477" customFormat="false" ht="15" hidden="false" customHeight="false" outlineLevel="0" collapsed="false">
      <c r="A1477" s="12"/>
      <c r="B1477" s="12"/>
      <c r="C1477" s="17" t="str">
        <f aca="false">IF(B1477="","",IFERROR(INDEX(Produits!$F$2:$F$1001,MATCH(B1477,Produits!$A$2:$A$1001,0)),"⚠ code article inconnu"))</f>
        <v/>
      </c>
      <c r="D1477" s="12"/>
      <c r="E1477" s="23"/>
      <c r="F1477" s="24"/>
      <c r="G1477" s="23"/>
      <c r="H1477" s="21" t="str">
        <f aca="true">IF(E1477="","",ROUND((E1477-TODAY())/30.4,1))</f>
        <v/>
      </c>
      <c r="I1477" s="17" t="str">
        <f aca="false">IF(E1477="","",IF(H1477&lt;0,IF(LEFT(A1477,1)="Q","Périmé (en quarantaine)","PÉRIMÉ → déplacer en zone Q"),IF(H1477&lt;3,"Péremption &lt; 3 mois",IF(H1477&lt;6,"Péremption &lt; 6 mois",""))))</f>
        <v/>
      </c>
      <c r="J1477" s="17" t="str">
        <f aca="false">IF(A1477="","",IF(COUNTIF(Emplacements!$A$2:$A$1001,A1477)=0,"⚠ emplacement inconnu","OK"))</f>
        <v/>
      </c>
      <c r="K1477" s="22" t="str">
        <f aca="false">IF(AND(B1477&lt;&gt;"",ISNUMBER(SEARCH(Recherche!$C$3,C1477&amp;" "&amp;B1477&amp;" "&amp;A1477&amp;" "&amp;D1477))),MAX($K$1:K1476)+1,"")</f>
        <v/>
      </c>
    </row>
    <row r="1478" customFormat="false" ht="15" hidden="false" customHeight="false" outlineLevel="0" collapsed="false">
      <c r="A1478" s="12"/>
      <c r="B1478" s="12"/>
      <c r="C1478" s="17" t="str">
        <f aca="false">IF(B1478="","",IFERROR(INDEX(Produits!$F$2:$F$1001,MATCH(B1478,Produits!$A$2:$A$1001,0)),"⚠ code article inconnu"))</f>
        <v/>
      </c>
      <c r="D1478" s="12"/>
      <c r="E1478" s="23"/>
      <c r="F1478" s="24"/>
      <c r="G1478" s="23"/>
      <c r="H1478" s="21" t="str">
        <f aca="true">IF(E1478="","",ROUND((E1478-TODAY())/30.4,1))</f>
        <v/>
      </c>
      <c r="I1478" s="17" t="str">
        <f aca="false">IF(E1478="","",IF(H1478&lt;0,IF(LEFT(A1478,1)="Q","Périmé (en quarantaine)","PÉRIMÉ → déplacer en zone Q"),IF(H1478&lt;3,"Péremption &lt; 3 mois",IF(H1478&lt;6,"Péremption &lt; 6 mois",""))))</f>
        <v/>
      </c>
      <c r="J1478" s="17" t="str">
        <f aca="false">IF(A1478="","",IF(COUNTIF(Emplacements!$A$2:$A$1001,A1478)=0,"⚠ emplacement inconnu","OK"))</f>
        <v/>
      </c>
      <c r="K1478" s="22" t="str">
        <f aca="false">IF(AND(B1478&lt;&gt;"",ISNUMBER(SEARCH(Recherche!$C$3,C1478&amp;" "&amp;B1478&amp;" "&amp;A1478&amp;" "&amp;D1478))),MAX($K$1:K1477)+1,"")</f>
        <v/>
      </c>
    </row>
    <row r="1479" customFormat="false" ht="15" hidden="false" customHeight="false" outlineLevel="0" collapsed="false">
      <c r="A1479" s="12"/>
      <c r="B1479" s="12"/>
      <c r="C1479" s="17" t="str">
        <f aca="false">IF(B1479="","",IFERROR(INDEX(Produits!$F$2:$F$1001,MATCH(B1479,Produits!$A$2:$A$1001,0)),"⚠ code article inconnu"))</f>
        <v/>
      </c>
      <c r="D1479" s="12"/>
      <c r="E1479" s="23"/>
      <c r="F1479" s="24"/>
      <c r="G1479" s="23"/>
      <c r="H1479" s="21" t="str">
        <f aca="true">IF(E1479="","",ROUND((E1479-TODAY())/30.4,1))</f>
        <v/>
      </c>
      <c r="I1479" s="17" t="str">
        <f aca="false">IF(E1479="","",IF(H1479&lt;0,IF(LEFT(A1479,1)="Q","Périmé (en quarantaine)","PÉRIMÉ → déplacer en zone Q"),IF(H1479&lt;3,"Péremption &lt; 3 mois",IF(H1479&lt;6,"Péremption &lt; 6 mois",""))))</f>
        <v/>
      </c>
      <c r="J1479" s="17" t="str">
        <f aca="false">IF(A1479="","",IF(COUNTIF(Emplacements!$A$2:$A$1001,A1479)=0,"⚠ emplacement inconnu","OK"))</f>
        <v/>
      </c>
      <c r="K1479" s="22" t="str">
        <f aca="false">IF(AND(B1479&lt;&gt;"",ISNUMBER(SEARCH(Recherche!$C$3,C1479&amp;" "&amp;B1479&amp;" "&amp;A1479&amp;" "&amp;D1479))),MAX($K$1:K1478)+1,"")</f>
        <v/>
      </c>
    </row>
    <row r="1480" customFormat="false" ht="15" hidden="false" customHeight="false" outlineLevel="0" collapsed="false">
      <c r="A1480" s="12"/>
      <c r="B1480" s="12"/>
      <c r="C1480" s="17" t="str">
        <f aca="false">IF(B1480="","",IFERROR(INDEX(Produits!$F$2:$F$1001,MATCH(B1480,Produits!$A$2:$A$1001,0)),"⚠ code article inconnu"))</f>
        <v/>
      </c>
      <c r="D1480" s="12"/>
      <c r="E1480" s="23"/>
      <c r="F1480" s="24"/>
      <c r="G1480" s="23"/>
      <c r="H1480" s="21" t="str">
        <f aca="true">IF(E1480="","",ROUND((E1480-TODAY())/30.4,1))</f>
        <v/>
      </c>
      <c r="I1480" s="17" t="str">
        <f aca="false">IF(E1480="","",IF(H1480&lt;0,IF(LEFT(A1480,1)="Q","Périmé (en quarantaine)","PÉRIMÉ → déplacer en zone Q"),IF(H1480&lt;3,"Péremption &lt; 3 mois",IF(H1480&lt;6,"Péremption &lt; 6 mois",""))))</f>
        <v/>
      </c>
      <c r="J1480" s="17" t="str">
        <f aca="false">IF(A1480="","",IF(COUNTIF(Emplacements!$A$2:$A$1001,A1480)=0,"⚠ emplacement inconnu","OK"))</f>
        <v/>
      </c>
      <c r="K1480" s="22" t="str">
        <f aca="false">IF(AND(B1480&lt;&gt;"",ISNUMBER(SEARCH(Recherche!$C$3,C1480&amp;" "&amp;B1480&amp;" "&amp;A1480&amp;" "&amp;D1480))),MAX($K$1:K1479)+1,"")</f>
        <v/>
      </c>
    </row>
    <row r="1481" customFormat="false" ht="15" hidden="false" customHeight="false" outlineLevel="0" collapsed="false">
      <c r="A1481" s="12"/>
      <c r="B1481" s="12"/>
      <c r="C1481" s="17" t="str">
        <f aca="false">IF(B1481="","",IFERROR(INDEX(Produits!$F$2:$F$1001,MATCH(B1481,Produits!$A$2:$A$1001,0)),"⚠ code article inconnu"))</f>
        <v/>
      </c>
      <c r="D1481" s="12"/>
      <c r="E1481" s="23"/>
      <c r="F1481" s="24"/>
      <c r="G1481" s="23"/>
      <c r="H1481" s="21" t="str">
        <f aca="true">IF(E1481="","",ROUND((E1481-TODAY())/30.4,1))</f>
        <v/>
      </c>
      <c r="I1481" s="17" t="str">
        <f aca="false">IF(E1481="","",IF(H1481&lt;0,IF(LEFT(A1481,1)="Q","Périmé (en quarantaine)","PÉRIMÉ → déplacer en zone Q"),IF(H1481&lt;3,"Péremption &lt; 3 mois",IF(H1481&lt;6,"Péremption &lt; 6 mois",""))))</f>
        <v/>
      </c>
      <c r="J1481" s="17" t="str">
        <f aca="false">IF(A1481="","",IF(COUNTIF(Emplacements!$A$2:$A$1001,A1481)=0,"⚠ emplacement inconnu","OK"))</f>
        <v/>
      </c>
      <c r="K1481" s="22" t="str">
        <f aca="false">IF(AND(B1481&lt;&gt;"",ISNUMBER(SEARCH(Recherche!$C$3,C1481&amp;" "&amp;B1481&amp;" "&amp;A1481&amp;" "&amp;D1481))),MAX($K$1:K1480)+1,"")</f>
        <v/>
      </c>
    </row>
    <row r="1482" customFormat="false" ht="15" hidden="false" customHeight="false" outlineLevel="0" collapsed="false">
      <c r="A1482" s="12"/>
      <c r="B1482" s="12"/>
      <c r="C1482" s="17" t="str">
        <f aca="false">IF(B1482="","",IFERROR(INDEX(Produits!$F$2:$F$1001,MATCH(B1482,Produits!$A$2:$A$1001,0)),"⚠ code article inconnu"))</f>
        <v/>
      </c>
      <c r="D1482" s="12"/>
      <c r="E1482" s="23"/>
      <c r="F1482" s="24"/>
      <c r="G1482" s="23"/>
      <c r="H1482" s="21" t="str">
        <f aca="true">IF(E1482="","",ROUND((E1482-TODAY())/30.4,1))</f>
        <v/>
      </c>
      <c r="I1482" s="17" t="str">
        <f aca="false">IF(E1482="","",IF(H1482&lt;0,IF(LEFT(A1482,1)="Q","Périmé (en quarantaine)","PÉRIMÉ → déplacer en zone Q"),IF(H1482&lt;3,"Péremption &lt; 3 mois",IF(H1482&lt;6,"Péremption &lt; 6 mois",""))))</f>
        <v/>
      </c>
      <c r="J1482" s="17" t="str">
        <f aca="false">IF(A1482="","",IF(COUNTIF(Emplacements!$A$2:$A$1001,A1482)=0,"⚠ emplacement inconnu","OK"))</f>
        <v/>
      </c>
      <c r="K1482" s="22" t="str">
        <f aca="false">IF(AND(B1482&lt;&gt;"",ISNUMBER(SEARCH(Recherche!$C$3,C1482&amp;" "&amp;B1482&amp;" "&amp;A1482&amp;" "&amp;D1482))),MAX($K$1:K1481)+1,"")</f>
        <v/>
      </c>
    </row>
    <row r="1483" customFormat="false" ht="15" hidden="false" customHeight="false" outlineLevel="0" collapsed="false">
      <c r="A1483" s="12"/>
      <c r="B1483" s="12"/>
      <c r="C1483" s="17" t="str">
        <f aca="false">IF(B1483="","",IFERROR(INDEX(Produits!$F$2:$F$1001,MATCH(B1483,Produits!$A$2:$A$1001,0)),"⚠ code article inconnu"))</f>
        <v/>
      </c>
      <c r="D1483" s="12"/>
      <c r="E1483" s="23"/>
      <c r="F1483" s="24"/>
      <c r="G1483" s="23"/>
      <c r="H1483" s="21" t="str">
        <f aca="true">IF(E1483="","",ROUND((E1483-TODAY())/30.4,1))</f>
        <v/>
      </c>
      <c r="I1483" s="17" t="str">
        <f aca="false">IF(E1483="","",IF(H1483&lt;0,IF(LEFT(A1483,1)="Q","Périmé (en quarantaine)","PÉRIMÉ → déplacer en zone Q"),IF(H1483&lt;3,"Péremption &lt; 3 mois",IF(H1483&lt;6,"Péremption &lt; 6 mois",""))))</f>
        <v/>
      </c>
      <c r="J1483" s="17" t="str">
        <f aca="false">IF(A1483="","",IF(COUNTIF(Emplacements!$A$2:$A$1001,A1483)=0,"⚠ emplacement inconnu","OK"))</f>
        <v/>
      </c>
      <c r="K1483" s="22" t="str">
        <f aca="false">IF(AND(B1483&lt;&gt;"",ISNUMBER(SEARCH(Recherche!$C$3,C1483&amp;" "&amp;B1483&amp;" "&amp;A1483&amp;" "&amp;D1483))),MAX($K$1:K1482)+1,"")</f>
        <v/>
      </c>
    </row>
    <row r="1484" customFormat="false" ht="15" hidden="false" customHeight="false" outlineLevel="0" collapsed="false">
      <c r="A1484" s="12"/>
      <c r="B1484" s="12"/>
      <c r="C1484" s="17" t="str">
        <f aca="false">IF(B1484="","",IFERROR(INDEX(Produits!$F$2:$F$1001,MATCH(B1484,Produits!$A$2:$A$1001,0)),"⚠ code article inconnu"))</f>
        <v/>
      </c>
      <c r="D1484" s="12"/>
      <c r="E1484" s="23"/>
      <c r="F1484" s="24"/>
      <c r="G1484" s="23"/>
      <c r="H1484" s="21" t="str">
        <f aca="true">IF(E1484="","",ROUND((E1484-TODAY())/30.4,1))</f>
        <v/>
      </c>
      <c r="I1484" s="17" t="str">
        <f aca="false">IF(E1484="","",IF(H1484&lt;0,IF(LEFT(A1484,1)="Q","Périmé (en quarantaine)","PÉRIMÉ → déplacer en zone Q"),IF(H1484&lt;3,"Péremption &lt; 3 mois",IF(H1484&lt;6,"Péremption &lt; 6 mois",""))))</f>
        <v/>
      </c>
      <c r="J1484" s="17" t="str">
        <f aca="false">IF(A1484="","",IF(COUNTIF(Emplacements!$A$2:$A$1001,A1484)=0,"⚠ emplacement inconnu","OK"))</f>
        <v/>
      </c>
      <c r="K1484" s="22" t="str">
        <f aca="false">IF(AND(B1484&lt;&gt;"",ISNUMBER(SEARCH(Recherche!$C$3,C1484&amp;" "&amp;B1484&amp;" "&amp;A1484&amp;" "&amp;D1484))),MAX($K$1:K1483)+1,"")</f>
        <v/>
      </c>
    </row>
    <row r="1485" customFormat="false" ht="15" hidden="false" customHeight="false" outlineLevel="0" collapsed="false">
      <c r="A1485" s="12"/>
      <c r="B1485" s="12"/>
      <c r="C1485" s="17" t="str">
        <f aca="false">IF(B1485="","",IFERROR(INDEX(Produits!$F$2:$F$1001,MATCH(B1485,Produits!$A$2:$A$1001,0)),"⚠ code article inconnu"))</f>
        <v/>
      </c>
      <c r="D1485" s="12"/>
      <c r="E1485" s="23"/>
      <c r="F1485" s="24"/>
      <c r="G1485" s="23"/>
      <c r="H1485" s="21" t="str">
        <f aca="true">IF(E1485="","",ROUND((E1485-TODAY())/30.4,1))</f>
        <v/>
      </c>
      <c r="I1485" s="17" t="str">
        <f aca="false">IF(E1485="","",IF(H1485&lt;0,IF(LEFT(A1485,1)="Q","Périmé (en quarantaine)","PÉRIMÉ → déplacer en zone Q"),IF(H1485&lt;3,"Péremption &lt; 3 mois",IF(H1485&lt;6,"Péremption &lt; 6 mois",""))))</f>
        <v/>
      </c>
      <c r="J1485" s="17" t="str">
        <f aca="false">IF(A1485="","",IF(COUNTIF(Emplacements!$A$2:$A$1001,A1485)=0,"⚠ emplacement inconnu","OK"))</f>
        <v/>
      </c>
      <c r="K1485" s="22" t="str">
        <f aca="false">IF(AND(B1485&lt;&gt;"",ISNUMBER(SEARCH(Recherche!$C$3,C1485&amp;" "&amp;B1485&amp;" "&amp;A1485&amp;" "&amp;D1485))),MAX($K$1:K1484)+1,"")</f>
        <v/>
      </c>
    </row>
    <row r="1486" customFormat="false" ht="15" hidden="false" customHeight="false" outlineLevel="0" collapsed="false">
      <c r="A1486" s="12"/>
      <c r="B1486" s="12"/>
      <c r="C1486" s="17" t="str">
        <f aca="false">IF(B1486="","",IFERROR(INDEX(Produits!$F$2:$F$1001,MATCH(B1486,Produits!$A$2:$A$1001,0)),"⚠ code article inconnu"))</f>
        <v/>
      </c>
      <c r="D1486" s="12"/>
      <c r="E1486" s="23"/>
      <c r="F1486" s="24"/>
      <c r="G1486" s="23"/>
      <c r="H1486" s="21" t="str">
        <f aca="true">IF(E1486="","",ROUND((E1486-TODAY())/30.4,1))</f>
        <v/>
      </c>
      <c r="I1486" s="17" t="str">
        <f aca="false">IF(E1486="","",IF(H1486&lt;0,IF(LEFT(A1486,1)="Q","Périmé (en quarantaine)","PÉRIMÉ → déplacer en zone Q"),IF(H1486&lt;3,"Péremption &lt; 3 mois",IF(H1486&lt;6,"Péremption &lt; 6 mois",""))))</f>
        <v/>
      </c>
      <c r="J1486" s="17" t="str">
        <f aca="false">IF(A1486="","",IF(COUNTIF(Emplacements!$A$2:$A$1001,A1486)=0,"⚠ emplacement inconnu","OK"))</f>
        <v/>
      </c>
      <c r="K1486" s="22" t="str">
        <f aca="false">IF(AND(B1486&lt;&gt;"",ISNUMBER(SEARCH(Recherche!$C$3,C1486&amp;" "&amp;B1486&amp;" "&amp;A1486&amp;" "&amp;D1486))),MAX($K$1:K1485)+1,"")</f>
        <v/>
      </c>
    </row>
    <row r="1487" customFormat="false" ht="15" hidden="false" customHeight="false" outlineLevel="0" collapsed="false">
      <c r="A1487" s="12"/>
      <c r="B1487" s="12"/>
      <c r="C1487" s="17" t="str">
        <f aca="false">IF(B1487="","",IFERROR(INDEX(Produits!$F$2:$F$1001,MATCH(B1487,Produits!$A$2:$A$1001,0)),"⚠ code article inconnu"))</f>
        <v/>
      </c>
      <c r="D1487" s="12"/>
      <c r="E1487" s="23"/>
      <c r="F1487" s="24"/>
      <c r="G1487" s="23"/>
      <c r="H1487" s="21" t="str">
        <f aca="true">IF(E1487="","",ROUND((E1487-TODAY())/30.4,1))</f>
        <v/>
      </c>
      <c r="I1487" s="17" t="str">
        <f aca="false">IF(E1487="","",IF(H1487&lt;0,IF(LEFT(A1487,1)="Q","Périmé (en quarantaine)","PÉRIMÉ → déplacer en zone Q"),IF(H1487&lt;3,"Péremption &lt; 3 mois",IF(H1487&lt;6,"Péremption &lt; 6 mois",""))))</f>
        <v/>
      </c>
      <c r="J1487" s="17" t="str">
        <f aca="false">IF(A1487="","",IF(COUNTIF(Emplacements!$A$2:$A$1001,A1487)=0,"⚠ emplacement inconnu","OK"))</f>
        <v/>
      </c>
      <c r="K1487" s="22" t="str">
        <f aca="false">IF(AND(B1487&lt;&gt;"",ISNUMBER(SEARCH(Recherche!$C$3,C1487&amp;" "&amp;B1487&amp;" "&amp;A1487&amp;" "&amp;D1487))),MAX($K$1:K1486)+1,"")</f>
        <v/>
      </c>
    </row>
    <row r="1488" customFormat="false" ht="15" hidden="false" customHeight="false" outlineLevel="0" collapsed="false">
      <c r="A1488" s="12"/>
      <c r="B1488" s="12"/>
      <c r="C1488" s="17" t="str">
        <f aca="false">IF(B1488="","",IFERROR(INDEX(Produits!$F$2:$F$1001,MATCH(B1488,Produits!$A$2:$A$1001,0)),"⚠ code article inconnu"))</f>
        <v/>
      </c>
      <c r="D1488" s="12"/>
      <c r="E1488" s="23"/>
      <c r="F1488" s="24"/>
      <c r="G1488" s="23"/>
      <c r="H1488" s="21" t="str">
        <f aca="true">IF(E1488="","",ROUND((E1488-TODAY())/30.4,1))</f>
        <v/>
      </c>
      <c r="I1488" s="17" t="str">
        <f aca="false">IF(E1488="","",IF(H1488&lt;0,IF(LEFT(A1488,1)="Q","Périmé (en quarantaine)","PÉRIMÉ → déplacer en zone Q"),IF(H1488&lt;3,"Péremption &lt; 3 mois",IF(H1488&lt;6,"Péremption &lt; 6 mois",""))))</f>
        <v/>
      </c>
      <c r="J1488" s="17" t="str">
        <f aca="false">IF(A1488="","",IF(COUNTIF(Emplacements!$A$2:$A$1001,A1488)=0,"⚠ emplacement inconnu","OK"))</f>
        <v/>
      </c>
      <c r="K1488" s="22" t="str">
        <f aca="false">IF(AND(B1488&lt;&gt;"",ISNUMBER(SEARCH(Recherche!$C$3,C1488&amp;" "&amp;B1488&amp;" "&amp;A1488&amp;" "&amp;D1488))),MAX($K$1:K1487)+1,"")</f>
        <v/>
      </c>
    </row>
    <row r="1489" customFormat="false" ht="15" hidden="false" customHeight="false" outlineLevel="0" collapsed="false">
      <c r="A1489" s="12"/>
      <c r="B1489" s="12"/>
      <c r="C1489" s="17" t="str">
        <f aca="false">IF(B1489="","",IFERROR(INDEX(Produits!$F$2:$F$1001,MATCH(B1489,Produits!$A$2:$A$1001,0)),"⚠ code article inconnu"))</f>
        <v/>
      </c>
      <c r="D1489" s="12"/>
      <c r="E1489" s="23"/>
      <c r="F1489" s="24"/>
      <c r="G1489" s="23"/>
      <c r="H1489" s="21" t="str">
        <f aca="true">IF(E1489="","",ROUND((E1489-TODAY())/30.4,1))</f>
        <v/>
      </c>
      <c r="I1489" s="17" t="str">
        <f aca="false">IF(E1489="","",IF(H1489&lt;0,IF(LEFT(A1489,1)="Q","Périmé (en quarantaine)","PÉRIMÉ → déplacer en zone Q"),IF(H1489&lt;3,"Péremption &lt; 3 mois",IF(H1489&lt;6,"Péremption &lt; 6 mois",""))))</f>
        <v/>
      </c>
      <c r="J1489" s="17" t="str">
        <f aca="false">IF(A1489="","",IF(COUNTIF(Emplacements!$A$2:$A$1001,A1489)=0,"⚠ emplacement inconnu","OK"))</f>
        <v/>
      </c>
      <c r="K1489" s="22" t="str">
        <f aca="false">IF(AND(B1489&lt;&gt;"",ISNUMBER(SEARCH(Recherche!$C$3,C1489&amp;" "&amp;B1489&amp;" "&amp;A1489&amp;" "&amp;D1489))),MAX($K$1:K1488)+1,"")</f>
        <v/>
      </c>
    </row>
    <row r="1490" customFormat="false" ht="15" hidden="false" customHeight="false" outlineLevel="0" collapsed="false">
      <c r="A1490" s="12"/>
      <c r="B1490" s="12"/>
      <c r="C1490" s="17" t="str">
        <f aca="false">IF(B1490="","",IFERROR(INDEX(Produits!$F$2:$F$1001,MATCH(B1490,Produits!$A$2:$A$1001,0)),"⚠ code article inconnu"))</f>
        <v/>
      </c>
      <c r="D1490" s="12"/>
      <c r="E1490" s="23"/>
      <c r="F1490" s="24"/>
      <c r="G1490" s="23"/>
      <c r="H1490" s="21" t="str">
        <f aca="true">IF(E1490="","",ROUND((E1490-TODAY())/30.4,1))</f>
        <v/>
      </c>
      <c r="I1490" s="17" t="str">
        <f aca="false">IF(E1490="","",IF(H1490&lt;0,IF(LEFT(A1490,1)="Q","Périmé (en quarantaine)","PÉRIMÉ → déplacer en zone Q"),IF(H1490&lt;3,"Péremption &lt; 3 mois",IF(H1490&lt;6,"Péremption &lt; 6 mois",""))))</f>
        <v/>
      </c>
      <c r="J1490" s="17" t="str">
        <f aca="false">IF(A1490="","",IF(COUNTIF(Emplacements!$A$2:$A$1001,A1490)=0,"⚠ emplacement inconnu","OK"))</f>
        <v/>
      </c>
      <c r="K1490" s="22" t="str">
        <f aca="false">IF(AND(B1490&lt;&gt;"",ISNUMBER(SEARCH(Recherche!$C$3,C1490&amp;" "&amp;B1490&amp;" "&amp;A1490&amp;" "&amp;D1490))),MAX($K$1:K1489)+1,"")</f>
        <v/>
      </c>
    </row>
    <row r="1491" customFormat="false" ht="15" hidden="false" customHeight="false" outlineLevel="0" collapsed="false">
      <c r="A1491" s="12"/>
      <c r="B1491" s="12"/>
      <c r="C1491" s="17" t="str">
        <f aca="false">IF(B1491="","",IFERROR(INDEX(Produits!$F$2:$F$1001,MATCH(B1491,Produits!$A$2:$A$1001,0)),"⚠ code article inconnu"))</f>
        <v/>
      </c>
      <c r="D1491" s="12"/>
      <c r="E1491" s="23"/>
      <c r="F1491" s="24"/>
      <c r="G1491" s="23"/>
      <c r="H1491" s="21" t="str">
        <f aca="true">IF(E1491="","",ROUND((E1491-TODAY())/30.4,1))</f>
        <v/>
      </c>
      <c r="I1491" s="17" t="str">
        <f aca="false">IF(E1491="","",IF(H1491&lt;0,IF(LEFT(A1491,1)="Q","Périmé (en quarantaine)","PÉRIMÉ → déplacer en zone Q"),IF(H1491&lt;3,"Péremption &lt; 3 mois",IF(H1491&lt;6,"Péremption &lt; 6 mois",""))))</f>
        <v/>
      </c>
      <c r="J1491" s="17" t="str">
        <f aca="false">IF(A1491="","",IF(COUNTIF(Emplacements!$A$2:$A$1001,A1491)=0,"⚠ emplacement inconnu","OK"))</f>
        <v/>
      </c>
      <c r="K1491" s="22" t="str">
        <f aca="false">IF(AND(B1491&lt;&gt;"",ISNUMBER(SEARCH(Recherche!$C$3,C1491&amp;" "&amp;B1491&amp;" "&amp;A1491&amp;" "&amp;D1491))),MAX($K$1:K1490)+1,"")</f>
        <v/>
      </c>
    </row>
    <row r="1492" customFormat="false" ht="15" hidden="false" customHeight="false" outlineLevel="0" collapsed="false">
      <c r="A1492" s="12"/>
      <c r="B1492" s="12"/>
      <c r="C1492" s="17" t="str">
        <f aca="false">IF(B1492="","",IFERROR(INDEX(Produits!$F$2:$F$1001,MATCH(B1492,Produits!$A$2:$A$1001,0)),"⚠ code article inconnu"))</f>
        <v/>
      </c>
      <c r="D1492" s="12"/>
      <c r="E1492" s="23"/>
      <c r="F1492" s="24"/>
      <c r="G1492" s="23"/>
      <c r="H1492" s="21" t="str">
        <f aca="true">IF(E1492="","",ROUND((E1492-TODAY())/30.4,1))</f>
        <v/>
      </c>
      <c r="I1492" s="17" t="str">
        <f aca="false">IF(E1492="","",IF(H1492&lt;0,IF(LEFT(A1492,1)="Q","Périmé (en quarantaine)","PÉRIMÉ → déplacer en zone Q"),IF(H1492&lt;3,"Péremption &lt; 3 mois",IF(H1492&lt;6,"Péremption &lt; 6 mois",""))))</f>
        <v/>
      </c>
      <c r="J1492" s="17" t="str">
        <f aca="false">IF(A1492="","",IF(COUNTIF(Emplacements!$A$2:$A$1001,A1492)=0,"⚠ emplacement inconnu","OK"))</f>
        <v/>
      </c>
      <c r="K1492" s="22" t="str">
        <f aca="false">IF(AND(B1492&lt;&gt;"",ISNUMBER(SEARCH(Recherche!$C$3,C1492&amp;" "&amp;B1492&amp;" "&amp;A1492&amp;" "&amp;D1492))),MAX($K$1:K1491)+1,"")</f>
        <v/>
      </c>
    </row>
    <row r="1493" customFormat="false" ht="15" hidden="false" customHeight="false" outlineLevel="0" collapsed="false">
      <c r="A1493" s="12"/>
      <c r="B1493" s="12"/>
      <c r="C1493" s="17" t="str">
        <f aca="false">IF(B1493="","",IFERROR(INDEX(Produits!$F$2:$F$1001,MATCH(B1493,Produits!$A$2:$A$1001,0)),"⚠ code article inconnu"))</f>
        <v/>
      </c>
      <c r="D1493" s="12"/>
      <c r="E1493" s="23"/>
      <c r="F1493" s="24"/>
      <c r="G1493" s="23"/>
      <c r="H1493" s="21" t="str">
        <f aca="true">IF(E1493="","",ROUND((E1493-TODAY())/30.4,1))</f>
        <v/>
      </c>
      <c r="I1493" s="17" t="str">
        <f aca="false">IF(E1493="","",IF(H1493&lt;0,IF(LEFT(A1493,1)="Q","Périmé (en quarantaine)","PÉRIMÉ → déplacer en zone Q"),IF(H1493&lt;3,"Péremption &lt; 3 mois",IF(H1493&lt;6,"Péremption &lt; 6 mois",""))))</f>
        <v/>
      </c>
      <c r="J1493" s="17" t="str">
        <f aca="false">IF(A1493="","",IF(COUNTIF(Emplacements!$A$2:$A$1001,A1493)=0,"⚠ emplacement inconnu","OK"))</f>
        <v/>
      </c>
      <c r="K1493" s="22" t="str">
        <f aca="false">IF(AND(B1493&lt;&gt;"",ISNUMBER(SEARCH(Recherche!$C$3,C1493&amp;" "&amp;B1493&amp;" "&amp;A1493&amp;" "&amp;D1493))),MAX($K$1:K1492)+1,"")</f>
        <v/>
      </c>
    </row>
    <row r="1494" customFormat="false" ht="15" hidden="false" customHeight="false" outlineLevel="0" collapsed="false">
      <c r="A1494" s="12"/>
      <c r="B1494" s="12"/>
      <c r="C1494" s="17" t="str">
        <f aca="false">IF(B1494="","",IFERROR(INDEX(Produits!$F$2:$F$1001,MATCH(B1494,Produits!$A$2:$A$1001,0)),"⚠ code article inconnu"))</f>
        <v/>
      </c>
      <c r="D1494" s="12"/>
      <c r="E1494" s="23"/>
      <c r="F1494" s="24"/>
      <c r="G1494" s="23"/>
      <c r="H1494" s="21" t="str">
        <f aca="true">IF(E1494="","",ROUND((E1494-TODAY())/30.4,1))</f>
        <v/>
      </c>
      <c r="I1494" s="17" t="str">
        <f aca="false">IF(E1494="","",IF(H1494&lt;0,IF(LEFT(A1494,1)="Q","Périmé (en quarantaine)","PÉRIMÉ → déplacer en zone Q"),IF(H1494&lt;3,"Péremption &lt; 3 mois",IF(H1494&lt;6,"Péremption &lt; 6 mois",""))))</f>
        <v/>
      </c>
      <c r="J1494" s="17" t="str">
        <f aca="false">IF(A1494="","",IF(COUNTIF(Emplacements!$A$2:$A$1001,A1494)=0,"⚠ emplacement inconnu","OK"))</f>
        <v/>
      </c>
      <c r="K1494" s="22" t="str">
        <f aca="false">IF(AND(B1494&lt;&gt;"",ISNUMBER(SEARCH(Recherche!$C$3,C1494&amp;" "&amp;B1494&amp;" "&amp;A1494&amp;" "&amp;D1494))),MAX($K$1:K1493)+1,"")</f>
        <v/>
      </c>
    </row>
    <row r="1495" customFormat="false" ht="15" hidden="false" customHeight="false" outlineLevel="0" collapsed="false">
      <c r="A1495" s="12"/>
      <c r="B1495" s="12"/>
      <c r="C1495" s="17" t="str">
        <f aca="false">IF(B1495="","",IFERROR(INDEX(Produits!$F$2:$F$1001,MATCH(B1495,Produits!$A$2:$A$1001,0)),"⚠ code article inconnu"))</f>
        <v/>
      </c>
      <c r="D1495" s="12"/>
      <c r="E1495" s="23"/>
      <c r="F1495" s="24"/>
      <c r="G1495" s="23"/>
      <c r="H1495" s="21" t="str">
        <f aca="true">IF(E1495="","",ROUND((E1495-TODAY())/30.4,1))</f>
        <v/>
      </c>
      <c r="I1495" s="17" t="str">
        <f aca="false">IF(E1495="","",IF(H1495&lt;0,IF(LEFT(A1495,1)="Q","Périmé (en quarantaine)","PÉRIMÉ → déplacer en zone Q"),IF(H1495&lt;3,"Péremption &lt; 3 mois",IF(H1495&lt;6,"Péremption &lt; 6 mois",""))))</f>
        <v/>
      </c>
      <c r="J1495" s="17" t="str">
        <f aca="false">IF(A1495="","",IF(COUNTIF(Emplacements!$A$2:$A$1001,A1495)=0,"⚠ emplacement inconnu","OK"))</f>
        <v/>
      </c>
      <c r="K1495" s="22" t="str">
        <f aca="false">IF(AND(B1495&lt;&gt;"",ISNUMBER(SEARCH(Recherche!$C$3,C1495&amp;" "&amp;B1495&amp;" "&amp;A1495&amp;" "&amp;D1495))),MAX($K$1:K1494)+1,"")</f>
        <v/>
      </c>
    </row>
    <row r="1496" customFormat="false" ht="15" hidden="false" customHeight="false" outlineLevel="0" collapsed="false">
      <c r="A1496" s="12"/>
      <c r="B1496" s="12"/>
      <c r="C1496" s="17" t="str">
        <f aca="false">IF(B1496="","",IFERROR(INDEX(Produits!$F$2:$F$1001,MATCH(B1496,Produits!$A$2:$A$1001,0)),"⚠ code article inconnu"))</f>
        <v/>
      </c>
      <c r="D1496" s="12"/>
      <c r="E1496" s="23"/>
      <c r="F1496" s="24"/>
      <c r="G1496" s="23"/>
      <c r="H1496" s="21" t="str">
        <f aca="true">IF(E1496="","",ROUND((E1496-TODAY())/30.4,1))</f>
        <v/>
      </c>
      <c r="I1496" s="17" t="str">
        <f aca="false">IF(E1496="","",IF(H1496&lt;0,IF(LEFT(A1496,1)="Q","Périmé (en quarantaine)","PÉRIMÉ → déplacer en zone Q"),IF(H1496&lt;3,"Péremption &lt; 3 mois",IF(H1496&lt;6,"Péremption &lt; 6 mois",""))))</f>
        <v/>
      </c>
      <c r="J1496" s="17" t="str">
        <f aca="false">IF(A1496="","",IF(COUNTIF(Emplacements!$A$2:$A$1001,A1496)=0,"⚠ emplacement inconnu","OK"))</f>
        <v/>
      </c>
      <c r="K1496" s="22" t="str">
        <f aca="false">IF(AND(B1496&lt;&gt;"",ISNUMBER(SEARCH(Recherche!$C$3,C1496&amp;" "&amp;B1496&amp;" "&amp;A1496&amp;" "&amp;D1496))),MAX($K$1:K1495)+1,"")</f>
        <v/>
      </c>
    </row>
    <row r="1497" customFormat="false" ht="15" hidden="false" customHeight="false" outlineLevel="0" collapsed="false">
      <c r="A1497" s="12"/>
      <c r="B1497" s="12"/>
      <c r="C1497" s="17" t="str">
        <f aca="false">IF(B1497="","",IFERROR(INDEX(Produits!$F$2:$F$1001,MATCH(B1497,Produits!$A$2:$A$1001,0)),"⚠ code article inconnu"))</f>
        <v/>
      </c>
      <c r="D1497" s="12"/>
      <c r="E1497" s="23"/>
      <c r="F1497" s="24"/>
      <c r="G1497" s="23"/>
      <c r="H1497" s="21" t="str">
        <f aca="true">IF(E1497="","",ROUND((E1497-TODAY())/30.4,1))</f>
        <v/>
      </c>
      <c r="I1497" s="17" t="str">
        <f aca="false">IF(E1497="","",IF(H1497&lt;0,IF(LEFT(A1497,1)="Q","Périmé (en quarantaine)","PÉRIMÉ → déplacer en zone Q"),IF(H1497&lt;3,"Péremption &lt; 3 mois",IF(H1497&lt;6,"Péremption &lt; 6 mois",""))))</f>
        <v/>
      </c>
      <c r="J1497" s="17" t="str">
        <f aca="false">IF(A1497="","",IF(COUNTIF(Emplacements!$A$2:$A$1001,A1497)=0,"⚠ emplacement inconnu","OK"))</f>
        <v/>
      </c>
      <c r="K1497" s="22" t="str">
        <f aca="false">IF(AND(B1497&lt;&gt;"",ISNUMBER(SEARCH(Recherche!$C$3,C1497&amp;" "&amp;B1497&amp;" "&amp;A1497&amp;" "&amp;D1497))),MAX($K$1:K1496)+1,"")</f>
        <v/>
      </c>
    </row>
    <row r="1498" customFormat="false" ht="15" hidden="false" customHeight="false" outlineLevel="0" collapsed="false">
      <c r="A1498" s="12"/>
      <c r="B1498" s="12"/>
      <c r="C1498" s="17" t="str">
        <f aca="false">IF(B1498="","",IFERROR(INDEX(Produits!$F$2:$F$1001,MATCH(B1498,Produits!$A$2:$A$1001,0)),"⚠ code article inconnu"))</f>
        <v/>
      </c>
      <c r="D1498" s="12"/>
      <c r="E1498" s="23"/>
      <c r="F1498" s="24"/>
      <c r="G1498" s="23"/>
      <c r="H1498" s="21" t="str">
        <f aca="true">IF(E1498="","",ROUND((E1498-TODAY())/30.4,1))</f>
        <v/>
      </c>
      <c r="I1498" s="17" t="str">
        <f aca="false">IF(E1498="","",IF(H1498&lt;0,IF(LEFT(A1498,1)="Q","Périmé (en quarantaine)","PÉRIMÉ → déplacer en zone Q"),IF(H1498&lt;3,"Péremption &lt; 3 mois",IF(H1498&lt;6,"Péremption &lt; 6 mois",""))))</f>
        <v/>
      </c>
      <c r="J1498" s="17" t="str">
        <f aca="false">IF(A1498="","",IF(COUNTIF(Emplacements!$A$2:$A$1001,A1498)=0,"⚠ emplacement inconnu","OK"))</f>
        <v/>
      </c>
      <c r="K1498" s="22" t="str">
        <f aca="false">IF(AND(B1498&lt;&gt;"",ISNUMBER(SEARCH(Recherche!$C$3,C1498&amp;" "&amp;B1498&amp;" "&amp;A1498&amp;" "&amp;D1498))),MAX($K$1:K1497)+1,"")</f>
        <v/>
      </c>
    </row>
    <row r="1499" customFormat="false" ht="15" hidden="false" customHeight="false" outlineLevel="0" collapsed="false">
      <c r="A1499" s="12"/>
      <c r="B1499" s="12"/>
      <c r="C1499" s="17" t="str">
        <f aca="false">IF(B1499="","",IFERROR(INDEX(Produits!$F$2:$F$1001,MATCH(B1499,Produits!$A$2:$A$1001,0)),"⚠ code article inconnu"))</f>
        <v/>
      </c>
      <c r="D1499" s="12"/>
      <c r="E1499" s="23"/>
      <c r="F1499" s="24"/>
      <c r="G1499" s="23"/>
      <c r="H1499" s="21" t="str">
        <f aca="true">IF(E1499="","",ROUND((E1499-TODAY())/30.4,1))</f>
        <v/>
      </c>
      <c r="I1499" s="17" t="str">
        <f aca="false">IF(E1499="","",IF(H1499&lt;0,IF(LEFT(A1499,1)="Q","Périmé (en quarantaine)","PÉRIMÉ → déplacer en zone Q"),IF(H1499&lt;3,"Péremption &lt; 3 mois",IF(H1499&lt;6,"Péremption &lt; 6 mois",""))))</f>
        <v/>
      </c>
      <c r="J1499" s="17" t="str">
        <f aca="false">IF(A1499="","",IF(COUNTIF(Emplacements!$A$2:$A$1001,A1499)=0,"⚠ emplacement inconnu","OK"))</f>
        <v/>
      </c>
      <c r="K1499" s="22" t="str">
        <f aca="false">IF(AND(B1499&lt;&gt;"",ISNUMBER(SEARCH(Recherche!$C$3,C1499&amp;" "&amp;B1499&amp;" "&amp;A1499&amp;" "&amp;D1499))),MAX($K$1:K1498)+1,"")</f>
        <v/>
      </c>
    </row>
    <row r="1500" customFormat="false" ht="15" hidden="false" customHeight="false" outlineLevel="0" collapsed="false">
      <c r="A1500" s="12"/>
      <c r="B1500" s="12"/>
      <c r="C1500" s="17" t="str">
        <f aca="false">IF(B1500="","",IFERROR(INDEX(Produits!$F$2:$F$1001,MATCH(B1500,Produits!$A$2:$A$1001,0)),"⚠ code article inconnu"))</f>
        <v/>
      </c>
      <c r="D1500" s="12"/>
      <c r="E1500" s="23"/>
      <c r="F1500" s="24"/>
      <c r="G1500" s="23"/>
      <c r="H1500" s="21" t="str">
        <f aca="true">IF(E1500="","",ROUND((E1500-TODAY())/30.4,1))</f>
        <v/>
      </c>
      <c r="I1500" s="17" t="str">
        <f aca="false">IF(E1500="","",IF(H1500&lt;0,IF(LEFT(A1500,1)="Q","Périmé (en quarantaine)","PÉRIMÉ → déplacer en zone Q"),IF(H1500&lt;3,"Péremption &lt; 3 mois",IF(H1500&lt;6,"Péremption &lt; 6 mois",""))))</f>
        <v/>
      </c>
      <c r="J1500" s="17" t="str">
        <f aca="false">IF(A1500="","",IF(COUNTIF(Emplacements!$A$2:$A$1001,A1500)=0,"⚠ emplacement inconnu","OK"))</f>
        <v/>
      </c>
      <c r="K1500" s="22" t="str">
        <f aca="false">IF(AND(B1500&lt;&gt;"",ISNUMBER(SEARCH(Recherche!$C$3,C1500&amp;" "&amp;B1500&amp;" "&amp;A1500&amp;" "&amp;D1500))),MAX($K$1:K1499)+1,"")</f>
        <v/>
      </c>
    </row>
    <row r="1501" customFormat="false" ht="15" hidden="false" customHeight="false" outlineLevel="0" collapsed="false">
      <c r="A1501" s="12"/>
      <c r="B1501" s="12"/>
      <c r="C1501" s="17" t="str">
        <f aca="false">IF(B1501="","",IFERROR(INDEX(Produits!$F$2:$F$1001,MATCH(B1501,Produits!$A$2:$A$1001,0)),"⚠ code article inconnu"))</f>
        <v/>
      </c>
      <c r="D1501" s="12"/>
      <c r="E1501" s="23"/>
      <c r="F1501" s="24"/>
      <c r="G1501" s="23"/>
      <c r="H1501" s="21" t="str">
        <f aca="true">IF(E1501="","",ROUND((E1501-TODAY())/30.4,1))</f>
        <v/>
      </c>
      <c r="I1501" s="17" t="str">
        <f aca="false">IF(E1501="","",IF(H1501&lt;0,IF(LEFT(A1501,1)="Q","Périmé (en quarantaine)","PÉRIMÉ → déplacer en zone Q"),IF(H1501&lt;3,"Péremption &lt; 3 mois",IF(H1501&lt;6,"Péremption &lt; 6 mois",""))))</f>
        <v/>
      </c>
      <c r="J1501" s="17" t="str">
        <f aca="false">IF(A1501="","",IF(COUNTIF(Emplacements!$A$2:$A$1001,A1501)=0,"⚠ emplacement inconnu","OK"))</f>
        <v/>
      </c>
      <c r="K1501" s="22" t="str">
        <f aca="false">IF(AND(B1501&lt;&gt;"",ISNUMBER(SEARCH(Recherche!$C$3,C1501&amp;" "&amp;B1501&amp;" "&amp;A1501&amp;" "&amp;D1501))),MAX($K$1:K1500)+1,"")</f>
        <v/>
      </c>
    </row>
    <row r="1502" customFormat="false" ht="15" hidden="false" customHeight="false" outlineLevel="0" collapsed="false">
      <c r="A1502" s="12"/>
      <c r="B1502" s="12"/>
      <c r="C1502" s="17" t="str">
        <f aca="false">IF(B1502="","",IFERROR(INDEX(Produits!$F$2:$F$1001,MATCH(B1502,Produits!$A$2:$A$1001,0)),"⚠ code article inconnu"))</f>
        <v/>
      </c>
      <c r="D1502" s="12"/>
      <c r="E1502" s="23"/>
      <c r="F1502" s="24"/>
      <c r="G1502" s="23"/>
      <c r="H1502" s="21" t="str">
        <f aca="true">IF(E1502="","",ROUND((E1502-TODAY())/30.4,1))</f>
        <v/>
      </c>
      <c r="I1502" s="17" t="str">
        <f aca="false">IF(E1502="","",IF(H1502&lt;0,IF(LEFT(A1502,1)="Q","Périmé (en quarantaine)","PÉRIMÉ → déplacer en zone Q"),IF(H1502&lt;3,"Péremption &lt; 3 mois",IF(H1502&lt;6,"Péremption &lt; 6 mois",""))))</f>
        <v/>
      </c>
      <c r="J1502" s="17" t="str">
        <f aca="false">IF(A1502="","",IF(COUNTIF(Emplacements!$A$2:$A$1001,A1502)=0,"⚠ emplacement inconnu","OK"))</f>
        <v/>
      </c>
      <c r="K1502" s="22" t="str">
        <f aca="false">IF(AND(B1502&lt;&gt;"",ISNUMBER(SEARCH(Recherche!$C$3,C1502&amp;" "&amp;B1502&amp;" "&amp;A1502&amp;" "&amp;D1502))),MAX($K$1:K1501)+1,"")</f>
        <v/>
      </c>
    </row>
    <row r="1503" customFormat="false" ht="15" hidden="false" customHeight="false" outlineLevel="0" collapsed="false">
      <c r="A1503" s="12"/>
      <c r="B1503" s="12"/>
      <c r="C1503" s="17" t="str">
        <f aca="false">IF(B1503="","",IFERROR(INDEX(Produits!$F$2:$F$1001,MATCH(B1503,Produits!$A$2:$A$1001,0)),"⚠ code article inconnu"))</f>
        <v/>
      </c>
      <c r="D1503" s="12"/>
      <c r="E1503" s="23"/>
      <c r="F1503" s="24"/>
      <c r="G1503" s="23"/>
      <c r="H1503" s="21" t="str">
        <f aca="true">IF(E1503="","",ROUND((E1503-TODAY())/30.4,1))</f>
        <v/>
      </c>
      <c r="I1503" s="17" t="str">
        <f aca="false">IF(E1503="","",IF(H1503&lt;0,IF(LEFT(A1503,1)="Q","Périmé (en quarantaine)","PÉRIMÉ → déplacer en zone Q"),IF(H1503&lt;3,"Péremption &lt; 3 mois",IF(H1503&lt;6,"Péremption &lt; 6 mois",""))))</f>
        <v/>
      </c>
      <c r="J1503" s="17" t="str">
        <f aca="false">IF(A1503="","",IF(COUNTIF(Emplacements!$A$2:$A$1001,A1503)=0,"⚠ emplacement inconnu","OK"))</f>
        <v/>
      </c>
      <c r="K1503" s="22" t="str">
        <f aca="false">IF(AND(B1503&lt;&gt;"",ISNUMBER(SEARCH(Recherche!$C$3,C1503&amp;" "&amp;B1503&amp;" "&amp;A1503&amp;" "&amp;D1503))),MAX($K$1:K1502)+1,"")</f>
        <v/>
      </c>
    </row>
    <row r="1504" customFormat="false" ht="15" hidden="false" customHeight="false" outlineLevel="0" collapsed="false">
      <c r="A1504" s="12"/>
      <c r="B1504" s="12"/>
      <c r="C1504" s="17" t="str">
        <f aca="false">IF(B1504="","",IFERROR(INDEX(Produits!$F$2:$F$1001,MATCH(B1504,Produits!$A$2:$A$1001,0)),"⚠ code article inconnu"))</f>
        <v/>
      </c>
      <c r="D1504" s="12"/>
      <c r="E1504" s="23"/>
      <c r="F1504" s="24"/>
      <c r="G1504" s="23"/>
      <c r="H1504" s="21" t="str">
        <f aca="true">IF(E1504="","",ROUND((E1504-TODAY())/30.4,1))</f>
        <v/>
      </c>
      <c r="I1504" s="17" t="str">
        <f aca="false">IF(E1504="","",IF(H1504&lt;0,IF(LEFT(A1504,1)="Q","Périmé (en quarantaine)","PÉRIMÉ → déplacer en zone Q"),IF(H1504&lt;3,"Péremption &lt; 3 mois",IF(H1504&lt;6,"Péremption &lt; 6 mois",""))))</f>
        <v/>
      </c>
      <c r="J1504" s="17" t="str">
        <f aca="false">IF(A1504="","",IF(COUNTIF(Emplacements!$A$2:$A$1001,A1504)=0,"⚠ emplacement inconnu","OK"))</f>
        <v/>
      </c>
      <c r="K1504" s="22" t="str">
        <f aca="false">IF(AND(B1504&lt;&gt;"",ISNUMBER(SEARCH(Recherche!$C$3,C1504&amp;" "&amp;B1504&amp;" "&amp;A1504&amp;" "&amp;D1504))),MAX($K$1:K1503)+1,"")</f>
        <v/>
      </c>
    </row>
    <row r="1505" customFormat="false" ht="15" hidden="false" customHeight="false" outlineLevel="0" collapsed="false">
      <c r="A1505" s="12"/>
      <c r="B1505" s="12"/>
      <c r="C1505" s="17" t="str">
        <f aca="false">IF(B1505="","",IFERROR(INDEX(Produits!$F$2:$F$1001,MATCH(B1505,Produits!$A$2:$A$1001,0)),"⚠ code article inconnu"))</f>
        <v/>
      </c>
      <c r="D1505" s="12"/>
      <c r="E1505" s="23"/>
      <c r="F1505" s="24"/>
      <c r="G1505" s="23"/>
      <c r="H1505" s="21" t="str">
        <f aca="true">IF(E1505="","",ROUND((E1505-TODAY())/30.4,1))</f>
        <v/>
      </c>
      <c r="I1505" s="17" t="str">
        <f aca="false">IF(E1505="","",IF(H1505&lt;0,IF(LEFT(A1505,1)="Q","Périmé (en quarantaine)","PÉRIMÉ → déplacer en zone Q"),IF(H1505&lt;3,"Péremption &lt; 3 mois",IF(H1505&lt;6,"Péremption &lt; 6 mois",""))))</f>
        <v/>
      </c>
      <c r="J1505" s="17" t="str">
        <f aca="false">IF(A1505="","",IF(COUNTIF(Emplacements!$A$2:$A$1001,A1505)=0,"⚠ emplacement inconnu","OK"))</f>
        <v/>
      </c>
      <c r="K1505" s="22" t="str">
        <f aca="false">IF(AND(B1505&lt;&gt;"",ISNUMBER(SEARCH(Recherche!$C$3,C1505&amp;" "&amp;B1505&amp;" "&amp;A1505&amp;" "&amp;D1505))),MAX($K$1:K1504)+1,"")</f>
        <v/>
      </c>
    </row>
    <row r="1506" customFormat="false" ht="15" hidden="false" customHeight="false" outlineLevel="0" collapsed="false">
      <c r="A1506" s="12"/>
      <c r="B1506" s="12"/>
      <c r="C1506" s="17" t="str">
        <f aca="false">IF(B1506="","",IFERROR(INDEX(Produits!$F$2:$F$1001,MATCH(B1506,Produits!$A$2:$A$1001,0)),"⚠ code article inconnu"))</f>
        <v/>
      </c>
      <c r="D1506" s="12"/>
      <c r="E1506" s="23"/>
      <c r="F1506" s="24"/>
      <c r="G1506" s="23"/>
      <c r="H1506" s="21" t="str">
        <f aca="true">IF(E1506="","",ROUND((E1506-TODAY())/30.4,1))</f>
        <v/>
      </c>
      <c r="I1506" s="17" t="str">
        <f aca="false">IF(E1506="","",IF(H1506&lt;0,IF(LEFT(A1506,1)="Q","Périmé (en quarantaine)","PÉRIMÉ → déplacer en zone Q"),IF(H1506&lt;3,"Péremption &lt; 3 mois",IF(H1506&lt;6,"Péremption &lt; 6 mois",""))))</f>
        <v/>
      </c>
      <c r="J1506" s="17" t="str">
        <f aca="false">IF(A1506="","",IF(COUNTIF(Emplacements!$A$2:$A$1001,A1506)=0,"⚠ emplacement inconnu","OK"))</f>
        <v/>
      </c>
      <c r="K1506" s="22" t="str">
        <f aca="false">IF(AND(B1506&lt;&gt;"",ISNUMBER(SEARCH(Recherche!$C$3,C1506&amp;" "&amp;B1506&amp;" "&amp;A1506&amp;" "&amp;D1506))),MAX($K$1:K1505)+1,"")</f>
        <v/>
      </c>
    </row>
    <row r="1507" customFormat="false" ht="15" hidden="false" customHeight="false" outlineLevel="0" collapsed="false">
      <c r="A1507" s="12"/>
      <c r="B1507" s="12"/>
      <c r="C1507" s="17" t="str">
        <f aca="false">IF(B1507="","",IFERROR(INDEX(Produits!$F$2:$F$1001,MATCH(B1507,Produits!$A$2:$A$1001,0)),"⚠ code article inconnu"))</f>
        <v/>
      </c>
      <c r="D1507" s="12"/>
      <c r="E1507" s="23"/>
      <c r="F1507" s="24"/>
      <c r="G1507" s="23"/>
      <c r="H1507" s="21" t="str">
        <f aca="true">IF(E1507="","",ROUND((E1507-TODAY())/30.4,1))</f>
        <v/>
      </c>
      <c r="I1507" s="17" t="str">
        <f aca="false">IF(E1507="","",IF(H1507&lt;0,IF(LEFT(A1507,1)="Q","Périmé (en quarantaine)","PÉRIMÉ → déplacer en zone Q"),IF(H1507&lt;3,"Péremption &lt; 3 mois",IF(H1507&lt;6,"Péremption &lt; 6 mois",""))))</f>
        <v/>
      </c>
      <c r="J1507" s="17" t="str">
        <f aca="false">IF(A1507="","",IF(COUNTIF(Emplacements!$A$2:$A$1001,A1507)=0,"⚠ emplacement inconnu","OK"))</f>
        <v/>
      </c>
      <c r="K1507" s="22" t="str">
        <f aca="false">IF(AND(B1507&lt;&gt;"",ISNUMBER(SEARCH(Recherche!$C$3,C1507&amp;" "&amp;B1507&amp;" "&amp;A1507&amp;" "&amp;D1507))),MAX($K$1:K1506)+1,"")</f>
        <v/>
      </c>
    </row>
    <row r="1508" customFormat="false" ht="15" hidden="false" customHeight="false" outlineLevel="0" collapsed="false">
      <c r="A1508" s="12"/>
      <c r="B1508" s="12"/>
      <c r="C1508" s="17" t="str">
        <f aca="false">IF(B1508="","",IFERROR(INDEX(Produits!$F$2:$F$1001,MATCH(B1508,Produits!$A$2:$A$1001,0)),"⚠ code article inconnu"))</f>
        <v/>
      </c>
      <c r="D1508" s="12"/>
      <c r="E1508" s="23"/>
      <c r="F1508" s="24"/>
      <c r="G1508" s="23"/>
      <c r="H1508" s="21" t="str">
        <f aca="true">IF(E1508="","",ROUND((E1508-TODAY())/30.4,1))</f>
        <v/>
      </c>
      <c r="I1508" s="17" t="str">
        <f aca="false">IF(E1508="","",IF(H1508&lt;0,IF(LEFT(A1508,1)="Q","Périmé (en quarantaine)","PÉRIMÉ → déplacer en zone Q"),IF(H1508&lt;3,"Péremption &lt; 3 mois",IF(H1508&lt;6,"Péremption &lt; 6 mois",""))))</f>
        <v/>
      </c>
      <c r="J1508" s="17" t="str">
        <f aca="false">IF(A1508="","",IF(COUNTIF(Emplacements!$A$2:$A$1001,A1508)=0,"⚠ emplacement inconnu","OK"))</f>
        <v/>
      </c>
      <c r="K1508" s="22" t="str">
        <f aca="false">IF(AND(B1508&lt;&gt;"",ISNUMBER(SEARCH(Recherche!$C$3,C1508&amp;" "&amp;B1508&amp;" "&amp;A1508&amp;" "&amp;D1508))),MAX($K$1:K1507)+1,"")</f>
        <v/>
      </c>
    </row>
    <row r="1509" customFormat="false" ht="15" hidden="false" customHeight="false" outlineLevel="0" collapsed="false">
      <c r="A1509" s="12"/>
      <c r="B1509" s="12"/>
      <c r="C1509" s="17" t="str">
        <f aca="false">IF(B1509="","",IFERROR(INDEX(Produits!$F$2:$F$1001,MATCH(B1509,Produits!$A$2:$A$1001,0)),"⚠ code article inconnu"))</f>
        <v/>
      </c>
      <c r="D1509" s="12"/>
      <c r="E1509" s="23"/>
      <c r="F1509" s="24"/>
      <c r="G1509" s="23"/>
      <c r="H1509" s="21" t="str">
        <f aca="true">IF(E1509="","",ROUND((E1509-TODAY())/30.4,1))</f>
        <v/>
      </c>
      <c r="I1509" s="17" t="str">
        <f aca="false">IF(E1509="","",IF(H1509&lt;0,IF(LEFT(A1509,1)="Q","Périmé (en quarantaine)","PÉRIMÉ → déplacer en zone Q"),IF(H1509&lt;3,"Péremption &lt; 3 mois",IF(H1509&lt;6,"Péremption &lt; 6 mois",""))))</f>
        <v/>
      </c>
      <c r="J1509" s="17" t="str">
        <f aca="false">IF(A1509="","",IF(COUNTIF(Emplacements!$A$2:$A$1001,A1509)=0,"⚠ emplacement inconnu","OK"))</f>
        <v/>
      </c>
      <c r="K1509" s="22" t="str">
        <f aca="false">IF(AND(B1509&lt;&gt;"",ISNUMBER(SEARCH(Recherche!$C$3,C1509&amp;" "&amp;B1509&amp;" "&amp;A1509&amp;" "&amp;D1509))),MAX($K$1:K1508)+1,"")</f>
        <v/>
      </c>
    </row>
    <row r="1510" customFormat="false" ht="15" hidden="false" customHeight="false" outlineLevel="0" collapsed="false">
      <c r="A1510" s="12"/>
      <c r="B1510" s="12"/>
      <c r="C1510" s="17" t="str">
        <f aca="false">IF(B1510="","",IFERROR(INDEX(Produits!$F$2:$F$1001,MATCH(B1510,Produits!$A$2:$A$1001,0)),"⚠ code article inconnu"))</f>
        <v/>
      </c>
      <c r="D1510" s="12"/>
      <c r="E1510" s="23"/>
      <c r="F1510" s="24"/>
      <c r="G1510" s="23"/>
      <c r="H1510" s="21" t="str">
        <f aca="true">IF(E1510="","",ROUND((E1510-TODAY())/30.4,1))</f>
        <v/>
      </c>
      <c r="I1510" s="17" t="str">
        <f aca="false">IF(E1510="","",IF(H1510&lt;0,IF(LEFT(A1510,1)="Q","Périmé (en quarantaine)","PÉRIMÉ → déplacer en zone Q"),IF(H1510&lt;3,"Péremption &lt; 3 mois",IF(H1510&lt;6,"Péremption &lt; 6 mois",""))))</f>
        <v/>
      </c>
      <c r="J1510" s="17" t="str">
        <f aca="false">IF(A1510="","",IF(COUNTIF(Emplacements!$A$2:$A$1001,A1510)=0,"⚠ emplacement inconnu","OK"))</f>
        <v/>
      </c>
      <c r="K1510" s="22" t="str">
        <f aca="false">IF(AND(B1510&lt;&gt;"",ISNUMBER(SEARCH(Recherche!$C$3,C1510&amp;" "&amp;B1510&amp;" "&amp;A1510&amp;" "&amp;D1510))),MAX($K$1:K1509)+1,"")</f>
        <v/>
      </c>
    </row>
    <row r="1511" customFormat="false" ht="15" hidden="false" customHeight="false" outlineLevel="0" collapsed="false">
      <c r="A1511" s="12"/>
      <c r="B1511" s="12"/>
      <c r="C1511" s="17" t="str">
        <f aca="false">IF(B1511="","",IFERROR(INDEX(Produits!$F$2:$F$1001,MATCH(B1511,Produits!$A$2:$A$1001,0)),"⚠ code article inconnu"))</f>
        <v/>
      </c>
      <c r="D1511" s="12"/>
      <c r="E1511" s="23"/>
      <c r="F1511" s="24"/>
      <c r="G1511" s="23"/>
      <c r="H1511" s="21" t="str">
        <f aca="true">IF(E1511="","",ROUND((E1511-TODAY())/30.4,1))</f>
        <v/>
      </c>
      <c r="I1511" s="17" t="str">
        <f aca="false">IF(E1511="","",IF(H1511&lt;0,IF(LEFT(A1511,1)="Q","Périmé (en quarantaine)","PÉRIMÉ → déplacer en zone Q"),IF(H1511&lt;3,"Péremption &lt; 3 mois",IF(H1511&lt;6,"Péremption &lt; 6 mois",""))))</f>
        <v/>
      </c>
      <c r="J1511" s="17" t="str">
        <f aca="false">IF(A1511="","",IF(COUNTIF(Emplacements!$A$2:$A$1001,A1511)=0,"⚠ emplacement inconnu","OK"))</f>
        <v/>
      </c>
      <c r="K1511" s="22" t="str">
        <f aca="false">IF(AND(B1511&lt;&gt;"",ISNUMBER(SEARCH(Recherche!$C$3,C1511&amp;" "&amp;B1511&amp;" "&amp;A1511&amp;" "&amp;D1511))),MAX($K$1:K1510)+1,"")</f>
        <v/>
      </c>
    </row>
    <row r="1512" customFormat="false" ht="15" hidden="false" customHeight="false" outlineLevel="0" collapsed="false">
      <c r="A1512" s="12"/>
      <c r="B1512" s="12"/>
      <c r="C1512" s="17" t="str">
        <f aca="false">IF(B1512="","",IFERROR(INDEX(Produits!$F$2:$F$1001,MATCH(B1512,Produits!$A$2:$A$1001,0)),"⚠ code article inconnu"))</f>
        <v/>
      </c>
      <c r="D1512" s="12"/>
      <c r="E1512" s="23"/>
      <c r="F1512" s="24"/>
      <c r="G1512" s="23"/>
      <c r="H1512" s="21" t="str">
        <f aca="true">IF(E1512="","",ROUND((E1512-TODAY())/30.4,1))</f>
        <v/>
      </c>
      <c r="I1512" s="17" t="str">
        <f aca="false">IF(E1512="","",IF(H1512&lt;0,IF(LEFT(A1512,1)="Q","Périmé (en quarantaine)","PÉRIMÉ → déplacer en zone Q"),IF(H1512&lt;3,"Péremption &lt; 3 mois",IF(H1512&lt;6,"Péremption &lt; 6 mois",""))))</f>
        <v/>
      </c>
      <c r="J1512" s="17" t="str">
        <f aca="false">IF(A1512="","",IF(COUNTIF(Emplacements!$A$2:$A$1001,A1512)=0,"⚠ emplacement inconnu","OK"))</f>
        <v/>
      </c>
      <c r="K1512" s="22" t="str">
        <f aca="false">IF(AND(B1512&lt;&gt;"",ISNUMBER(SEARCH(Recherche!$C$3,C1512&amp;" "&amp;B1512&amp;" "&amp;A1512&amp;" "&amp;D1512))),MAX($K$1:K1511)+1,"")</f>
        <v/>
      </c>
    </row>
    <row r="1513" customFormat="false" ht="15" hidden="false" customHeight="false" outlineLevel="0" collapsed="false">
      <c r="A1513" s="12"/>
      <c r="B1513" s="12"/>
      <c r="C1513" s="17" t="str">
        <f aca="false">IF(B1513="","",IFERROR(INDEX(Produits!$F$2:$F$1001,MATCH(B1513,Produits!$A$2:$A$1001,0)),"⚠ code article inconnu"))</f>
        <v/>
      </c>
      <c r="D1513" s="12"/>
      <c r="E1513" s="23"/>
      <c r="F1513" s="24"/>
      <c r="G1513" s="23"/>
      <c r="H1513" s="21" t="str">
        <f aca="true">IF(E1513="","",ROUND((E1513-TODAY())/30.4,1))</f>
        <v/>
      </c>
      <c r="I1513" s="17" t="str">
        <f aca="false">IF(E1513="","",IF(H1513&lt;0,IF(LEFT(A1513,1)="Q","Périmé (en quarantaine)","PÉRIMÉ → déplacer en zone Q"),IF(H1513&lt;3,"Péremption &lt; 3 mois",IF(H1513&lt;6,"Péremption &lt; 6 mois",""))))</f>
        <v/>
      </c>
      <c r="J1513" s="17" t="str">
        <f aca="false">IF(A1513="","",IF(COUNTIF(Emplacements!$A$2:$A$1001,A1513)=0,"⚠ emplacement inconnu","OK"))</f>
        <v/>
      </c>
      <c r="K1513" s="22" t="str">
        <f aca="false">IF(AND(B1513&lt;&gt;"",ISNUMBER(SEARCH(Recherche!$C$3,C1513&amp;" "&amp;B1513&amp;" "&amp;A1513&amp;" "&amp;D1513))),MAX($K$1:K1512)+1,"")</f>
        <v/>
      </c>
    </row>
    <row r="1514" customFormat="false" ht="15" hidden="false" customHeight="false" outlineLevel="0" collapsed="false">
      <c r="A1514" s="12"/>
      <c r="B1514" s="12"/>
      <c r="C1514" s="17" t="str">
        <f aca="false">IF(B1514="","",IFERROR(INDEX(Produits!$F$2:$F$1001,MATCH(B1514,Produits!$A$2:$A$1001,0)),"⚠ code article inconnu"))</f>
        <v/>
      </c>
      <c r="D1514" s="12"/>
      <c r="E1514" s="23"/>
      <c r="F1514" s="24"/>
      <c r="G1514" s="23"/>
      <c r="H1514" s="21" t="str">
        <f aca="true">IF(E1514="","",ROUND((E1514-TODAY())/30.4,1))</f>
        <v/>
      </c>
      <c r="I1514" s="17" t="str">
        <f aca="false">IF(E1514="","",IF(H1514&lt;0,IF(LEFT(A1514,1)="Q","Périmé (en quarantaine)","PÉRIMÉ → déplacer en zone Q"),IF(H1514&lt;3,"Péremption &lt; 3 mois",IF(H1514&lt;6,"Péremption &lt; 6 mois",""))))</f>
        <v/>
      </c>
      <c r="J1514" s="17" t="str">
        <f aca="false">IF(A1514="","",IF(COUNTIF(Emplacements!$A$2:$A$1001,A1514)=0,"⚠ emplacement inconnu","OK"))</f>
        <v/>
      </c>
      <c r="K1514" s="22" t="str">
        <f aca="false">IF(AND(B1514&lt;&gt;"",ISNUMBER(SEARCH(Recherche!$C$3,C1514&amp;" "&amp;B1514&amp;" "&amp;A1514&amp;" "&amp;D1514))),MAX($K$1:K1513)+1,"")</f>
        <v/>
      </c>
    </row>
    <row r="1515" customFormat="false" ht="15" hidden="false" customHeight="false" outlineLevel="0" collapsed="false">
      <c r="A1515" s="12"/>
      <c r="B1515" s="12"/>
      <c r="C1515" s="17" t="str">
        <f aca="false">IF(B1515="","",IFERROR(INDEX(Produits!$F$2:$F$1001,MATCH(B1515,Produits!$A$2:$A$1001,0)),"⚠ code article inconnu"))</f>
        <v/>
      </c>
      <c r="D1515" s="12"/>
      <c r="E1515" s="23"/>
      <c r="F1515" s="24"/>
      <c r="G1515" s="23"/>
      <c r="H1515" s="21" t="str">
        <f aca="true">IF(E1515="","",ROUND((E1515-TODAY())/30.4,1))</f>
        <v/>
      </c>
      <c r="I1515" s="17" t="str">
        <f aca="false">IF(E1515="","",IF(H1515&lt;0,IF(LEFT(A1515,1)="Q","Périmé (en quarantaine)","PÉRIMÉ → déplacer en zone Q"),IF(H1515&lt;3,"Péremption &lt; 3 mois",IF(H1515&lt;6,"Péremption &lt; 6 mois",""))))</f>
        <v/>
      </c>
      <c r="J1515" s="17" t="str">
        <f aca="false">IF(A1515="","",IF(COUNTIF(Emplacements!$A$2:$A$1001,A1515)=0,"⚠ emplacement inconnu","OK"))</f>
        <v/>
      </c>
      <c r="K1515" s="22" t="str">
        <f aca="false">IF(AND(B1515&lt;&gt;"",ISNUMBER(SEARCH(Recherche!$C$3,C1515&amp;" "&amp;B1515&amp;" "&amp;A1515&amp;" "&amp;D1515))),MAX($K$1:K1514)+1,"")</f>
        <v/>
      </c>
    </row>
    <row r="1516" customFormat="false" ht="15" hidden="false" customHeight="false" outlineLevel="0" collapsed="false">
      <c r="A1516" s="12"/>
      <c r="B1516" s="12"/>
      <c r="C1516" s="17" t="str">
        <f aca="false">IF(B1516="","",IFERROR(INDEX(Produits!$F$2:$F$1001,MATCH(B1516,Produits!$A$2:$A$1001,0)),"⚠ code article inconnu"))</f>
        <v/>
      </c>
      <c r="D1516" s="12"/>
      <c r="E1516" s="23"/>
      <c r="F1516" s="24"/>
      <c r="G1516" s="23"/>
      <c r="H1516" s="21" t="str">
        <f aca="true">IF(E1516="","",ROUND((E1516-TODAY())/30.4,1))</f>
        <v/>
      </c>
      <c r="I1516" s="17" t="str">
        <f aca="false">IF(E1516="","",IF(H1516&lt;0,IF(LEFT(A1516,1)="Q","Périmé (en quarantaine)","PÉRIMÉ → déplacer en zone Q"),IF(H1516&lt;3,"Péremption &lt; 3 mois",IF(H1516&lt;6,"Péremption &lt; 6 mois",""))))</f>
        <v/>
      </c>
      <c r="J1516" s="17" t="str">
        <f aca="false">IF(A1516="","",IF(COUNTIF(Emplacements!$A$2:$A$1001,A1516)=0,"⚠ emplacement inconnu","OK"))</f>
        <v/>
      </c>
      <c r="K1516" s="22" t="str">
        <f aca="false">IF(AND(B1516&lt;&gt;"",ISNUMBER(SEARCH(Recherche!$C$3,C1516&amp;" "&amp;B1516&amp;" "&amp;A1516&amp;" "&amp;D1516))),MAX($K$1:K1515)+1,"")</f>
        <v/>
      </c>
    </row>
    <row r="1517" customFormat="false" ht="15" hidden="false" customHeight="false" outlineLevel="0" collapsed="false">
      <c r="A1517" s="12"/>
      <c r="B1517" s="12"/>
      <c r="C1517" s="17" t="str">
        <f aca="false">IF(B1517="","",IFERROR(INDEX(Produits!$F$2:$F$1001,MATCH(B1517,Produits!$A$2:$A$1001,0)),"⚠ code article inconnu"))</f>
        <v/>
      </c>
      <c r="D1517" s="12"/>
      <c r="E1517" s="23"/>
      <c r="F1517" s="24"/>
      <c r="G1517" s="23"/>
      <c r="H1517" s="21" t="str">
        <f aca="true">IF(E1517="","",ROUND((E1517-TODAY())/30.4,1))</f>
        <v/>
      </c>
      <c r="I1517" s="17" t="str">
        <f aca="false">IF(E1517="","",IF(H1517&lt;0,IF(LEFT(A1517,1)="Q","Périmé (en quarantaine)","PÉRIMÉ → déplacer en zone Q"),IF(H1517&lt;3,"Péremption &lt; 3 mois",IF(H1517&lt;6,"Péremption &lt; 6 mois",""))))</f>
        <v/>
      </c>
      <c r="J1517" s="17" t="str">
        <f aca="false">IF(A1517="","",IF(COUNTIF(Emplacements!$A$2:$A$1001,A1517)=0,"⚠ emplacement inconnu","OK"))</f>
        <v/>
      </c>
      <c r="K1517" s="22" t="str">
        <f aca="false">IF(AND(B1517&lt;&gt;"",ISNUMBER(SEARCH(Recherche!$C$3,C1517&amp;" "&amp;B1517&amp;" "&amp;A1517&amp;" "&amp;D1517))),MAX($K$1:K1516)+1,"")</f>
        <v/>
      </c>
    </row>
    <row r="1518" customFormat="false" ht="15" hidden="false" customHeight="false" outlineLevel="0" collapsed="false">
      <c r="A1518" s="12"/>
      <c r="B1518" s="12"/>
      <c r="C1518" s="17" t="str">
        <f aca="false">IF(B1518="","",IFERROR(INDEX(Produits!$F$2:$F$1001,MATCH(B1518,Produits!$A$2:$A$1001,0)),"⚠ code article inconnu"))</f>
        <v/>
      </c>
      <c r="D1518" s="12"/>
      <c r="E1518" s="23"/>
      <c r="F1518" s="24"/>
      <c r="G1518" s="23"/>
      <c r="H1518" s="21" t="str">
        <f aca="true">IF(E1518="","",ROUND((E1518-TODAY())/30.4,1))</f>
        <v/>
      </c>
      <c r="I1518" s="17" t="str">
        <f aca="false">IF(E1518="","",IF(H1518&lt;0,IF(LEFT(A1518,1)="Q","Périmé (en quarantaine)","PÉRIMÉ → déplacer en zone Q"),IF(H1518&lt;3,"Péremption &lt; 3 mois",IF(H1518&lt;6,"Péremption &lt; 6 mois",""))))</f>
        <v/>
      </c>
      <c r="J1518" s="17" t="str">
        <f aca="false">IF(A1518="","",IF(COUNTIF(Emplacements!$A$2:$A$1001,A1518)=0,"⚠ emplacement inconnu","OK"))</f>
        <v/>
      </c>
      <c r="K1518" s="22" t="str">
        <f aca="false">IF(AND(B1518&lt;&gt;"",ISNUMBER(SEARCH(Recherche!$C$3,C1518&amp;" "&amp;B1518&amp;" "&amp;A1518&amp;" "&amp;D1518))),MAX($K$1:K1517)+1,"")</f>
        <v/>
      </c>
    </row>
    <row r="1519" customFormat="false" ht="15" hidden="false" customHeight="false" outlineLevel="0" collapsed="false">
      <c r="A1519" s="12"/>
      <c r="B1519" s="12"/>
      <c r="C1519" s="17" t="str">
        <f aca="false">IF(B1519="","",IFERROR(INDEX(Produits!$F$2:$F$1001,MATCH(B1519,Produits!$A$2:$A$1001,0)),"⚠ code article inconnu"))</f>
        <v/>
      </c>
      <c r="D1519" s="12"/>
      <c r="E1519" s="23"/>
      <c r="F1519" s="24"/>
      <c r="G1519" s="23"/>
      <c r="H1519" s="21" t="str">
        <f aca="true">IF(E1519="","",ROUND((E1519-TODAY())/30.4,1))</f>
        <v/>
      </c>
      <c r="I1519" s="17" t="str">
        <f aca="false">IF(E1519="","",IF(H1519&lt;0,IF(LEFT(A1519,1)="Q","Périmé (en quarantaine)","PÉRIMÉ → déplacer en zone Q"),IF(H1519&lt;3,"Péremption &lt; 3 mois",IF(H1519&lt;6,"Péremption &lt; 6 mois",""))))</f>
        <v/>
      </c>
      <c r="J1519" s="17" t="str">
        <f aca="false">IF(A1519="","",IF(COUNTIF(Emplacements!$A$2:$A$1001,A1519)=0,"⚠ emplacement inconnu","OK"))</f>
        <v/>
      </c>
      <c r="K1519" s="22" t="str">
        <f aca="false">IF(AND(B1519&lt;&gt;"",ISNUMBER(SEARCH(Recherche!$C$3,C1519&amp;" "&amp;B1519&amp;" "&amp;A1519&amp;" "&amp;D1519))),MAX($K$1:K1518)+1,"")</f>
        <v/>
      </c>
    </row>
    <row r="1520" customFormat="false" ht="15" hidden="false" customHeight="false" outlineLevel="0" collapsed="false">
      <c r="A1520" s="12"/>
      <c r="B1520" s="12"/>
      <c r="C1520" s="17" t="str">
        <f aca="false">IF(B1520="","",IFERROR(INDEX(Produits!$F$2:$F$1001,MATCH(B1520,Produits!$A$2:$A$1001,0)),"⚠ code article inconnu"))</f>
        <v/>
      </c>
      <c r="D1520" s="12"/>
      <c r="E1520" s="23"/>
      <c r="F1520" s="24"/>
      <c r="G1520" s="23"/>
      <c r="H1520" s="21" t="str">
        <f aca="true">IF(E1520="","",ROUND((E1520-TODAY())/30.4,1))</f>
        <v/>
      </c>
      <c r="I1520" s="17" t="str">
        <f aca="false">IF(E1520="","",IF(H1520&lt;0,IF(LEFT(A1520,1)="Q","Périmé (en quarantaine)","PÉRIMÉ → déplacer en zone Q"),IF(H1520&lt;3,"Péremption &lt; 3 mois",IF(H1520&lt;6,"Péremption &lt; 6 mois",""))))</f>
        <v/>
      </c>
      <c r="J1520" s="17" t="str">
        <f aca="false">IF(A1520="","",IF(COUNTIF(Emplacements!$A$2:$A$1001,A1520)=0,"⚠ emplacement inconnu","OK"))</f>
        <v/>
      </c>
      <c r="K1520" s="22" t="str">
        <f aca="false">IF(AND(B1520&lt;&gt;"",ISNUMBER(SEARCH(Recherche!$C$3,C1520&amp;" "&amp;B1520&amp;" "&amp;A1520&amp;" "&amp;D1520))),MAX($K$1:K1519)+1,"")</f>
        <v/>
      </c>
    </row>
    <row r="1521" customFormat="false" ht="15" hidden="false" customHeight="false" outlineLevel="0" collapsed="false">
      <c r="A1521" s="12"/>
      <c r="B1521" s="12"/>
      <c r="C1521" s="17" t="str">
        <f aca="false">IF(B1521="","",IFERROR(INDEX(Produits!$F$2:$F$1001,MATCH(B1521,Produits!$A$2:$A$1001,0)),"⚠ code article inconnu"))</f>
        <v/>
      </c>
      <c r="D1521" s="12"/>
      <c r="E1521" s="23"/>
      <c r="F1521" s="24"/>
      <c r="G1521" s="23"/>
      <c r="H1521" s="21" t="str">
        <f aca="true">IF(E1521="","",ROUND((E1521-TODAY())/30.4,1))</f>
        <v/>
      </c>
      <c r="I1521" s="17" t="str">
        <f aca="false">IF(E1521="","",IF(H1521&lt;0,IF(LEFT(A1521,1)="Q","Périmé (en quarantaine)","PÉRIMÉ → déplacer en zone Q"),IF(H1521&lt;3,"Péremption &lt; 3 mois",IF(H1521&lt;6,"Péremption &lt; 6 mois",""))))</f>
        <v/>
      </c>
      <c r="J1521" s="17" t="str">
        <f aca="false">IF(A1521="","",IF(COUNTIF(Emplacements!$A$2:$A$1001,A1521)=0,"⚠ emplacement inconnu","OK"))</f>
        <v/>
      </c>
      <c r="K1521" s="22" t="str">
        <f aca="false">IF(AND(B1521&lt;&gt;"",ISNUMBER(SEARCH(Recherche!$C$3,C1521&amp;" "&amp;B1521&amp;" "&amp;A1521&amp;" "&amp;D1521))),MAX($K$1:K1520)+1,"")</f>
        <v/>
      </c>
    </row>
    <row r="1522" customFormat="false" ht="15" hidden="false" customHeight="false" outlineLevel="0" collapsed="false">
      <c r="A1522" s="12"/>
      <c r="B1522" s="12"/>
      <c r="C1522" s="17" t="str">
        <f aca="false">IF(B1522="","",IFERROR(INDEX(Produits!$F$2:$F$1001,MATCH(B1522,Produits!$A$2:$A$1001,0)),"⚠ code article inconnu"))</f>
        <v/>
      </c>
      <c r="D1522" s="12"/>
      <c r="E1522" s="23"/>
      <c r="F1522" s="24"/>
      <c r="G1522" s="23"/>
      <c r="H1522" s="21" t="str">
        <f aca="true">IF(E1522="","",ROUND((E1522-TODAY())/30.4,1))</f>
        <v/>
      </c>
      <c r="I1522" s="17" t="str">
        <f aca="false">IF(E1522="","",IF(H1522&lt;0,IF(LEFT(A1522,1)="Q","Périmé (en quarantaine)","PÉRIMÉ → déplacer en zone Q"),IF(H1522&lt;3,"Péremption &lt; 3 mois",IF(H1522&lt;6,"Péremption &lt; 6 mois",""))))</f>
        <v/>
      </c>
      <c r="J1522" s="17" t="str">
        <f aca="false">IF(A1522="","",IF(COUNTIF(Emplacements!$A$2:$A$1001,A1522)=0,"⚠ emplacement inconnu","OK"))</f>
        <v/>
      </c>
      <c r="K1522" s="22" t="str">
        <f aca="false">IF(AND(B1522&lt;&gt;"",ISNUMBER(SEARCH(Recherche!$C$3,C1522&amp;" "&amp;B1522&amp;" "&amp;A1522&amp;" "&amp;D1522))),MAX($K$1:K1521)+1,"")</f>
        <v/>
      </c>
    </row>
    <row r="1523" customFormat="false" ht="15" hidden="false" customHeight="false" outlineLevel="0" collapsed="false">
      <c r="A1523" s="12"/>
      <c r="B1523" s="12"/>
      <c r="C1523" s="17" t="str">
        <f aca="false">IF(B1523="","",IFERROR(INDEX(Produits!$F$2:$F$1001,MATCH(B1523,Produits!$A$2:$A$1001,0)),"⚠ code article inconnu"))</f>
        <v/>
      </c>
      <c r="D1523" s="12"/>
      <c r="E1523" s="23"/>
      <c r="F1523" s="24"/>
      <c r="G1523" s="23"/>
      <c r="H1523" s="21" t="str">
        <f aca="true">IF(E1523="","",ROUND((E1523-TODAY())/30.4,1))</f>
        <v/>
      </c>
      <c r="I1523" s="17" t="str">
        <f aca="false">IF(E1523="","",IF(H1523&lt;0,IF(LEFT(A1523,1)="Q","Périmé (en quarantaine)","PÉRIMÉ → déplacer en zone Q"),IF(H1523&lt;3,"Péremption &lt; 3 mois",IF(H1523&lt;6,"Péremption &lt; 6 mois",""))))</f>
        <v/>
      </c>
      <c r="J1523" s="17" t="str">
        <f aca="false">IF(A1523="","",IF(COUNTIF(Emplacements!$A$2:$A$1001,A1523)=0,"⚠ emplacement inconnu","OK"))</f>
        <v/>
      </c>
      <c r="K1523" s="22" t="str">
        <f aca="false">IF(AND(B1523&lt;&gt;"",ISNUMBER(SEARCH(Recherche!$C$3,C1523&amp;" "&amp;B1523&amp;" "&amp;A1523&amp;" "&amp;D1523))),MAX($K$1:K1522)+1,"")</f>
        <v/>
      </c>
    </row>
    <row r="1524" customFormat="false" ht="15" hidden="false" customHeight="false" outlineLevel="0" collapsed="false">
      <c r="A1524" s="12"/>
      <c r="B1524" s="12"/>
      <c r="C1524" s="17" t="str">
        <f aca="false">IF(B1524="","",IFERROR(INDEX(Produits!$F$2:$F$1001,MATCH(B1524,Produits!$A$2:$A$1001,0)),"⚠ code article inconnu"))</f>
        <v/>
      </c>
      <c r="D1524" s="12"/>
      <c r="E1524" s="23"/>
      <c r="F1524" s="24"/>
      <c r="G1524" s="23"/>
      <c r="H1524" s="21" t="str">
        <f aca="true">IF(E1524="","",ROUND((E1524-TODAY())/30.4,1))</f>
        <v/>
      </c>
      <c r="I1524" s="17" t="str">
        <f aca="false">IF(E1524="","",IF(H1524&lt;0,IF(LEFT(A1524,1)="Q","Périmé (en quarantaine)","PÉRIMÉ → déplacer en zone Q"),IF(H1524&lt;3,"Péremption &lt; 3 mois",IF(H1524&lt;6,"Péremption &lt; 6 mois",""))))</f>
        <v/>
      </c>
      <c r="J1524" s="17" t="str">
        <f aca="false">IF(A1524="","",IF(COUNTIF(Emplacements!$A$2:$A$1001,A1524)=0,"⚠ emplacement inconnu","OK"))</f>
        <v/>
      </c>
      <c r="K1524" s="22" t="str">
        <f aca="false">IF(AND(B1524&lt;&gt;"",ISNUMBER(SEARCH(Recherche!$C$3,C1524&amp;" "&amp;B1524&amp;" "&amp;A1524&amp;" "&amp;D1524))),MAX($K$1:K1523)+1,"")</f>
        <v/>
      </c>
    </row>
    <row r="1525" customFormat="false" ht="15" hidden="false" customHeight="false" outlineLevel="0" collapsed="false">
      <c r="A1525" s="12"/>
      <c r="B1525" s="12"/>
      <c r="C1525" s="17" t="str">
        <f aca="false">IF(B1525="","",IFERROR(INDEX(Produits!$F$2:$F$1001,MATCH(B1525,Produits!$A$2:$A$1001,0)),"⚠ code article inconnu"))</f>
        <v/>
      </c>
      <c r="D1525" s="12"/>
      <c r="E1525" s="23"/>
      <c r="F1525" s="24"/>
      <c r="G1525" s="23"/>
      <c r="H1525" s="21" t="str">
        <f aca="true">IF(E1525="","",ROUND((E1525-TODAY())/30.4,1))</f>
        <v/>
      </c>
      <c r="I1525" s="17" t="str">
        <f aca="false">IF(E1525="","",IF(H1525&lt;0,IF(LEFT(A1525,1)="Q","Périmé (en quarantaine)","PÉRIMÉ → déplacer en zone Q"),IF(H1525&lt;3,"Péremption &lt; 3 mois",IF(H1525&lt;6,"Péremption &lt; 6 mois",""))))</f>
        <v/>
      </c>
      <c r="J1525" s="17" t="str">
        <f aca="false">IF(A1525="","",IF(COUNTIF(Emplacements!$A$2:$A$1001,A1525)=0,"⚠ emplacement inconnu","OK"))</f>
        <v/>
      </c>
      <c r="K1525" s="22" t="str">
        <f aca="false">IF(AND(B1525&lt;&gt;"",ISNUMBER(SEARCH(Recherche!$C$3,C1525&amp;" "&amp;B1525&amp;" "&amp;A1525&amp;" "&amp;D1525))),MAX($K$1:K1524)+1,"")</f>
        <v/>
      </c>
    </row>
    <row r="1526" customFormat="false" ht="15" hidden="false" customHeight="false" outlineLevel="0" collapsed="false">
      <c r="A1526" s="12"/>
      <c r="B1526" s="12"/>
      <c r="C1526" s="17" t="str">
        <f aca="false">IF(B1526="","",IFERROR(INDEX(Produits!$F$2:$F$1001,MATCH(B1526,Produits!$A$2:$A$1001,0)),"⚠ code article inconnu"))</f>
        <v/>
      </c>
      <c r="D1526" s="12"/>
      <c r="E1526" s="23"/>
      <c r="F1526" s="24"/>
      <c r="G1526" s="23"/>
      <c r="H1526" s="21" t="str">
        <f aca="true">IF(E1526="","",ROUND((E1526-TODAY())/30.4,1))</f>
        <v/>
      </c>
      <c r="I1526" s="17" t="str">
        <f aca="false">IF(E1526="","",IF(H1526&lt;0,IF(LEFT(A1526,1)="Q","Périmé (en quarantaine)","PÉRIMÉ → déplacer en zone Q"),IF(H1526&lt;3,"Péremption &lt; 3 mois",IF(H1526&lt;6,"Péremption &lt; 6 mois",""))))</f>
        <v/>
      </c>
      <c r="J1526" s="17" t="str">
        <f aca="false">IF(A1526="","",IF(COUNTIF(Emplacements!$A$2:$A$1001,A1526)=0,"⚠ emplacement inconnu","OK"))</f>
        <v/>
      </c>
      <c r="K1526" s="22" t="str">
        <f aca="false">IF(AND(B1526&lt;&gt;"",ISNUMBER(SEARCH(Recherche!$C$3,C1526&amp;" "&amp;B1526&amp;" "&amp;A1526&amp;" "&amp;D1526))),MAX($K$1:K1525)+1,"")</f>
        <v/>
      </c>
    </row>
    <row r="1527" customFormat="false" ht="15" hidden="false" customHeight="false" outlineLevel="0" collapsed="false">
      <c r="A1527" s="12"/>
      <c r="B1527" s="12"/>
      <c r="C1527" s="17" t="str">
        <f aca="false">IF(B1527="","",IFERROR(INDEX(Produits!$F$2:$F$1001,MATCH(B1527,Produits!$A$2:$A$1001,0)),"⚠ code article inconnu"))</f>
        <v/>
      </c>
      <c r="D1527" s="12"/>
      <c r="E1527" s="23"/>
      <c r="F1527" s="24"/>
      <c r="G1527" s="23"/>
      <c r="H1527" s="21" t="str">
        <f aca="true">IF(E1527="","",ROUND((E1527-TODAY())/30.4,1))</f>
        <v/>
      </c>
      <c r="I1527" s="17" t="str">
        <f aca="false">IF(E1527="","",IF(H1527&lt;0,IF(LEFT(A1527,1)="Q","Périmé (en quarantaine)","PÉRIMÉ → déplacer en zone Q"),IF(H1527&lt;3,"Péremption &lt; 3 mois",IF(H1527&lt;6,"Péremption &lt; 6 mois",""))))</f>
        <v/>
      </c>
      <c r="J1527" s="17" t="str">
        <f aca="false">IF(A1527="","",IF(COUNTIF(Emplacements!$A$2:$A$1001,A1527)=0,"⚠ emplacement inconnu","OK"))</f>
        <v/>
      </c>
      <c r="K1527" s="22" t="str">
        <f aca="false">IF(AND(B1527&lt;&gt;"",ISNUMBER(SEARCH(Recherche!$C$3,C1527&amp;" "&amp;B1527&amp;" "&amp;A1527&amp;" "&amp;D1527))),MAX($K$1:K1526)+1,"")</f>
        <v/>
      </c>
    </row>
    <row r="1528" customFormat="false" ht="15" hidden="false" customHeight="false" outlineLevel="0" collapsed="false">
      <c r="A1528" s="12"/>
      <c r="B1528" s="12"/>
      <c r="C1528" s="17" t="str">
        <f aca="false">IF(B1528="","",IFERROR(INDEX(Produits!$F$2:$F$1001,MATCH(B1528,Produits!$A$2:$A$1001,0)),"⚠ code article inconnu"))</f>
        <v/>
      </c>
      <c r="D1528" s="12"/>
      <c r="E1528" s="23"/>
      <c r="F1528" s="24"/>
      <c r="G1528" s="23"/>
      <c r="H1528" s="21" t="str">
        <f aca="true">IF(E1528="","",ROUND((E1528-TODAY())/30.4,1))</f>
        <v/>
      </c>
      <c r="I1528" s="17" t="str">
        <f aca="false">IF(E1528="","",IF(H1528&lt;0,IF(LEFT(A1528,1)="Q","Périmé (en quarantaine)","PÉRIMÉ → déplacer en zone Q"),IF(H1528&lt;3,"Péremption &lt; 3 mois",IF(H1528&lt;6,"Péremption &lt; 6 mois",""))))</f>
        <v/>
      </c>
      <c r="J1528" s="17" t="str">
        <f aca="false">IF(A1528="","",IF(COUNTIF(Emplacements!$A$2:$A$1001,A1528)=0,"⚠ emplacement inconnu","OK"))</f>
        <v/>
      </c>
      <c r="K1528" s="22" t="str">
        <f aca="false">IF(AND(B1528&lt;&gt;"",ISNUMBER(SEARCH(Recherche!$C$3,C1528&amp;" "&amp;B1528&amp;" "&amp;A1528&amp;" "&amp;D1528))),MAX($K$1:K1527)+1,"")</f>
        <v/>
      </c>
    </row>
    <row r="1529" customFormat="false" ht="15" hidden="false" customHeight="false" outlineLevel="0" collapsed="false">
      <c r="A1529" s="12"/>
      <c r="B1529" s="12"/>
      <c r="C1529" s="17" t="str">
        <f aca="false">IF(B1529="","",IFERROR(INDEX(Produits!$F$2:$F$1001,MATCH(B1529,Produits!$A$2:$A$1001,0)),"⚠ code article inconnu"))</f>
        <v/>
      </c>
      <c r="D1529" s="12"/>
      <c r="E1529" s="23"/>
      <c r="F1529" s="24"/>
      <c r="G1529" s="23"/>
      <c r="H1529" s="21" t="str">
        <f aca="true">IF(E1529="","",ROUND((E1529-TODAY())/30.4,1))</f>
        <v/>
      </c>
      <c r="I1529" s="17" t="str">
        <f aca="false">IF(E1529="","",IF(H1529&lt;0,IF(LEFT(A1529,1)="Q","Périmé (en quarantaine)","PÉRIMÉ → déplacer en zone Q"),IF(H1529&lt;3,"Péremption &lt; 3 mois",IF(H1529&lt;6,"Péremption &lt; 6 mois",""))))</f>
        <v/>
      </c>
      <c r="J1529" s="17" t="str">
        <f aca="false">IF(A1529="","",IF(COUNTIF(Emplacements!$A$2:$A$1001,A1529)=0,"⚠ emplacement inconnu","OK"))</f>
        <v/>
      </c>
      <c r="K1529" s="22" t="str">
        <f aca="false">IF(AND(B1529&lt;&gt;"",ISNUMBER(SEARCH(Recherche!$C$3,C1529&amp;" "&amp;B1529&amp;" "&amp;A1529&amp;" "&amp;D1529))),MAX($K$1:K1528)+1,"")</f>
        <v/>
      </c>
    </row>
    <row r="1530" customFormat="false" ht="15" hidden="false" customHeight="false" outlineLevel="0" collapsed="false">
      <c r="A1530" s="12"/>
      <c r="B1530" s="12"/>
      <c r="C1530" s="17" t="str">
        <f aca="false">IF(B1530="","",IFERROR(INDEX(Produits!$F$2:$F$1001,MATCH(B1530,Produits!$A$2:$A$1001,0)),"⚠ code article inconnu"))</f>
        <v/>
      </c>
      <c r="D1530" s="12"/>
      <c r="E1530" s="23"/>
      <c r="F1530" s="24"/>
      <c r="G1530" s="23"/>
      <c r="H1530" s="21" t="str">
        <f aca="true">IF(E1530="","",ROUND((E1530-TODAY())/30.4,1))</f>
        <v/>
      </c>
      <c r="I1530" s="17" t="str">
        <f aca="false">IF(E1530="","",IF(H1530&lt;0,IF(LEFT(A1530,1)="Q","Périmé (en quarantaine)","PÉRIMÉ → déplacer en zone Q"),IF(H1530&lt;3,"Péremption &lt; 3 mois",IF(H1530&lt;6,"Péremption &lt; 6 mois",""))))</f>
        <v/>
      </c>
      <c r="J1530" s="17" t="str">
        <f aca="false">IF(A1530="","",IF(COUNTIF(Emplacements!$A$2:$A$1001,A1530)=0,"⚠ emplacement inconnu","OK"))</f>
        <v/>
      </c>
      <c r="K1530" s="22" t="str">
        <f aca="false">IF(AND(B1530&lt;&gt;"",ISNUMBER(SEARCH(Recherche!$C$3,C1530&amp;" "&amp;B1530&amp;" "&amp;A1530&amp;" "&amp;D1530))),MAX($K$1:K1529)+1,"")</f>
        <v/>
      </c>
    </row>
    <row r="1531" customFormat="false" ht="15" hidden="false" customHeight="false" outlineLevel="0" collapsed="false">
      <c r="A1531" s="12"/>
      <c r="B1531" s="12"/>
      <c r="C1531" s="17" t="str">
        <f aca="false">IF(B1531="","",IFERROR(INDEX(Produits!$F$2:$F$1001,MATCH(B1531,Produits!$A$2:$A$1001,0)),"⚠ code article inconnu"))</f>
        <v/>
      </c>
      <c r="D1531" s="12"/>
      <c r="E1531" s="23"/>
      <c r="F1531" s="24"/>
      <c r="G1531" s="23"/>
      <c r="H1531" s="21" t="str">
        <f aca="true">IF(E1531="","",ROUND((E1531-TODAY())/30.4,1))</f>
        <v/>
      </c>
      <c r="I1531" s="17" t="str">
        <f aca="false">IF(E1531="","",IF(H1531&lt;0,IF(LEFT(A1531,1)="Q","Périmé (en quarantaine)","PÉRIMÉ → déplacer en zone Q"),IF(H1531&lt;3,"Péremption &lt; 3 mois",IF(H1531&lt;6,"Péremption &lt; 6 mois",""))))</f>
        <v/>
      </c>
      <c r="J1531" s="17" t="str">
        <f aca="false">IF(A1531="","",IF(COUNTIF(Emplacements!$A$2:$A$1001,A1531)=0,"⚠ emplacement inconnu","OK"))</f>
        <v/>
      </c>
      <c r="K1531" s="22" t="str">
        <f aca="false">IF(AND(B1531&lt;&gt;"",ISNUMBER(SEARCH(Recherche!$C$3,C1531&amp;" "&amp;B1531&amp;" "&amp;A1531&amp;" "&amp;D1531))),MAX($K$1:K1530)+1,"")</f>
        <v/>
      </c>
    </row>
    <row r="1532" customFormat="false" ht="15" hidden="false" customHeight="false" outlineLevel="0" collapsed="false">
      <c r="A1532" s="12"/>
      <c r="B1532" s="12"/>
      <c r="C1532" s="17" t="str">
        <f aca="false">IF(B1532="","",IFERROR(INDEX(Produits!$F$2:$F$1001,MATCH(B1532,Produits!$A$2:$A$1001,0)),"⚠ code article inconnu"))</f>
        <v/>
      </c>
      <c r="D1532" s="12"/>
      <c r="E1532" s="23"/>
      <c r="F1532" s="24"/>
      <c r="G1532" s="23"/>
      <c r="H1532" s="21" t="str">
        <f aca="true">IF(E1532="","",ROUND((E1532-TODAY())/30.4,1))</f>
        <v/>
      </c>
      <c r="I1532" s="17" t="str">
        <f aca="false">IF(E1532="","",IF(H1532&lt;0,IF(LEFT(A1532,1)="Q","Périmé (en quarantaine)","PÉRIMÉ → déplacer en zone Q"),IF(H1532&lt;3,"Péremption &lt; 3 mois",IF(H1532&lt;6,"Péremption &lt; 6 mois",""))))</f>
        <v/>
      </c>
      <c r="J1532" s="17" t="str">
        <f aca="false">IF(A1532="","",IF(COUNTIF(Emplacements!$A$2:$A$1001,A1532)=0,"⚠ emplacement inconnu","OK"))</f>
        <v/>
      </c>
      <c r="K1532" s="22" t="str">
        <f aca="false">IF(AND(B1532&lt;&gt;"",ISNUMBER(SEARCH(Recherche!$C$3,C1532&amp;" "&amp;B1532&amp;" "&amp;A1532&amp;" "&amp;D1532))),MAX($K$1:K1531)+1,"")</f>
        <v/>
      </c>
    </row>
    <row r="1533" customFormat="false" ht="15" hidden="false" customHeight="false" outlineLevel="0" collapsed="false">
      <c r="A1533" s="12"/>
      <c r="B1533" s="12"/>
      <c r="C1533" s="17" t="str">
        <f aca="false">IF(B1533="","",IFERROR(INDEX(Produits!$F$2:$F$1001,MATCH(B1533,Produits!$A$2:$A$1001,0)),"⚠ code article inconnu"))</f>
        <v/>
      </c>
      <c r="D1533" s="12"/>
      <c r="E1533" s="23"/>
      <c r="F1533" s="24"/>
      <c r="G1533" s="23"/>
      <c r="H1533" s="21" t="str">
        <f aca="true">IF(E1533="","",ROUND((E1533-TODAY())/30.4,1))</f>
        <v/>
      </c>
      <c r="I1533" s="17" t="str">
        <f aca="false">IF(E1533="","",IF(H1533&lt;0,IF(LEFT(A1533,1)="Q","Périmé (en quarantaine)","PÉRIMÉ → déplacer en zone Q"),IF(H1533&lt;3,"Péremption &lt; 3 mois",IF(H1533&lt;6,"Péremption &lt; 6 mois",""))))</f>
        <v/>
      </c>
      <c r="J1533" s="17" t="str">
        <f aca="false">IF(A1533="","",IF(COUNTIF(Emplacements!$A$2:$A$1001,A1533)=0,"⚠ emplacement inconnu","OK"))</f>
        <v/>
      </c>
      <c r="K1533" s="22" t="str">
        <f aca="false">IF(AND(B1533&lt;&gt;"",ISNUMBER(SEARCH(Recherche!$C$3,C1533&amp;" "&amp;B1533&amp;" "&amp;A1533&amp;" "&amp;D1533))),MAX($K$1:K1532)+1,"")</f>
        <v/>
      </c>
    </row>
    <row r="1534" customFormat="false" ht="15" hidden="false" customHeight="false" outlineLevel="0" collapsed="false">
      <c r="A1534" s="12"/>
      <c r="B1534" s="12"/>
      <c r="C1534" s="17" t="str">
        <f aca="false">IF(B1534="","",IFERROR(INDEX(Produits!$F$2:$F$1001,MATCH(B1534,Produits!$A$2:$A$1001,0)),"⚠ code article inconnu"))</f>
        <v/>
      </c>
      <c r="D1534" s="12"/>
      <c r="E1534" s="23"/>
      <c r="F1534" s="24"/>
      <c r="G1534" s="23"/>
      <c r="H1534" s="21" t="str">
        <f aca="true">IF(E1534="","",ROUND((E1534-TODAY())/30.4,1))</f>
        <v/>
      </c>
      <c r="I1534" s="17" t="str">
        <f aca="false">IF(E1534="","",IF(H1534&lt;0,IF(LEFT(A1534,1)="Q","Périmé (en quarantaine)","PÉRIMÉ → déplacer en zone Q"),IF(H1534&lt;3,"Péremption &lt; 3 mois",IF(H1534&lt;6,"Péremption &lt; 6 mois",""))))</f>
        <v/>
      </c>
      <c r="J1534" s="17" t="str">
        <f aca="false">IF(A1534="","",IF(COUNTIF(Emplacements!$A$2:$A$1001,A1534)=0,"⚠ emplacement inconnu","OK"))</f>
        <v/>
      </c>
      <c r="K1534" s="22" t="str">
        <f aca="false">IF(AND(B1534&lt;&gt;"",ISNUMBER(SEARCH(Recherche!$C$3,C1534&amp;" "&amp;B1534&amp;" "&amp;A1534&amp;" "&amp;D1534))),MAX($K$1:K1533)+1,"")</f>
        <v/>
      </c>
    </row>
    <row r="1535" customFormat="false" ht="15" hidden="false" customHeight="false" outlineLevel="0" collapsed="false">
      <c r="A1535" s="12"/>
      <c r="B1535" s="12"/>
      <c r="C1535" s="17" t="str">
        <f aca="false">IF(B1535="","",IFERROR(INDEX(Produits!$F$2:$F$1001,MATCH(B1535,Produits!$A$2:$A$1001,0)),"⚠ code article inconnu"))</f>
        <v/>
      </c>
      <c r="D1535" s="12"/>
      <c r="E1535" s="23"/>
      <c r="F1535" s="24"/>
      <c r="G1535" s="23"/>
      <c r="H1535" s="21" t="str">
        <f aca="true">IF(E1535="","",ROUND((E1535-TODAY())/30.4,1))</f>
        <v/>
      </c>
      <c r="I1535" s="17" t="str">
        <f aca="false">IF(E1535="","",IF(H1535&lt;0,IF(LEFT(A1535,1)="Q","Périmé (en quarantaine)","PÉRIMÉ → déplacer en zone Q"),IF(H1535&lt;3,"Péremption &lt; 3 mois",IF(H1535&lt;6,"Péremption &lt; 6 mois",""))))</f>
        <v/>
      </c>
      <c r="J1535" s="17" t="str">
        <f aca="false">IF(A1535="","",IF(COUNTIF(Emplacements!$A$2:$A$1001,A1535)=0,"⚠ emplacement inconnu","OK"))</f>
        <v/>
      </c>
      <c r="K1535" s="22" t="str">
        <f aca="false">IF(AND(B1535&lt;&gt;"",ISNUMBER(SEARCH(Recherche!$C$3,C1535&amp;" "&amp;B1535&amp;" "&amp;A1535&amp;" "&amp;D1535))),MAX($K$1:K1534)+1,"")</f>
        <v/>
      </c>
    </row>
    <row r="1536" customFormat="false" ht="15" hidden="false" customHeight="false" outlineLevel="0" collapsed="false">
      <c r="A1536" s="12"/>
      <c r="B1536" s="12"/>
      <c r="C1536" s="17" t="str">
        <f aca="false">IF(B1536="","",IFERROR(INDEX(Produits!$F$2:$F$1001,MATCH(B1536,Produits!$A$2:$A$1001,0)),"⚠ code article inconnu"))</f>
        <v/>
      </c>
      <c r="D1536" s="12"/>
      <c r="E1536" s="23"/>
      <c r="F1536" s="24"/>
      <c r="G1536" s="23"/>
      <c r="H1536" s="21" t="str">
        <f aca="true">IF(E1536="","",ROUND((E1536-TODAY())/30.4,1))</f>
        <v/>
      </c>
      <c r="I1536" s="17" t="str">
        <f aca="false">IF(E1536="","",IF(H1536&lt;0,IF(LEFT(A1536,1)="Q","Périmé (en quarantaine)","PÉRIMÉ → déplacer en zone Q"),IF(H1536&lt;3,"Péremption &lt; 3 mois",IF(H1536&lt;6,"Péremption &lt; 6 mois",""))))</f>
        <v/>
      </c>
      <c r="J1536" s="17" t="str">
        <f aca="false">IF(A1536="","",IF(COUNTIF(Emplacements!$A$2:$A$1001,A1536)=0,"⚠ emplacement inconnu","OK"))</f>
        <v/>
      </c>
      <c r="K1536" s="22" t="str">
        <f aca="false">IF(AND(B1536&lt;&gt;"",ISNUMBER(SEARCH(Recherche!$C$3,C1536&amp;" "&amp;B1536&amp;" "&amp;A1536&amp;" "&amp;D1536))),MAX($K$1:K1535)+1,"")</f>
        <v/>
      </c>
    </row>
    <row r="1537" customFormat="false" ht="15" hidden="false" customHeight="false" outlineLevel="0" collapsed="false">
      <c r="A1537" s="12"/>
      <c r="B1537" s="12"/>
      <c r="C1537" s="17" t="str">
        <f aca="false">IF(B1537="","",IFERROR(INDEX(Produits!$F$2:$F$1001,MATCH(B1537,Produits!$A$2:$A$1001,0)),"⚠ code article inconnu"))</f>
        <v/>
      </c>
      <c r="D1537" s="12"/>
      <c r="E1537" s="23"/>
      <c r="F1537" s="24"/>
      <c r="G1537" s="23"/>
      <c r="H1537" s="21" t="str">
        <f aca="true">IF(E1537="","",ROUND((E1537-TODAY())/30.4,1))</f>
        <v/>
      </c>
      <c r="I1537" s="17" t="str">
        <f aca="false">IF(E1537="","",IF(H1537&lt;0,IF(LEFT(A1537,1)="Q","Périmé (en quarantaine)","PÉRIMÉ → déplacer en zone Q"),IF(H1537&lt;3,"Péremption &lt; 3 mois",IF(H1537&lt;6,"Péremption &lt; 6 mois",""))))</f>
        <v/>
      </c>
      <c r="J1537" s="17" t="str">
        <f aca="false">IF(A1537="","",IF(COUNTIF(Emplacements!$A$2:$A$1001,A1537)=0,"⚠ emplacement inconnu","OK"))</f>
        <v/>
      </c>
      <c r="K1537" s="22" t="str">
        <f aca="false">IF(AND(B1537&lt;&gt;"",ISNUMBER(SEARCH(Recherche!$C$3,C1537&amp;" "&amp;B1537&amp;" "&amp;A1537&amp;" "&amp;D1537))),MAX($K$1:K1536)+1,"")</f>
        <v/>
      </c>
    </row>
    <row r="1538" customFormat="false" ht="15" hidden="false" customHeight="false" outlineLevel="0" collapsed="false">
      <c r="A1538" s="12"/>
      <c r="B1538" s="12"/>
      <c r="C1538" s="17" t="str">
        <f aca="false">IF(B1538="","",IFERROR(INDEX(Produits!$F$2:$F$1001,MATCH(B1538,Produits!$A$2:$A$1001,0)),"⚠ code article inconnu"))</f>
        <v/>
      </c>
      <c r="D1538" s="12"/>
      <c r="E1538" s="23"/>
      <c r="F1538" s="24"/>
      <c r="G1538" s="23"/>
      <c r="H1538" s="21" t="str">
        <f aca="true">IF(E1538="","",ROUND((E1538-TODAY())/30.4,1))</f>
        <v/>
      </c>
      <c r="I1538" s="17" t="str">
        <f aca="false">IF(E1538="","",IF(H1538&lt;0,IF(LEFT(A1538,1)="Q","Périmé (en quarantaine)","PÉRIMÉ → déplacer en zone Q"),IF(H1538&lt;3,"Péremption &lt; 3 mois",IF(H1538&lt;6,"Péremption &lt; 6 mois",""))))</f>
        <v/>
      </c>
      <c r="J1538" s="17" t="str">
        <f aca="false">IF(A1538="","",IF(COUNTIF(Emplacements!$A$2:$A$1001,A1538)=0,"⚠ emplacement inconnu","OK"))</f>
        <v/>
      </c>
      <c r="K1538" s="22" t="str">
        <f aca="false">IF(AND(B1538&lt;&gt;"",ISNUMBER(SEARCH(Recherche!$C$3,C1538&amp;" "&amp;B1538&amp;" "&amp;A1538&amp;" "&amp;D1538))),MAX($K$1:K1537)+1,"")</f>
        <v/>
      </c>
    </row>
    <row r="1539" customFormat="false" ht="15" hidden="false" customHeight="false" outlineLevel="0" collapsed="false">
      <c r="A1539" s="12"/>
      <c r="B1539" s="12"/>
      <c r="C1539" s="17" t="str">
        <f aca="false">IF(B1539="","",IFERROR(INDEX(Produits!$F$2:$F$1001,MATCH(B1539,Produits!$A$2:$A$1001,0)),"⚠ code article inconnu"))</f>
        <v/>
      </c>
      <c r="D1539" s="12"/>
      <c r="E1539" s="23"/>
      <c r="F1539" s="24"/>
      <c r="G1539" s="23"/>
      <c r="H1539" s="21" t="str">
        <f aca="true">IF(E1539="","",ROUND((E1539-TODAY())/30.4,1))</f>
        <v/>
      </c>
      <c r="I1539" s="17" t="str">
        <f aca="false">IF(E1539="","",IF(H1539&lt;0,IF(LEFT(A1539,1)="Q","Périmé (en quarantaine)","PÉRIMÉ → déplacer en zone Q"),IF(H1539&lt;3,"Péremption &lt; 3 mois",IF(H1539&lt;6,"Péremption &lt; 6 mois",""))))</f>
        <v/>
      </c>
      <c r="J1539" s="17" t="str">
        <f aca="false">IF(A1539="","",IF(COUNTIF(Emplacements!$A$2:$A$1001,A1539)=0,"⚠ emplacement inconnu","OK"))</f>
        <v/>
      </c>
      <c r="K1539" s="22" t="str">
        <f aca="false">IF(AND(B1539&lt;&gt;"",ISNUMBER(SEARCH(Recherche!$C$3,C1539&amp;" "&amp;B1539&amp;" "&amp;A1539&amp;" "&amp;D1539))),MAX($K$1:K1538)+1,"")</f>
        <v/>
      </c>
    </row>
    <row r="1540" customFormat="false" ht="15" hidden="false" customHeight="false" outlineLevel="0" collapsed="false">
      <c r="A1540" s="12"/>
      <c r="B1540" s="12"/>
      <c r="C1540" s="17" t="str">
        <f aca="false">IF(B1540="","",IFERROR(INDEX(Produits!$F$2:$F$1001,MATCH(B1540,Produits!$A$2:$A$1001,0)),"⚠ code article inconnu"))</f>
        <v/>
      </c>
      <c r="D1540" s="12"/>
      <c r="E1540" s="23"/>
      <c r="F1540" s="24"/>
      <c r="G1540" s="23"/>
      <c r="H1540" s="21" t="str">
        <f aca="true">IF(E1540="","",ROUND((E1540-TODAY())/30.4,1))</f>
        <v/>
      </c>
      <c r="I1540" s="17" t="str">
        <f aca="false">IF(E1540="","",IF(H1540&lt;0,IF(LEFT(A1540,1)="Q","Périmé (en quarantaine)","PÉRIMÉ → déplacer en zone Q"),IF(H1540&lt;3,"Péremption &lt; 3 mois",IF(H1540&lt;6,"Péremption &lt; 6 mois",""))))</f>
        <v/>
      </c>
      <c r="J1540" s="17" t="str">
        <f aca="false">IF(A1540="","",IF(COUNTIF(Emplacements!$A$2:$A$1001,A1540)=0,"⚠ emplacement inconnu","OK"))</f>
        <v/>
      </c>
      <c r="K1540" s="22" t="str">
        <f aca="false">IF(AND(B1540&lt;&gt;"",ISNUMBER(SEARCH(Recherche!$C$3,C1540&amp;" "&amp;B1540&amp;" "&amp;A1540&amp;" "&amp;D1540))),MAX($K$1:K1539)+1,"")</f>
        <v/>
      </c>
    </row>
    <row r="1541" customFormat="false" ht="15" hidden="false" customHeight="false" outlineLevel="0" collapsed="false">
      <c r="A1541" s="12"/>
      <c r="B1541" s="12"/>
      <c r="C1541" s="17" t="str">
        <f aca="false">IF(B1541="","",IFERROR(INDEX(Produits!$F$2:$F$1001,MATCH(B1541,Produits!$A$2:$A$1001,0)),"⚠ code article inconnu"))</f>
        <v/>
      </c>
      <c r="D1541" s="12"/>
      <c r="E1541" s="23"/>
      <c r="F1541" s="24"/>
      <c r="G1541" s="23"/>
      <c r="H1541" s="21" t="str">
        <f aca="true">IF(E1541="","",ROUND((E1541-TODAY())/30.4,1))</f>
        <v/>
      </c>
      <c r="I1541" s="17" t="str">
        <f aca="false">IF(E1541="","",IF(H1541&lt;0,IF(LEFT(A1541,1)="Q","Périmé (en quarantaine)","PÉRIMÉ → déplacer en zone Q"),IF(H1541&lt;3,"Péremption &lt; 3 mois",IF(H1541&lt;6,"Péremption &lt; 6 mois",""))))</f>
        <v/>
      </c>
      <c r="J1541" s="17" t="str">
        <f aca="false">IF(A1541="","",IF(COUNTIF(Emplacements!$A$2:$A$1001,A1541)=0,"⚠ emplacement inconnu","OK"))</f>
        <v/>
      </c>
      <c r="K1541" s="22" t="str">
        <f aca="false">IF(AND(B1541&lt;&gt;"",ISNUMBER(SEARCH(Recherche!$C$3,C1541&amp;" "&amp;B1541&amp;" "&amp;A1541&amp;" "&amp;D1541))),MAX($K$1:K1540)+1,"")</f>
        <v/>
      </c>
    </row>
    <row r="1542" customFormat="false" ht="15" hidden="false" customHeight="false" outlineLevel="0" collapsed="false">
      <c r="A1542" s="12"/>
      <c r="B1542" s="12"/>
      <c r="C1542" s="17" t="str">
        <f aca="false">IF(B1542="","",IFERROR(INDEX(Produits!$F$2:$F$1001,MATCH(B1542,Produits!$A$2:$A$1001,0)),"⚠ code article inconnu"))</f>
        <v/>
      </c>
      <c r="D1542" s="12"/>
      <c r="E1542" s="23"/>
      <c r="F1542" s="24"/>
      <c r="G1542" s="23"/>
      <c r="H1542" s="21" t="str">
        <f aca="true">IF(E1542="","",ROUND((E1542-TODAY())/30.4,1))</f>
        <v/>
      </c>
      <c r="I1542" s="17" t="str">
        <f aca="false">IF(E1542="","",IF(H1542&lt;0,IF(LEFT(A1542,1)="Q","Périmé (en quarantaine)","PÉRIMÉ → déplacer en zone Q"),IF(H1542&lt;3,"Péremption &lt; 3 mois",IF(H1542&lt;6,"Péremption &lt; 6 mois",""))))</f>
        <v/>
      </c>
      <c r="J1542" s="17" t="str">
        <f aca="false">IF(A1542="","",IF(COUNTIF(Emplacements!$A$2:$A$1001,A1542)=0,"⚠ emplacement inconnu","OK"))</f>
        <v/>
      </c>
      <c r="K1542" s="22" t="str">
        <f aca="false">IF(AND(B1542&lt;&gt;"",ISNUMBER(SEARCH(Recherche!$C$3,C1542&amp;" "&amp;B1542&amp;" "&amp;A1542&amp;" "&amp;D1542))),MAX($K$1:K1541)+1,"")</f>
        <v/>
      </c>
    </row>
    <row r="1543" customFormat="false" ht="15" hidden="false" customHeight="false" outlineLevel="0" collapsed="false">
      <c r="A1543" s="12"/>
      <c r="B1543" s="12"/>
      <c r="C1543" s="17" t="str">
        <f aca="false">IF(B1543="","",IFERROR(INDEX(Produits!$F$2:$F$1001,MATCH(B1543,Produits!$A$2:$A$1001,0)),"⚠ code article inconnu"))</f>
        <v/>
      </c>
      <c r="D1543" s="12"/>
      <c r="E1543" s="23"/>
      <c r="F1543" s="24"/>
      <c r="G1543" s="23"/>
      <c r="H1543" s="21" t="str">
        <f aca="true">IF(E1543="","",ROUND((E1543-TODAY())/30.4,1))</f>
        <v/>
      </c>
      <c r="I1543" s="17" t="str">
        <f aca="false">IF(E1543="","",IF(H1543&lt;0,IF(LEFT(A1543,1)="Q","Périmé (en quarantaine)","PÉRIMÉ → déplacer en zone Q"),IF(H1543&lt;3,"Péremption &lt; 3 mois",IF(H1543&lt;6,"Péremption &lt; 6 mois",""))))</f>
        <v/>
      </c>
      <c r="J1543" s="17" t="str">
        <f aca="false">IF(A1543="","",IF(COUNTIF(Emplacements!$A$2:$A$1001,A1543)=0,"⚠ emplacement inconnu","OK"))</f>
        <v/>
      </c>
      <c r="K1543" s="22" t="str">
        <f aca="false">IF(AND(B1543&lt;&gt;"",ISNUMBER(SEARCH(Recherche!$C$3,C1543&amp;" "&amp;B1543&amp;" "&amp;A1543&amp;" "&amp;D1543))),MAX($K$1:K1542)+1,"")</f>
        <v/>
      </c>
    </row>
    <row r="1544" customFormat="false" ht="15" hidden="false" customHeight="false" outlineLevel="0" collapsed="false">
      <c r="A1544" s="12"/>
      <c r="B1544" s="12"/>
      <c r="C1544" s="17" t="str">
        <f aca="false">IF(B1544="","",IFERROR(INDEX(Produits!$F$2:$F$1001,MATCH(B1544,Produits!$A$2:$A$1001,0)),"⚠ code article inconnu"))</f>
        <v/>
      </c>
      <c r="D1544" s="12"/>
      <c r="E1544" s="23"/>
      <c r="F1544" s="24"/>
      <c r="G1544" s="23"/>
      <c r="H1544" s="21" t="str">
        <f aca="true">IF(E1544="","",ROUND((E1544-TODAY())/30.4,1))</f>
        <v/>
      </c>
      <c r="I1544" s="17" t="str">
        <f aca="false">IF(E1544="","",IF(H1544&lt;0,IF(LEFT(A1544,1)="Q","Périmé (en quarantaine)","PÉRIMÉ → déplacer en zone Q"),IF(H1544&lt;3,"Péremption &lt; 3 mois",IF(H1544&lt;6,"Péremption &lt; 6 mois",""))))</f>
        <v/>
      </c>
      <c r="J1544" s="17" t="str">
        <f aca="false">IF(A1544="","",IF(COUNTIF(Emplacements!$A$2:$A$1001,A1544)=0,"⚠ emplacement inconnu","OK"))</f>
        <v/>
      </c>
      <c r="K1544" s="22" t="str">
        <f aca="false">IF(AND(B1544&lt;&gt;"",ISNUMBER(SEARCH(Recherche!$C$3,C1544&amp;" "&amp;B1544&amp;" "&amp;A1544&amp;" "&amp;D1544))),MAX($K$1:K1543)+1,"")</f>
        <v/>
      </c>
    </row>
    <row r="1545" customFormat="false" ht="15" hidden="false" customHeight="false" outlineLevel="0" collapsed="false">
      <c r="A1545" s="12"/>
      <c r="B1545" s="12"/>
      <c r="C1545" s="17" t="str">
        <f aca="false">IF(B1545="","",IFERROR(INDEX(Produits!$F$2:$F$1001,MATCH(B1545,Produits!$A$2:$A$1001,0)),"⚠ code article inconnu"))</f>
        <v/>
      </c>
      <c r="D1545" s="12"/>
      <c r="E1545" s="23"/>
      <c r="F1545" s="24"/>
      <c r="G1545" s="23"/>
      <c r="H1545" s="21" t="str">
        <f aca="true">IF(E1545="","",ROUND((E1545-TODAY())/30.4,1))</f>
        <v/>
      </c>
      <c r="I1545" s="17" t="str">
        <f aca="false">IF(E1545="","",IF(H1545&lt;0,IF(LEFT(A1545,1)="Q","Périmé (en quarantaine)","PÉRIMÉ → déplacer en zone Q"),IF(H1545&lt;3,"Péremption &lt; 3 mois",IF(H1545&lt;6,"Péremption &lt; 6 mois",""))))</f>
        <v/>
      </c>
      <c r="J1545" s="17" t="str">
        <f aca="false">IF(A1545="","",IF(COUNTIF(Emplacements!$A$2:$A$1001,A1545)=0,"⚠ emplacement inconnu","OK"))</f>
        <v/>
      </c>
      <c r="K1545" s="22" t="str">
        <f aca="false">IF(AND(B1545&lt;&gt;"",ISNUMBER(SEARCH(Recherche!$C$3,C1545&amp;" "&amp;B1545&amp;" "&amp;A1545&amp;" "&amp;D1545))),MAX($K$1:K1544)+1,"")</f>
        <v/>
      </c>
    </row>
    <row r="1546" customFormat="false" ht="15" hidden="false" customHeight="false" outlineLevel="0" collapsed="false">
      <c r="A1546" s="12"/>
      <c r="B1546" s="12"/>
      <c r="C1546" s="17" t="str">
        <f aca="false">IF(B1546="","",IFERROR(INDEX(Produits!$F$2:$F$1001,MATCH(B1546,Produits!$A$2:$A$1001,0)),"⚠ code article inconnu"))</f>
        <v/>
      </c>
      <c r="D1546" s="12"/>
      <c r="E1546" s="23"/>
      <c r="F1546" s="24"/>
      <c r="G1546" s="23"/>
      <c r="H1546" s="21" t="str">
        <f aca="true">IF(E1546="","",ROUND((E1546-TODAY())/30.4,1))</f>
        <v/>
      </c>
      <c r="I1546" s="17" t="str">
        <f aca="false">IF(E1546="","",IF(H1546&lt;0,IF(LEFT(A1546,1)="Q","Périmé (en quarantaine)","PÉRIMÉ → déplacer en zone Q"),IF(H1546&lt;3,"Péremption &lt; 3 mois",IF(H1546&lt;6,"Péremption &lt; 6 mois",""))))</f>
        <v/>
      </c>
      <c r="J1546" s="17" t="str">
        <f aca="false">IF(A1546="","",IF(COUNTIF(Emplacements!$A$2:$A$1001,A1546)=0,"⚠ emplacement inconnu","OK"))</f>
        <v/>
      </c>
      <c r="K1546" s="22" t="str">
        <f aca="false">IF(AND(B1546&lt;&gt;"",ISNUMBER(SEARCH(Recherche!$C$3,C1546&amp;" "&amp;B1546&amp;" "&amp;A1546&amp;" "&amp;D1546))),MAX($K$1:K1545)+1,"")</f>
        <v/>
      </c>
    </row>
    <row r="1547" customFormat="false" ht="15" hidden="false" customHeight="false" outlineLevel="0" collapsed="false">
      <c r="A1547" s="12"/>
      <c r="B1547" s="12"/>
      <c r="C1547" s="17" t="str">
        <f aca="false">IF(B1547="","",IFERROR(INDEX(Produits!$F$2:$F$1001,MATCH(B1547,Produits!$A$2:$A$1001,0)),"⚠ code article inconnu"))</f>
        <v/>
      </c>
      <c r="D1547" s="12"/>
      <c r="E1547" s="23"/>
      <c r="F1547" s="24"/>
      <c r="G1547" s="23"/>
      <c r="H1547" s="21" t="str">
        <f aca="true">IF(E1547="","",ROUND((E1547-TODAY())/30.4,1))</f>
        <v/>
      </c>
      <c r="I1547" s="17" t="str">
        <f aca="false">IF(E1547="","",IF(H1547&lt;0,IF(LEFT(A1547,1)="Q","Périmé (en quarantaine)","PÉRIMÉ → déplacer en zone Q"),IF(H1547&lt;3,"Péremption &lt; 3 mois",IF(H1547&lt;6,"Péremption &lt; 6 mois",""))))</f>
        <v/>
      </c>
      <c r="J1547" s="17" t="str">
        <f aca="false">IF(A1547="","",IF(COUNTIF(Emplacements!$A$2:$A$1001,A1547)=0,"⚠ emplacement inconnu","OK"))</f>
        <v/>
      </c>
      <c r="K1547" s="22" t="str">
        <f aca="false">IF(AND(B1547&lt;&gt;"",ISNUMBER(SEARCH(Recherche!$C$3,C1547&amp;" "&amp;B1547&amp;" "&amp;A1547&amp;" "&amp;D1547))),MAX($K$1:K1546)+1,"")</f>
        <v/>
      </c>
    </row>
    <row r="1548" customFormat="false" ht="15" hidden="false" customHeight="false" outlineLevel="0" collapsed="false">
      <c r="A1548" s="12"/>
      <c r="B1548" s="12"/>
      <c r="C1548" s="17" t="str">
        <f aca="false">IF(B1548="","",IFERROR(INDEX(Produits!$F$2:$F$1001,MATCH(B1548,Produits!$A$2:$A$1001,0)),"⚠ code article inconnu"))</f>
        <v/>
      </c>
      <c r="D1548" s="12"/>
      <c r="E1548" s="23"/>
      <c r="F1548" s="24"/>
      <c r="G1548" s="23"/>
      <c r="H1548" s="21" t="str">
        <f aca="true">IF(E1548="","",ROUND((E1548-TODAY())/30.4,1))</f>
        <v/>
      </c>
      <c r="I1548" s="17" t="str">
        <f aca="false">IF(E1548="","",IF(H1548&lt;0,IF(LEFT(A1548,1)="Q","Périmé (en quarantaine)","PÉRIMÉ → déplacer en zone Q"),IF(H1548&lt;3,"Péremption &lt; 3 mois",IF(H1548&lt;6,"Péremption &lt; 6 mois",""))))</f>
        <v/>
      </c>
      <c r="J1548" s="17" t="str">
        <f aca="false">IF(A1548="","",IF(COUNTIF(Emplacements!$A$2:$A$1001,A1548)=0,"⚠ emplacement inconnu","OK"))</f>
        <v/>
      </c>
      <c r="K1548" s="22" t="str">
        <f aca="false">IF(AND(B1548&lt;&gt;"",ISNUMBER(SEARCH(Recherche!$C$3,C1548&amp;" "&amp;B1548&amp;" "&amp;A1548&amp;" "&amp;D1548))),MAX($K$1:K1547)+1,"")</f>
        <v/>
      </c>
    </row>
    <row r="1549" customFormat="false" ht="15" hidden="false" customHeight="false" outlineLevel="0" collapsed="false">
      <c r="A1549" s="12"/>
      <c r="B1549" s="12"/>
      <c r="C1549" s="17" t="str">
        <f aca="false">IF(B1549="","",IFERROR(INDEX(Produits!$F$2:$F$1001,MATCH(B1549,Produits!$A$2:$A$1001,0)),"⚠ code article inconnu"))</f>
        <v/>
      </c>
      <c r="D1549" s="12"/>
      <c r="E1549" s="23"/>
      <c r="F1549" s="24"/>
      <c r="G1549" s="23"/>
      <c r="H1549" s="21" t="str">
        <f aca="true">IF(E1549="","",ROUND((E1549-TODAY())/30.4,1))</f>
        <v/>
      </c>
      <c r="I1549" s="17" t="str">
        <f aca="false">IF(E1549="","",IF(H1549&lt;0,IF(LEFT(A1549,1)="Q","Périmé (en quarantaine)","PÉRIMÉ → déplacer en zone Q"),IF(H1549&lt;3,"Péremption &lt; 3 mois",IF(H1549&lt;6,"Péremption &lt; 6 mois",""))))</f>
        <v/>
      </c>
      <c r="J1549" s="17" t="str">
        <f aca="false">IF(A1549="","",IF(COUNTIF(Emplacements!$A$2:$A$1001,A1549)=0,"⚠ emplacement inconnu","OK"))</f>
        <v/>
      </c>
      <c r="K1549" s="22" t="str">
        <f aca="false">IF(AND(B1549&lt;&gt;"",ISNUMBER(SEARCH(Recherche!$C$3,C1549&amp;" "&amp;B1549&amp;" "&amp;A1549&amp;" "&amp;D1549))),MAX($K$1:K1548)+1,"")</f>
        <v/>
      </c>
    </row>
    <row r="1550" customFormat="false" ht="15" hidden="false" customHeight="false" outlineLevel="0" collapsed="false">
      <c r="A1550" s="12"/>
      <c r="B1550" s="12"/>
      <c r="C1550" s="17" t="str">
        <f aca="false">IF(B1550="","",IFERROR(INDEX(Produits!$F$2:$F$1001,MATCH(B1550,Produits!$A$2:$A$1001,0)),"⚠ code article inconnu"))</f>
        <v/>
      </c>
      <c r="D1550" s="12"/>
      <c r="E1550" s="23"/>
      <c r="F1550" s="24"/>
      <c r="G1550" s="23"/>
      <c r="H1550" s="21" t="str">
        <f aca="true">IF(E1550="","",ROUND((E1550-TODAY())/30.4,1))</f>
        <v/>
      </c>
      <c r="I1550" s="17" t="str">
        <f aca="false">IF(E1550="","",IF(H1550&lt;0,IF(LEFT(A1550,1)="Q","Périmé (en quarantaine)","PÉRIMÉ → déplacer en zone Q"),IF(H1550&lt;3,"Péremption &lt; 3 mois",IF(H1550&lt;6,"Péremption &lt; 6 mois",""))))</f>
        <v/>
      </c>
      <c r="J1550" s="17" t="str">
        <f aca="false">IF(A1550="","",IF(COUNTIF(Emplacements!$A$2:$A$1001,A1550)=0,"⚠ emplacement inconnu","OK"))</f>
        <v/>
      </c>
      <c r="K1550" s="22" t="str">
        <f aca="false">IF(AND(B1550&lt;&gt;"",ISNUMBER(SEARCH(Recherche!$C$3,C1550&amp;" "&amp;B1550&amp;" "&amp;A1550&amp;" "&amp;D1550))),MAX($K$1:K1549)+1,"")</f>
        <v/>
      </c>
    </row>
    <row r="1551" customFormat="false" ht="15" hidden="false" customHeight="false" outlineLevel="0" collapsed="false">
      <c r="A1551" s="12"/>
      <c r="B1551" s="12"/>
      <c r="C1551" s="17" t="str">
        <f aca="false">IF(B1551="","",IFERROR(INDEX(Produits!$F$2:$F$1001,MATCH(B1551,Produits!$A$2:$A$1001,0)),"⚠ code article inconnu"))</f>
        <v/>
      </c>
      <c r="D1551" s="12"/>
      <c r="E1551" s="23"/>
      <c r="F1551" s="24"/>
      <c r="G1551" s="23"/>
      <c r="H1551" s="21" t="str">
        <f aca="true">IF(E1551="","",ROUND((E1551-TODAY())/30.4,1))</f>
        <v/>
      </c>
      <c r="I1551" s="17" t="str">
        <f aca="false">IF(E1551="","",IF(H1551&lt;0,IF(LEFT(A1551,1)="Q","Périmé (en quarantaine)","PÉRIMÉ → déplacer en zone Q"),IF(H1551&lt;3,"Péremption &lt; 3 mois",IF(H1551&lt;6,"Péremption &lt; 6 mois",""))))</f>
        <v/>
      </c>
      <c r="J1551" s="17" t="str">
        <f aca="false">IF(A1551="","",IF(COUNTIF(Emplacements!$A$2:$A$1001,A1551)=0,"⚠ emplacement inconnu","OK"))</f>
        <v/>
      </c>
      <c r="K1551" s="22" t="str">
        <f aca="false">IF(AND(B1551&lt;&gt;"",ISNUMBER(SEARCH(Recherche!$C$3,C1551&amp;" "&amp;B1551&amp;" "&amp;A1551&amp;" "&amp;D1551))),MAX($K$1:K1550)+1,"")</f>
        <v/>
      </c>
    </row>
    <row r="1552" customFormat="false" ht="15" hidden="false" customHeight="false" outlineLevel="0" collapsed="false">
      <c r="A1552" s="12"/>
      <c r="B1552" s="12"/>
      <c r="C1552" s="17" t="str">
        <f aca="false">IF(B1552="","",IFERROR(INDEX(Produits!$F$2:$F$1001,MATCH(B1552,Produits!$A$2:$A$1001,0)),"⚠ code article inconnu"))</f>
        <v/>
      </c>
      <c r="D1552" s="12"/>
      <c r="E1552" s="23"/>
      <c r="F1552" s="24"/>
      <c r="G1552" s="23"/>
      <c r="H1552" s="21" t="str">
        <f aca="true">IF(E1552="","",ROUND((E1552-TODAY())/30.4,1))</f>
        <v/>
      </c>
      <c r="I1552" s="17" t="str">
        <f aca="false">IF(E1552="","",IF(H1552&lt;0,IF(LEFT(A1552,1)="Q","Périmé (en quarantaine)","PÉRIMÉ → déplacer en zone Q"),IF(H1552&lt;3,"Péremption &lt; 3 mois",IF(H1552&lt;6,"Péremption &lt; 6 mois",""))))</f>
        <v/>
      </c>
      <c r="J1552" s="17" t="str">
        <f aca="false">IF(A1552="","",IF(COUNTIF(Emplacements!$A$2:$A$1001,A1552)=0,"⚠ emplacement inconnu","OK"))</f>
        <v/>
      </c>
      <c r="K1552" s="22" t="str">
        <f aca="false">IF(AND(B1552&lt;&gt;"",ISNUMBER(SEARCH(Recherche!$C$3,C1552&amp;" "&amp;B1552&amp;" "&amp;A1552&amp;" "&amp;D1552))),MAX($K$1:K1551)+1,"")</f>
        <v/>
      </c>
    </row>
    <row r="1553" customFormat="false" ht="15" hidden="false" customHeight="false" outlineLevel="0" collapsed="false">
      <c r="A1553" s="12"/>
      <c r="B1553" s="12"/>
      <c r="C1553" s="17" t="str">
        <f aca="false">IF(B1553="","",IFERROR(INDEX(Produits!$F$2:$F$1001,MATCH(B1553,Produits!$A$2:$A$1001,0)),"⚠ code article inconnu"))</f>
        <v/>
      </c>
      <c r="D1553" s="12"/>
      <c r="E1553" s="23"/>
      <c r="F1553" s="24"/>
      <c r="G1553" s="23"/>
      <c r="H1553" s="21" t="str">
        <f aca="true">IF(E1553="","",ROUND((E1553-TODAY())/30.4,1))</f>
        <v/>
      </c>
      <c r="I1553" s="17" t="str">
        <f aca="false">IF(E1553="","",IF(H1553&lt;0,IF(LEFT(A1553,1)="Q","Périmé (en quarantaine)","PÉRIMÉ → déplacer en zone Q"),IF(H1553&lt;3,"Péremption &lt; 3 mois",IF(H1553&lt;6,"Péremption &lt; 6 mois",""))))</f>
        <v/>
      </c>
      <c r="J1553" s="17" t="str">
        <f aca="false">IF(A1553="","",IF(COUNTIF(Emplacements!$A$2:$A$1001,A1553)=0,"⚠ emplacement inconnu","OK"))</f>
        <v/>
      </c>
      <c r="K1553" s="22" t="str">
        <f aca="false">IF(AND(B1553&lt;&gt;"",ISNUMBER(SEARCH(Recherche!$C$3,C1553&amp;" "&amp;B1553&amp;" "&amp;A1553&amp;" "&amp;D1553))),MAX($K$1:K1552)+1,"")</f>
        <v/>
      </c>
    </row>
    <row r="1554" customFormat="false" ht="15" hidden="false" customHeight="false" outlineLevel="0" collapsed="false">
      <c r="A1554" s="12"/>
      <c r="B1554" s="12"/>
      <c r="C1554" s="17" t="str">
        <f aca="false">IF(B1554="","",IFERROR(INDEX(Produits!$F$2:$F$1001,MATCH(B1554,Produits!$A$2:$A$1001,0)),"⚠ code article inconnu"))</f>
        <v/>
      </c>
      <c r="D1554" s="12"/>
      <c r="E1554" s="23"/>
      <c r="F1554" s="24"/>
      <c r="G1554" s="23"/>
      <c r="H1554" s="21" t="str">
        <f aca="true">IF(E1554="","",ROUND((E1554-TODAY())/30.4,1))</f>
        <v/>
      </c>
      <c r="I1554" s="17" t="str">
        <f aca="false">IF(E1554="","",IF(H1554&lt;0,IF(LEFT(A1554,1)="Q","Périmé (en quarantaine)","PÉRIMÉ → déplacer en zone Q"),IF(H1554&lt;3,"Péremption &lt; 3 mois",IF(H1554&lt;6,"Péremption &lt; 6 mois",""))))</f>
        <v/>
      </c>
      <c r="J1554" s="17" t="str">
        <f aca="false">IF(A1554="","",IF(COUNTIF(Emplacements!$A$2:$A$1001,A1554)=0,"⚠ emplacement inconnu","OK"))</f>
        <v/>
      </c>
      <c r="K1554" s="22" t="str">
        <f aca="false">IF(AND(B1554&lt;&gt;"",ISNUMBER(SEARCH(Recherche!$C$3,C1554&amp;" "&amp;B1554&amp;" "&amp;A1554&amp;" "&amp;D1554))),MAX($K$1:K1553)+1,"")</f>
        <v/>
      </c>
    </row>
    <row r="1555" customFormat="false" ht="15" hidden="false" customHeight="false" outlineLevel="0" collapsed="false">
      <c r="A1555" s="12"/>
      <c r="B1555" s="12"/>
      <c r="C1555" s="17" t="str">
        <f aca="false">IF(B1555="","",IFERROR(INDEX(Produits!$F$2:$F$1001,MATCH(B1555,Produits!$A$2:$A$1001,0)),"⚠ code article inconnu"))</f>
        <v/>
      </c>
      <c r="D1555" s="12"/>
      <c r="E1555" s="23"/>
      <c r="F1555" s="24"/>
      <c r="G1555" s="23"/>
      <c r="H1555" s="21" t="str">
        <f aca="true">IF(E1555="","",ROUND((E1555-TODAY())/30.4,1))</f>
        <v/>
      </c>
      <c r="I1555" s="17" t="str">
        <f aca="false">IF(E1555="","",IF(H1555&lt;0,IF(LEFT(A1555,1)="Q","Périmé (en quarantaine)","PÉRIMÉ → déplacer en zone Q"),IF(H1555&lt;3,"Péremption &lt; 3 mois",IF(H1555&lt;6,"Péremption &lt; 6 mois",""))))</f>
        <v/>
      </c>
      <c r="J1555" s="17" t="str">
        <f aca="false">IF(A1555="","",IF(COUNTIF(Emplacements!$A$2:$A$1001,A1555)=0,"⚠ emplacement inconnu","OK"))</f>
        <v/>
      </c>
      <c r="K1555" s="22" t="str">
        <f aca="false">IF(AND(B1555&lt;&gt;"",ISNUMBER(SEARCH(Recherche!$C$3,C1555&amp;" "&amp;B1555&amp;" "&amp;A1555&amp;" "&amp;D1555))),MAX($K$1:K1554)+1,"")</f>
        <v/>
      </c>
    </row>
    <row r="1556" customFormat="false" ht="15" hidden="false" customHeight="false" outlineLevel="0" collapsed="false">
      <c r="A1556" s="12"/>
      <c r="B1556" s="12"/>
      <c r="C1556" s="17" t="str">
        <f aca="false">IF(B1556="","",IFERROR(INDEX(Produits!$F$2:$F$1001,MATCH(B1556,Produits!$A$2:$A$1001,0)),"⚠ code article inconnu"))</f>
        <v/>
      </c>
      <c r="D1556" s="12"/>
      <c r="E1556" s="23"/>
      <c r="F1556" s="24"/>
      <c r="G1556" s="23"/>
      <c r="H1556" s="21" t="str">
        <f aca="true">IF(E1556="","",ROUND((E1556-TODAY())/30.4,1))</f>
        <v/>
      </c>
      <c r="I1556" s="17" t="str">
        <f aca="false">IF(E1556="","",IF(H1556&lt;0,IF(LEFT(A1556,1)="Q","Périmé (en quarantaine)","PÉRIMÉ → déplacer en zone Q"),IF(H1556&lt;3,"Péremption &lt; 3 mois",IF(H1556&lt;6,"Péremption &lt; 6 mois",""))))</f>
        <v/>
      </c>
      <c r="J1556" s="17" t="str">
        <f aca="false">IF(A1556="","",IF(COUNTIF(Emplacements!$A$2:$A$1001,A1556)=0,"⚠ emplacement inconnu","OK"))</f>
        <v/>
      </c>
      <c r="K1556" s="22" t="str">
        <f aca="false">IF(AND(B1556&lt;&gt;"",ISNUMBER(SEARCH(Recherche!$C$3,C1556&amp;" "&amp;B1556&amp;" "&amp;A1556&amp;" "&amp;D1556))),MAX($K$1:K1555)+1,"")</f>
        <v/>
      </c>
    </row>
    <row r="1557" customFormat="false" ht="15" hidden="false" customHeight="false" outlineLevel="0" collapsed="false">
      <c r="A1557" s="12"/>
      <c r="B1557" s="12"/>
      <c r="C1557" s="17" t="str">
        <f aca="false">IF(B1557="","",IFERROR(INDEX(Produits!$F$2:$F$1001,MATCH(B1557,Produits!$A$2:$A$1001,0)),"⚠ code article inconnu"))</f>
        <v/>
      </c>
      <c r="D1557" s="12"/>
      <c r="E1557" s="23"/>
      <c r="F1557" s="24"/>
      <c r="G1557" s="23"/>
      <c r="H1557" s="21" t="str">
        <f aca="true">IF(E1557="","",ROUND((E1557-TODAY())/30.4,1))</f>
        <v/>
      </c>
      <c r="I1557" s="17" t="str">
        <f aca="false">IF(E1557="","",IF(H1557&lt;0,IF(LEFT(A1557,1)="Q","Périmé (en quarantaine)","PÉRIMÉ → déplacer en zone Q"),IF(H1557&lt;3,"Péremption &lt; 3 mois",IF(H1557&lt;6,"Péremption &lt; 6 mois",""))))</f>
        <v/>
      </c>
      <c r="J1557" s="17" t="str">
        <f aca="false">IF(A1557="","",IF(COUNTIF(Emplacements!$A$2:$A$1001,A1557)=0,"⚠ emplacement inconnu","OK"))</f>
        <v/>
      </c>
      <c r="K1557" s="22" t="str">
        <f aca="false">IF(AND(B1557&lt;&gt;"",ISNUMBER(SEARCH(Recherche!$C$3,C1557&amp;" "&amp;B1557&amp;" "&amp;A1557&amp;" "&amp;D1557))),MAX($K$1:K1556)+1,"")</f>
        <v/>
      </c>
    </row>
    <row r="1558" customFormat="false" ht="15" hidden="false" customHeight="false" outlineLevel="0" collapsed="false">
      <c r="A1558" s="12"/>
      <c r="B1558" s="12"/>
      <c r="C1558" s="17" t="str">
        <f aca="false">IF(B1558="","",IFERROR(INDEX(Produits!$F$2:$F$1001,MATCH(B1558,Produits!$A$2:$A$1001,0)),"⚠ code article inconnu"))</f>
        <v/>
      </c>
      <c r="D1558" s="12"/>
      <c r="E1558" s="23"/>
      <c r="F1558" s="24"/>
      <c r="G1558" s="23"/>
      <c r="H1558" s="21" t="str">
        <f aca="true">IF(E1558="","",ROUND((E1558-TODAY())/30.4,1))</f>
        <v/>
      </c>
      <c r="I1558" s="17" t="str">
        <f aca="false">IF(E1558="","",IF(H1558&lt;0,IF(LEFT(A1558,1)="Q","Périmé (en quarantaine)","PÉRIMÉ → déplacer en zone Q"),IF(H1558&lt;3,"Péremption &lt; 3 mois",IF(H1558&lt;6,"Péremption &lt; 6 mois",""))))</f>
        <v/>
      </c>
      <c r="J1558" s="17" t="str">
        <f aca="false">IF(A1558="","",IF(COUNTIF(Emplacements!$A$2:$A$1001,A1558)=0,"⚠ emplacement inconnu","OK"))</f>
        <v/>
      </c>
      <c r="K1558" s="22" t="str">
        <f aca="false">IF(AND(B1558&lt;&gt;"",ISNUMBER(SEARCH(Recherche!$C$3,C1558&amp;" "&amp;B1558&amp;" "&amp;A1558&amp;" "&amp;D1558))),MAX($K$1:K1557)+1,"")</f>
        <v/>
      </c>
    </row>
    <row r="1559" customFormat="false" ht="15" hidden="false" customHeight="false" outlineLevel="0" collapsed="false">
      <c r="A1559" s="12"/>
      <c r="B1559" s="12"/>
      <c r="C1559" s="17" t="str">
        <f aca="false">IF(B1559="","",IFERROR(INDEX(Produits!$F$2:$F$1001,MATCH(B1559,Produits!$A$2:$A$1001,0)),"⚠ code article inconnu"))</f>
        <v/>
      </c>
      <c r="D1559" s="12"/>
      <c r="E1559" s="23"/>
      <c r="F1559" s="24"/>
      <c r="G1559" s="23"/>
      <c r="H1559" s="21" t="str">
        <f aca="true">IF(E1559="","",ROUND((E1559-TODAY())/30.4,1))</f>
        <v/>
      </c>
      <c r="I1559" s="17" t="str">
        <f aca="false">IF(E1559="","",IF(H1559&lt;0,IF(LEFT(A1559,1)="Q","Périmé (en quarantaine)","PÉRIMÉ → déplacer en zone Q"),IF(H1559&lt;3,"Péremption &lt; 3 mois",IF(H1559&lt;6,"Péremption &lt; 6 mois",""))))</f>
        <v/>
      </c>
      <c r="J1559" s="17" t="str">
        <f aca="false">IF(A1559="","",IF(COUNTIF(Emplacements!$A$2:$A$1001,A1559)=0,"⚠ emplacement inconnu","OK"))</f>
        <v/>
      </c>
      <c r="K1559" s="22" t="str">
        <f aca="false">IF(AND(B1559&lt;&gt;"",ISNUMBER(SEARCH(Recherche!$C$3,C1559&amp;" "&amp;B1559&amp;" "&amp;A1559&amp;" "&amp;D1559))),MAX($K$1:K1558)+1,"")</f>
        <v/>
      </c>
    </row>
    <row r="1560" customFormat="false" ht="15" hidden="false" customHeight="false" outlineLevel="0" collapsed="false">
      <c r="A1560" s="12"/>
      <c r="B1560" s="12"/>
      <c r="C1560" s="17" t="str">
        <f aca="false">IF(B1560="","",IFERROR(INDEX(Produits!$F$2:$F$1001,MATCH(B1560,Produits!$A$2:$A$1001,0)),"⚠ code article inconnu"))</f>
        <v/>
      </c>
      <c r="D1560" s="12"/>
      <c r="E1560" s="23"/>
      <c r="F1560" s="24"/>
      <c r="G1560" s="23"/>
      <c r="H1560" s="21" t="str">
        <f aca="true">IF(E1560="","",ROUND((E1560-TODAY())/30.4,1))</f>
        <v/>
      </c>
      <c r="I1560" s="17" t="str">
        <f aca="false">IF(E1560="","",IF(H1560&lt;0,IF(LEFT(A1560,1)="Q","Périmé (en quarantaine)","PÉRIMÉ → déplacer en zone Q"),IF(H1560&lt;3,"Péremption &lt; 3 mois",IF(H1560&lt;6,"Péremption &lt; 6 mois",""))))</f>
        <v/>
      </c>
      <c r="J1560" s="17" t="str">
        <f aca="false">IF(A1560="","",IF(COUNTIF(Emplacements!$A$2:$A$1001,A1560)=0,"⚠ emplacement inconnu","OK"))</f>
        <v/>
      </c>
      <c r="K1560" s="22" t="str">
        <f aca="false">IF(AND(B1560&lt;&gt;"",ISNUMBER(SEARCH(Recherche!$C$3,C1560&amp;" "&amp;B1560&amp;" "&amp;A1560&amp;" "&amp;D1560))),MAX($K$1:K1559)+1,"")</f>
        <v/>
      </c>
    </row>
    <row r="1561" customFormat="false" ht="15" hidden="false" customHeight="false" outlineLevel="0" collapsed="false">
      <c r="A1561" s="12"/>
      <c r="B1561" s="12"/>
      <c r="C1561" s="17" t="str">
        <f aca="false">IF(B1561="","",IFERROR(INDEX(Produits!$F$2:$F$1001,MATCH(B1561,Produits!$A$2:$A$1001,0)),"⚠ code article inconnu"))</f>
        <v/>
      </c>
      <c r="D1561" s="12"/>
      <c r="E1561" s="23"/>
      <c r="F1561" s="24"/>
      <c r="G1561" s="23"/>
      <c r="H1561" s="21" t="str">
        <f aca="true">IF(E1561="","",ROUND((E1561-TODAY())/30.4,1))</f>
        <v/>
      </c>
      <c r="I1561" s="17" t="str">
        <f aca="false">IF(E1561="","",IF(H1561&lt;0,IF(LEFT(A1561,1)="Q","Périmé (en quarantaine)","PÉRIMÉ → déplacer en zone Q"),IF(H1561&lt;3,"Péremption &lt; 3 mois",IF(H1561&lt;6,"Péremption &lt; 6 mois",""))))</f>
        <v/>
      </c>
      <c r="J1561" s="17" t="str">
        <f aca="false">IF(A1561="","",IF(COUNTIF(Emplacements!$A$2:$A$1001,A1561)=0,"⚠ emplacement inconnu","OK"))</f>
        <v/>
      </c>
      <c r="K1561" s="22" t="str">
        <f aca="false">IF(AND(B1561&lt;&gt;"",ISNUMBER(SEARCH(Recherche!$C$3,C1561&amp;" "&amp;B1561&amp;" "&amp;A1561&amp;" "&amp;D1561))),MAX($K$1:K1560)+1,"")</f>
        <v/>
      </c>
    </row>
    <row r="1562" customFormat="false" ht="15" hidden="false" customHeight="false" outlineLevel="0" collapsed="false">
      <c r="A1562" s="12"/>
      <c r="B1562" s="12"/>
      <c r="C1562" s="17" t="str">
        <f aca="false">IF(B1562="","",IFERROR(INDEX(Produits!$F$2:$F$1001,MATCH(B1562,Produits!$A$2:$A$1001,0)),"⚠ code article inconnu"))</f>
        <v/>
      </c>
      <c r="D1562" s="12"/>
      <c r="E1562" s="23"/>
      <c r="F1562" s="24"/>
      <c r="G1562" s="23"/>
      <c r="H1562" s="21" t="str">
        <f aca="true">IF(E1562="","",ROUND((E1562-TODAY())/30.4,1))</f>
        <v/>
      </c>
      <c r="I1562" s="17" t="str">
        <f aca="false">IF(E1562="","",IF(H1562&lt;0,IF(LEFT(A1562,1)="Q","Périmé (en quarantaine)","PÉRIMÉ → déplacer en zone Q"),IF(H1562&lt;3,"Péremption &lt; 3 mois",IF(H1562&lt;6,"Péremption &lt; 6 mois",""))))</f>
        <v/>
      </c>
      <c r="J1562" s="17" t="str">
        <f aca="false">IF(A1562="","",IF(COUNTIF(Emplacements!$A$2:$A$1001,A1562)=0,"⚠ emplacement inconnu","OK"))</f>
        <v/>
      </c>
      <c r="K1562" s="22" t="str">
        <f aca="false">IF(AND(B1562&lt;&gt;"",ISNUMBER(SEARCH(Recherche!$C$3,C1562&amp;" "&amp;B1562&amp;" "&amp;A1562&amp;" "&amp;D1562))),MAX($K$1:K1561)+1,"")</f>
        <v/>
      </c>
    </row>
    <row r="1563" customFormat="false" ht="15" hidden="false" customHeight="false" outlineLevel="0" collapsed="false">
      <c r="A1563" s="12"/>
      <c r="B1563" s="12"/>
      <c r="C1563" s="17" t="str">
        <f aca="false">IF(B1563="","",IFERROR(INDEX(Produits!$F$2:$F$1001,MATCH(B1563,Produits!$A$2:$A$1001,0)),"⚠ code article inconnu"))</f>
        <v/>
      </c>
      <c r="D1563" s="12"/>
      <c r="E1563" s="23"/>
      <c r="F1563" s="24"/>
      <c r="G1563" s="23"/>
      <c r="H1563" s="21" t="str">
        <f aca="true">IF(E1563="","",ROUND((E1563-TODAY())/30.4,1))</f>
        <v/>
      </c>
      <c r="I1563" s="17" t="str">
        <f aca="false">IF(E1563="","",IF(H1563&lt;0,IF(LEFT(A1563,1)="Q","Périmé (en quarantaine)","PÉRIMÉ → déplacer en zone Q"),IF(H1563&lt;3,"Péremption &lt; 3 mois",IF(H1563&lt;6,"Péremption &lt; 6 mois",""))))</f>
        <v/>
      </c>
      <c r="J1563" s="17" t="str">
        <f aca="false">IF(A1563="","",IF(COUNTIF(Emplacements!$A$2:$A$1001,A1563)=0,"⚠ emplacement inconnu","OK"))</f>
        <v/>
      </c>
      <c r="K1563" s="22" t="str">
        <f aca="false">IF(AND(B1563&lt;&gt;"",ISNUMBER(SEARCH(Recherche!$C$3,C1563&amp;" "&amp;B1563&amp;" "&amp;A1563&amp;" "&amp;D1563))),MAX($K$1:K1562)+1,"")</f>
        <v/>
      </c>
    </row>
    <row r="1564" customFormat="false" ht="15" hidden="false" customHeight="false" outlineLevel="0" collapsed="false">
      <c r="A1564" s="12"/>
      <c r="B1564" s="12"/>
      <c r="C1564" s="17" t="str">
        <f aca="false">IF(B1564="","",IFERROR(INDEX(Produits!$F$2:$F$1001,MATCH(B1564,Produits!$A$2:$A$1001,0)),"⚠ code article inconnu"))</f>
        <v/>
      </c>
      <c r="D1564" s="12"/>
      <c r="E1564" s="23"/>
      <c r="F1564" s="24"/>
      <c r="G1564" s="23"/>
      <c r="H1564" s="21" t="str">
        <f aca="true">IF(E1564="","",ROUND((E1564-TODAY())/30.4,1))</f>
        <v/>
      </c>
      <c r="I1564" s="17" t="str">
        <f aca="false">IF(E1564="","",IF(H1564&lt;0,IF(LEFT(A1564,1)="Q","Périmé (en quarantaine)","PÉRIMÉ → déplacer en zone Q"),IF(H1564&lt;3,"Péremption &lt; 3 mois",IF(H1564&lt;6,"Péremption &lt; 6 mois",""))))</f>
        <v/>
      </c>
      <c r="J1564" s="17" t="str">
        <f aca="false">IF(A1564="","",IF(COUNTIF(Emplacements!$A$2:$A$1001,A1564)=0,"⚠ emplacement inconnu","OK"))</f>
        <v/>
      </c>
      <c r="K1564" s="22" t="str">
        <f aca="false">IF(AND(B1564&lt;&gt;"",ISNUMBER(SEARCH(Recherche!$C$3,C1564&amp;" "&amp;B1564&amp;" "&amp;A1564&amp;" "&amp;D1564))),MAX($K$1:K1563)+1,"")</f>
        <v/>
      </c>
    </row>
    <row r="1565" customFormat="false" ht="15" hidden="false" customHeight="false" outlineLevel="0" collapsed="false">
      <c r="A1565" s="12"/>
      <c r="B1565" s="12"/>
      <c r="C1565" s="17" t="str">
        <f aca="false">IF(B1565="","",IFERROR(INDEX(Produits!$F$2:$F$1001,MATCH(B1565,Produits!$A$2:$A$1001,0)),"⚠ code article inconnu"))</f>
        <v/>
      </c>
      <c r="D1565" s="12"/>
      <c r="E1565" s="23"/>
      <c r="F1565" s="24"/>
      <c r="G1565" s="23"/>
      <c r="H1565" s="21" t="str">
        <f aca="true">IF(E1565="","",ROUND((E1565-TODAY())/30.4,1))</f>
        <v/>
      </c>
      <c r="I1565" s="17" t="str">
        <f aca="false">IF(E1565="","",IF(H1565&lt;0,IF(LEFT(A1565,1)="Q","Périmé (en quarantaine)","PÉRIMÉ → déplacer en zone Q"),IF(H1565&lt;3,"Péremption &lt; 3 mois",IF(H1565&lt;6,"Péremption &lt; 6 mois",""))))</f>
        <v/>
      </c>
      <c r="J1565" s="17" t="str">
        <f aca="false">IF(A1565="","",IF(COUNTIF(Emplacements!$A$2:$A$1001,A1565)=0,"⚠ emplacement inconnu","OK"))</f>
        <v/>
      </c>
      <c r="K1565" s="22" t="str">
        <f aca="false">IF(AND(B1565&lt;&gt;"",ISNUMBER(SEARCH(Recherche!$C$3,C1565&amp;" "&amp;B1565&amp;" "&amp;A1565&amp;" "&amp;D1565))),MAX($K$1:K1564)+1,"")</f>
        <v/>
      </c>
    </row>
    <row r="1566" customFormat="false" ht="15" hidden="false" customHeight="false" outlineLevel="0" collapsed="false">
      <c r="A1566" s="12"/>
      <c r="B1566" s="12"/>
      <c r="C1566" s="17" t="str">
        <f aca="false">IF(B1566="","",IFERROR(INDEX(Produits!$F$2:$F$1001,MATCH(B1566,Produits!$A$2:$A$1001,0)),"⚠ code article inconnu"))</f>
        <v/>
      </c>
      <c r="D1566" s="12"/>
      <c r="E1566" s="23"/>
      <c r="F1566" s="24"/>
      <c r="G1566" s="23"/>
      <c r="H1566" s="21" t="str">
        <f aca="true">IF(E1566="","",ROUND((E1566-TODAY())/30.4,1))</f>
        <v/>
      </c>
      <c r="I1566" s="17" t="str">
        <f aca="false">IF(E1566="","",IF(H1566&lt;0,IF(LEFT(A1566,1)="Q","Périmé (en quarantaine)","PÉRIMÉ → déplacer en zone Q"),IF(H1566&lt;3,"Péremption &lt; 3 mois",IF(H1566&lt;6,"Péremption &lt; 6 mois",""))))</f>
        <v/>
      </c>
      <c r="J1566" s="17" t="str">
        <f aca="false">IF(A1566="","",IF(COUNTIF(Emplacements!$A$2:$A$1001,A1566)=0,"⚠ emplacement inconnu","OK"))</f>
        <v/>
      </c>
      <c r="K1566" s="22" t="str">
        <f aca="false">IF(AND(B1566&lt;&gt;"",ISNUMBER(SEARCH(Recherche!$C$3,C1566&amp;" "&amp;B1566&amp;" "&amp;A1566&amp;" "&amp;D1566))),MAX($K$1:K1565)+1,"")</f>
        <v/>
      </c>
    </row>
    <row r="1567" customFormat="false" ht="15" hidden="false" customHeight="false" outlineLevel="0" collapsed="false">
      <c r="A1567" s="12"/>
      <c r="B1567" s="12"/>
      <c r="C1567" s="17" t="str">
        <f aca="false">IF(B1567="","",IFERROR(INDEX(Produits!$F$2:$F$1001,MATCH(B1567,Produits!$A$2:$A$1001,0)),"⚠ code article inconnu"))</f>
        <v/>
      </c>
      <c r="D1567" s="12"/>
      <c r="E1567" s="23"/>
      <c r="F1567" s="24"/>
      <c r="G1567" s="23"/>
      <c r="H1567" s="21" t="str">
        <f aca="true">IF(E1567="","",ROUND((E1567-TODAY())/30.4,1))</f>
        <v/>
      </c>
      <c r="I1567" s="17" t="str">
        <f aca="false">IF(E1567="","",IF(H1567&lt;0,IF(LEFT(A1567,1)="Q","Périmé (en quarantaine)","PÉRIMÉ → déplacer en zone Q"),IF(H1567&lt;3,"Péremption &lt; 3 mois",IF(H1567&lt;6,"Péremption &lt; 6 mois",""))))</f>
        <v/>
      </c>
      <c r="J1567" s="17" t="str">
        <f aca="false">IF(A1567="","",IF(COUNTIF(Emplacements!$A$2:$A$1001,A1567)=0,"⚠ emplacement inconnu","OK"))</f>
        <v/>
      </c>
      <c r="K1567" s="22" t="str">
        <f aca="false">IF(AND(B1567&lt;&gt;"",ISNUMBER(SEARCH(Recherche!$C$3,C1567&amp;" "&amp;B1567&amp;" "&amp;A1567&amp;" "&amp;D1567))),MAX($K$1:K1566)+1,"")</f>
        <v/>
      </c>
    </row>
    <row r="1568" customFormat="false" ht="15" hidden="false" customHeight="false" outlineLevel="0" collapsed="false">
      <c r="A1568" s="12"/>
      <c r="B1568" s="12"/>
      <c r="C1568" s="17" t="str">
        <f aca="false">IF(B1568="","",IFERROR(INDEX(Produits!$F$2:$F$1001,MATCH(B1568,Produits!$A$2:$A$1001,0)),"⚠ code article inconnu"))</f>
        <v/>
      </c>
      <c r="D1568" s="12"/>
      <c r="E1568" s="23"/>
      <c r="F1568" s="24"/>
      <c r="G1568" s="23"/>
      <c r="H1568" s="21" t="str">
        <f aca="true">IF(E1568="","",ROUND((E1568-TODAY())/30.4,1))</f>
        <v/>
      </c>
      <c r="I1568" s="17" t="str">
        <f aca="false">IF(E1568="","",IF(H1568&lt;0,IF(LEFT(A1568,1)="Q","Périmé (en quarantaine)","PÉRIMÉ → déplacer en zone Q"),IF(H1568&lt;3,"Péremption &lt; 3 mois",IF(H1568&lt;6,"Péremption &lt; 6 mois",""))))</f>
        <v/>
      </c>
      <c r="J1568" s="17" t="str">
        <f aca="false">IF(A1568="","",IF(COUNTIF(Emplacements!$A$2:$A$1001,A1568)=0,"⚠ emplacement inconnu","OK"))</f>
        <v/>
      </c>
      <c r="K1568" s="22" t="str">
        <f aca="false">IF(AND(B1568&lt;&gt;"",ISNUMBER(SEARCH(Recherche!$C$3,C1568&amp;" "&amp;B1568&amp;" "&amp;A1568&amp;" "&amp;D1568))),MAX($K$1:K1567)+1,"")</f>
        <v/>
      </c>
    </row>
    <row r="1569" customFormat="false" ht="15" hidden="false" customHeight="false" outlineLevel="0" collapsed="false">
      <c r="A1569" s="12"/>
      <c r="B1569" s="12"/>
      <c r="C1569" s="17" t="str">
        <f aca="false">IF(B1569="","",IFERROR(INDEX(Produits!$F$2:$F$1001,MATCH(B1569,Produits!$A$2:$A$1001,0)),"⚠ code article inconnu"))</f>
        <v/>
      </c>
      <c r="D1569" s="12"/>
      <c r="E1569" s="23"/>
      <c r="F1569" s="24"/>
      <c r="G1569" s="23"/>
      <c r="H1569" s="21" t="str">
        <f aca="true">IF(E1569="","",ROUND((E1569-TODAY())/30.4,1))</f>
        <v/>
      </c>
      <c r="I1569" s="17" t="str">
        <f aca="false">IF(E1569="","",IF(H1569&lt;0,IF(LEFT(A1569,1)="Q","Périmé (en quarantaine)","PÉRIMÉ → déplacer en zone Q"),IF(H1569&lt;3,"Péremption &lt; 3 mois",IF(H1569&lt;6,"Péremption &lt; 6 mois",""))))</f>
        <v/>
      </c>
      <c r="J1569" s="17" t="str">
        <f aca="false">IF(A1569="","",IF(COUNTIF(Emplacements!$A$2:$A$1001,A1569)=0,"⚠ emplacement inconnu","OK"))</f>
        <v/>
      </c>
      <c r="K1569" s="22" t="str">
        <f aca="false">IF(AND(B1569&lt;&gt;"",ISNUMBER(SEARCH(Recherche!$C$3,C1569&amp;" "&amp;B1569&amp;" "&amp;A1569&amp;" "&amp;D1569))),MAX($K$1:K1568)+1,"")</f>
        <v/>
      </c>
    </row>
    <row r="1570" customFormat="false" ht="15" hidden="false" customHeight="false" outlineLevel="0" collapsed="false">
      <c r="A1570" s="12"/>
      <c r="B1570" s="12"/>
      <c r="C1570" s="17" t="str">
        <f aca="false">IF(B1570="","",IFERROR(INDEX(Produits!$F$2:$F$1001,MATCH(B1570,Produits!$A$2:$A$1001,0)),"⚠ code article inconnu"))</f>
        <v/>
      </c>
      <c r="D1570" s="12"/>
      <c r="E1570" s="23"/>
      <c r="F1570" s="24"/>
      <c r="G1570" s="23"/>
      <c r="H1570" s="21" t="str">
        <f aca="true">IF(E1570="","",ROUND((E1570-TODAY())/30.4,1))</f>
        <v/>
      </c>
      <c r="I1570" s="17" t="str">
        <f aca="false">IF(E1570="","",IF(H1570&lt;0,IF(LEFT(A1570,1)="Q","Périmé (en quarantaine)","PÉRIMÉ → déplacer en zone Q"),IF(H1570&lt;3,"Péremption &lt; 3 mois",IF(H1570&lt;6,"Péremption &lt; 6 mois",""))))</f>
        <v/>
      </c>
      <c r="J1570" s="17" t="str">
        <f aca="false">IF(A1570="","",IF(COUNTIF(Emplacements!$A$2:$A$1001,A1570)=0,"⚠ emplacement inconnu","OK"))</f>
        <v/>
      </c>
      <c r="K1570" s="22" t="str">
        <f aca="false">IF(AND(B1570&lt;&gt;"",ISNUMBER(SEARCH(Recherche!$C$3,C1570&amp;" "&amp;B1570&amp;" "&amp;A1570&amp;" "&amp;D1570))),MAX($K$1:K1569)+1,"")</f>
        <v/>
      </c>
    </row>
    <row r="1571" customFormat="false" ht="15" hidden="false" customHeight="false" outlineLevel="0" collapsed="false">
      <c r="A1571" s="12"/>
      <c r="B1571" s="12"/>
      <c r="C1571" s="17" t="str">
        <f aca="false">IF(B1571="","",IFERROR(INDEX(Produits!$F$2:$F$1001,MATCH(B1571,Produits!$A$2:$A$1001,0)),"⚠ code article inconnu"))</f>
        <v/>
      </c>
      <c r="D1571" s="12"/>
      <c r="E1571" s="23"/>
      <c r="F1571" s="24"/>
      <c r="G1571" s="23"/>
      <c r="H1571" s="21" t="str">
        <f aca="true">IF(E1571="","",ROUND((E1571-TODAY())/30.4,1))</f>
        <v/>
      </c>
      <c r="I1571" s="17" t="str">
        <f aca="false">IF(E1571="","",IF(H1571&lt;0,IF(LEFT(A1571,1)="Q","Périmé (en quarantaine)","PÉRIMÉ → déplacer en zone Q"),IF(H1571&lt;3,"Péremption &lt; 3 mois",IF(H1571&lt;6,"Péremption &lt; 6 mois",""))))</f>
        <v/>
      </c>
      <c r="J1571" s="17" t="str">
        <f aca="false">IF(A1571="","",IF(COUNTIF(Emplacements!$A$2:$A$1001,A1571)=0,"⚠ emplacement inconnu","OK"))</f>
        <v/>
      </c>
      <c r="K1571" s="22" t="str">
        <f aca="false">IF(AND(B1571&lt;&gt;"",ISNUMBER(SEARCH(Recherche!$C$3,C1571&amp;" "&amp;B1571&amp;" "&amp;A1571&amp;" "&amp;D1571))),MAX($K$1:K1570)+1,"")</f>
        <v/>
      </c>
    </row>
    <row r="1572" customFormat="false" ht="15" hidden="false" customHeight="false" outlineLevel="0" collapsed="false">
      <c r="A1572" s="12"/>
      <c r="B1572" s="12"/>
      <c r="C1572" s="17" t="str">
        <f aca="false">IF(B1572="","",IFERROR(INDEX(Produits!$F$2:$F$1001,MATCH(B1572,Produits!$A$2:$A$1001,0)),"⚠ code article inconnu"))</f>
        <v/>
      </c>
      <c r="D1572" s="12"/>
      <c r="E1572" s="23"/>
      <c r="F1572" s="24"/>
      <c r="G1572" s="23"/>
      <c r="H1572" s="21" t="str">
        <f aca="true">IF(E1572="","",ROUND((E1572-TODAY())/30.4,1))</f>
        <v/>
      </c>
      <c r="I1572" s="17" t="str">
        <f aca="false">IF(E1572="","",IF(H1572&lt;0,IF(LEFT(A1572,1)="Q","Périmé (en quarantaine)","PÉRIMÉ → déplacer en zone Q"),IF(H1572&lt;3,"Péremption &lt; 3 mois",IF(H1572&lt;6,"Péremption &lt; 6 mois",""))))</f>
        <v/>
      </c>
      <c r="J1572" s="17" t="str">
        <f aca="false">IF(A1572="","",IF(COUNTIF(Emplacements!$A$2:$A$1001,A1572)=0,"⚠ emplacement inconnu","OK"))</f>
        <v/>
      </c>
      <c r="K1572" s="22" t="str">
        <f aca="false">IF(AND(B1572&lt;&gt;"",ISNUMBER(SEARCH(Recherche!$C$3,C1572&amp;" "&amp;B1572&amp;" "&amp;A1572&amp;" "&amp;D1572))),MAX($K$1:K1571)+1,"")</f>
        <v/>
      </c>
    </row>
    <row r="1573" customFormat="false" ht="15" hidden="false" customHeight="false" outlineLevel="0" collapsed="false">
      <c r="A1573" s="12"/>
      <c r="B1573" s="12"/>
      <c r="C1573" s="17" t="str">
        <f aca="false">IF(B1573="","",IFERROR(INDEX(Produits!$F$2:$F$1001,MATCH(B1573,Produits!$A$2:$A$1001,0)),"⚠ code article inconnu"))</f>
        <v/>
      </c>
      <c r="D1573" s="12"/>
      <c r="E1573" s="23"/>
      <c r="F1573" s="24"/>
      <c r="G1573" s="23"/>
      <c r="H1573" s="21" t="str">
        <f aca="true">IF(E1573="","",ROUND((E1573-TODAY())/30.4,1))</f>
        <v/>
      </c>
      <c r="I1573" s="17" t="str">
        <f aca="false">IF(E1573="","",IF(H1573&lt;0,IF(LEFT(A1573,1)="Q","Périmé (en quarantaine)","PÉRIMÉ → déplacer en zone Q"),IF(H1573&lt;3,"Péremption &lt; 3 mois",IF(H1573&lt;6,"Péremption &lt; 6 mois",""))))</f>
        <v/>
      </c>
      <c r="J1573" s="17" t="str">
        <f aca="false">IF(A1573="","",IF(COUNTIF(Emplacements!$A$2:$A$1001,A1573)=0,"⚠ emplacement inconnu","OK"))</f>
        <v/>
      </c>
      <c r="K1573" s="22" t="str">
        <f aca="false">IF(AND(B1573&lt;&gt;"",ISNUMBER(SEARCH(Recherche!$C$3,C1573&amp;" "&amp;B1573&amp;" "&amp;A1573&amp;" "&amp;D1573))),MAX($K$1:K1572)+1,"")</f>
        <v/>
      </c>
    </row>
    <row r="1574" customFormat="false" ht="15" hidden="false" customHeight="false" outlineLevel="0" collapsed="false">
      <c r="A1574" s="12"/>
      <c r="B1574" s="12"/>
      <c r="C1574" s="17" t="str">
        <f aca="false">IF(B1574="","",IFERROR(INDEX(Produits!$F$2:$F$1001,MATCH(B1574,Produits!$A$2:$A$1001,0)),"⚠ code article inconnu"))</f>
        <v/>
      </c>
      <c r="D1574" s="12"/>
      <c r="E1574" s="23"/>
      <c r="F1574" s="24"/>
      <c r="G1574" s="23"/>
      <c r="H1574" s="21" t="str">
        <f aca="true">IF(E1574="","",ROUND((E1574-TODAY())/30.4,1))</f>
        <v/>
      </c>
      <c r="I1574" s="17" t="str">
        <f aca="false">IF(E1574="","",IF(H1574&lt;0,IF(LEFT(A1574,1)="Q","Périmé (en quarantaine)","PÉRIMÉ → déplacer en zone Q"),IF(H1574&lt;3,"Péremption &lt; 3 mois",IF(H1574&lt;6,"Péremption &lt; 6 mois",""))))</f>
        <v/>
      </c>
      <c r="J1574" s="17" t="str">
        <f aca="false">IF(A1574="","",IF(COUNTIF(Emplacements!$A$2:$A$1001,A1574)=0,"⚠ emplacement inconnu","OK"))</f>
        <v/>
      </c>
      <c r="K1574" s="22" t="str">
        <f aca="false">IF(AND(B1574&lt;&gt;"",ISNUMBER(SEARCH(Recherche!$C$3,C1574&amp;" "&amp;B1574&amp;" "&amp;A1574&amp;" "&amp;D1574))),MAX($K$1:K1573)+1,"")</f>
        <v/>
      </c>
    </row>
    <row r="1575" customFormat="false" ht="15" hidden="false" customHeight="false" outlineLevel="0" collapsed="false">
      <c r="A1575" s="12"/>
      <c r="B1575" s="12"/>
      <c r="C1575" s="17" t="str">
        <f aca="false">IF(B1575="","",IFERROR(INDEX(Produits!$F$2:$F$1001,MATCH(B1575,Produits!$A$2:$A$1001,0)),"⚠ code article inconnu"))</f>
        <v/>
      </c>
      <c r="D1575" s="12"/>
      <c r="E1575" s="23"/>
      <c r="F1575" s="24"/>
      <c r="G1575" s="23"/>
      <c r="H1575" s="21" t="str">
        <f aca="true">IF(E1575="","",ROUND((E1575-TODAY())/30.4,1))</f>
        <v/>
      </c>
      <c r="I1575" s="17" t="str">
        <f aca="false">IF(E1575="","",IF(H1575&lt;0,IF(LEFT(A1575,1)="Q","Périmé (en quarantaine)","PÉRIMÉ → déplacer en zone Q"),IF(H1575&lt;3,"Péremption &lt; 3 mois",IF(H1575&lt;6,"Péremption &lt; 6 mois",""))))</f>
        <v/>
      </c>
      <c r="J1575" s="17" t="str">
        <f aca="false">IF(A1575="","",IF(COUNTIF(Emplacements!$A$2:$A$1001,A1575)=0,"⚠ emplacement inconnu","OK"))</f>
        <v/>
      </c>
      <c r="K1575" s="22" t="str">
        <f aca="false">IF(AND(B1575&lt;&gt;"",ISNUMBER(SEARCH(Recherche!$C$3,C1575&amp;" "&amp;B1575&amp;" "&amp;A1575&amp;" "&amp;D1575))),MAX($K$1:K1574)+1,"")</f>
        <v/>
      </c>
    </row>
    <row r="1576" customFormat="false" ht="15" hidden="false" customHeight="false" outlineLevel="0" collapsed="false">
      <c r="A1576" s="12"/>
      <c r="B1576" s="12"/>
      <c r="C1576" s="17" t="str">
        <f aca="false">IF(B1576="","",IFERROR(INDEX(Produits!$F$2:$F$1001,MATCH(B1576,Produits!$A$2:$A$1001,0)),"⚠ code article inconnu"))</f>
        <v/>
      </c>
      <c r="D1576" s="12"/>
      <c r="E1576" s="23"/>
      <c r="F1576" s="24"/>
      <c r="G1576" s="23"/>
      <c r="H1576" s="21" t="str">
        <f aca="true">IF(E1576="","",ROUND((E1576-TODAY())/30.4,1))</f>
        <v/>
      </c>
      <c r="I1576" s="17" t="str">
        <f aca="false">IF(E1576="","",IF(H1576&lt;0,IF(LEFT(A1576,1)="Q","Périmé (en quarantaine)","PÉRIMÉ → déplacer en zone Q"),IF(H1576&lt;3,"Péremption &lt; 3 mois",IF(H1576&lt;6,"Péremption &lt; 6 mois",""))))</f>
        <v/>
      </c>
      <c r="J1576" s="17" t="str">
        <f aca="false">IF(A1576="","",IF(COUNTIF(Emplacements!$A$2:$A$1001,A1576)=0,"⚠ emplacement inconnu","OK"))</f>
        <v/>
      </c>
      <c r="K1576" s="22" t="str">
        <f aca="false">IF(AND(B1576&lt;&gt;"",ISNUMBER(SEARCH(Recherche!$C$3,C1576&amp;" "&amp;B1576&amp;" "&amp;A1576&amp;" "&amp;D1576))),MAX($K$1:K1575)+1,"")</f>
        <v/>
      </c>
    </row>
    <row r="1577" customFormat="false" ht="15" hidden="false" customHeight="false" outlineLevel="0" collapsed="false">
      <c r="A1577" s="12"/>
      <c r="B1577" s="12"/>
      <c r="C1577" s="17" t="str">
        <f aca="false">IF(B1577="","",IFERROR(INDEX(Produits!$F$2:$F$1001,MATCH(B1577,Produits!$A$2:$A$1001,0)),"⚠ code article inconnu"))</f>
        <v/>
      </c>
      <c r="D1577" s="12"/>
      <c r="E1577" s="23"/>
      <c r="F1577" s="24"/>
      <c r="G1577" s="23"/>
      <c r="H1577" s="21" t="str">
        <f aca="true">IF(E1577="","",ROUND((E1577-TODAY())/30.4,1))</f>
        <v/>
      </c>
      <c r="I1577" s="17" t="str">
        <f aca="false">IF(E1577="","",IF(H1577&lt;0,IF(LEFT(A1577,1)="Q","Périmé (en quarantaine)","PÉRIMÉ → déplacer en zone Q"),IF(H1577&lt;3,"Péremption &lt; 3 mois",IF(H1577&lt;6,"Péremption &lt; 6 mois",""))))</f>
        <v/>
      </c>
      <c r="J1577" s="17" t="str">
        <f aca="false">IF(A1577="","",IF(COUNTIF(Emplacements!$A$2:$A$1001,A1577)=0,"⚠ emplacement inconnu","OK"))</f>
        <v/>
      </c>
      <c r="K1577" s="22" t="str">
        <f aca="false">IF(AND(B1577&lt;&gt;"",ISNUMBER(SEARCH(Recherche!$C$3,C1577&amp;" "&amp;B1577&amp;" "&amp;A1577&amp;" "&amp;D1577))),MAX($K$1:K1576)+1,"")</f>
        <v/>
      </c>
    </row>
    <row r="1578" customFormat="false" ht="15" hidden="false" customHeight="false" outlineLevel="0" collapsed="false">
      <c r="A1578" s="12"/>
      <c r="B1578" s="12"/>
      <c r="C1578" s="17" t="str">
        <f aca="false">IF(B1578="","",IFERROR(INDEX(Produits!$F$2:$F$1001,MATCH(B1578,Produits!$A$2:$A$1001,0)),"⚠ code article inconnu"))</f>
        <v/>
      </c>
      <c r="D1578" s="12"/>
      <c r="E1578" s="23"/>
      <c r="F1578" s="24"/>
      <c r="G1578" s="23"/>
      <c r="H1578" s="21" t="str">
        <f aca="true">IF(E1578="","",ROUND((E1578-TODAY())/30.4,1))</f>
        <v/>
      </c>
      <c r="I1578" s="17" t="str">
        <f aca="false">IF(E1578="","",IF(H1578&lt;0,IF(LEFT(A1578,1)="Q","Périmé (en quarantaine)","PÉRIMÉ → déplacer en zone Q"),IF(H1578&lt;3,"Péremption &lt; 3 mois",IF(H1578&lt;6,"Péremption &lt; 6 mois",""))))</f>
        <v/>
      </c>
      <c r="J1578" s="17" t="str">
        <f aca="false">IF(A1578="","",IF(COUNTIF(Emplacements!$A$2:$A$1001,A1578)=0,"⚠ emplacement inconnu","OK"))</f>
        <v/>
      </c>
      <c r="K1578" s="22" t="str">
        <f aca="false">IF(AND(B1578&lt;&gt;"",ISNUMBER(SEARCH(Recherche!$C$3,C1578&amp;" "&amp;B1578&amp;" "&amp;A1578&amp;" "&amp;D1578))),MAX($K$1:K1577)+1,"")</f>
        <v/>
      </c>
    </row>
    <row r="1579" customFormat="false" ht="15" hidden="false" customHeight="false" outlineLevel="0" collapsed="false">
      <c r="A1579" s="12"/>
      <c r="B1579" s="12"/>
      <c r="C1579" s="17" t="str">
        <f aca="false">IF(B1579="","",IFERROR(INDEX(Produits!$F$2:$F$1001,MATCH(B1579,Produits!$A$2:$A$1001,0)),"⚠ code article inconnu"))</f>
        <v/>
      </c>
      <c r="D1579" s="12"/>
      <c r="E1579" s="23"/>
      <c r="F1579" s="24"/>
      <c r="G1579" s="23"/>
      <c r="H1579" s="21" t="str">
        <f aca="true">IF(E1579="","",ROUND((E1579-TODAY())/30.4,1))</f>
        <v/>
      </c>
      <c r="I1579" s="17" t="str">
        <f aca="false">IF(E1579="","",IF(H1579&lt;0,IF(LEFT(A1579,1)="Q","Périmé (en quarantaine)","PÉRIMÉ → déplacer en zone Q"),IF(H1579&lt;3,"Péremption &lt; 3 mois",IF(H1579&lt;6,"Péremption &lt; 6 mois",""))))</f>
        <v/>
      </c>
      <c r="J1579" s="17" t="str">
        <f aca="false">IF(A1579="","",IF(COUNTIF(Emplacements!$A$2:$A$1001,A1579)=0,"⚠ emplacement inconnu","OK"))</f>
        <v/>
      </c>
      <c r="K1579" s="22" t="str">
        <f aca="false">IF(AND(B1579&lt;&gt;"",ISNUMBER(SEARCH(Recherche!$C$3,C1579&amp;" "&amp;B1579&amp;" "&amp;A1579&amp;" "&amp;D1579))),MAX($K$1:K1578)+1,"")</f>
        <v/>
      </c>
    </row>
    <row r="1580" customFormat="false" ht="15" hidden="false" customHeight="false" outlineLevel="0" collapsed="false">
      <c r="A1580" s="12"/>
      <c r="B1580" s="12"/>
      <c r="C1580" s="17" t="str">
        <f aca="false">IF(B1580="","",IFERROR(INDEX(Produits!$F$2:$F$1001,MATCH(B1580,Produits!$A$2:$A$1001,0)),"⚠ code article inconnu"))</f>
        <v/>
      </c>
      <c r="D1580" s="12"/>
      <c r="E1580" s="23"/>
      <c r="F1580" s="24"/>
      <c r="G1580" s="23"/>
      <c r="H1580" s="21" t="str">
        <f aca="true">IF(E1580="","",ROUND((E1580-TODAY())/30.4,1))</f>
        <v/>
      </c>
      <c r="I1580" s="17" t="str">
        <f aca="false">IF(E1580="","",IF(H1580&lt;0,IF(LEFT(A1580,1)="Q","Périmé (en quarantaine)","PÉRIMÉ → déplacer en zone Q"),IF(H1580&lt;3,"Péremption &lt; 3 mois",IF(H1580&lt;6,"Péremption &lt; 6 mois",""))))</f>
        <v/>
      </c>
      <c r="J1580" s="17" t="str">
        <f aca="false">IF(A1580="","",IF(COUNTIF(Emplacements!$A$2:$A$1001,A1580)=0,"⚠ emplacement inconnu","OK"))</f>
        <v/>
      </c>
      <c r="K1580" s="22" t="str">
        <f aca="false">IF(AND(B1580&lt;&gt;"",ISNUMBER(SEARCH(Recherche!$C$3,C1580&amp;" "&amp;B1580&amp;" "&amp;A1580&amp;" "&amp;D1580))),MAX($K$1:K1579)+1,"")</f>
        <v/>
      </c>
    </row>
    <row r="1581" customFormat="false" ht="15" hidden="false" customHeight="false" outlineLevel="0" collapsed="false">
      <c r="A1581" s="12"/>
      <c r="B1581" s="12"/>
      <c r="C1581" s="17" t="str">
        <f aca="false">IF(B1581="","",IFERROR(INDEX(Produits!$F$2:$F$1001,MATCH(B1581,Produits!$A$2:$A$1001,0)),"⚠ code article inconnu"))</f>
        <v/>
      </c>
      <c r="D1581" s="12"/>
      <c r="E1581" s="23"/>
      <c r="F1581" s="24"/>
      <c r="G1581" s="23"/>
      <c r="H1581" s="21" t="str">
        <f aca="true">IF(E1581="","",ROUND((E1581-TODAY())/30.4,1))</f>
        <v/>
      </c>
      <c r="I1581" s="17" t="str">
        <f aca="false">IF(E1581="","",IF(H1581&lt;0,IF(LEFT(A1581,1)="Q","Périmé (en quarantaine)","PÉRIMÉ → déplacer en zone Q"),IF(H1581&lt;3,"Péremption &lt; 3 mois",IF(H1581&lt;6,"Péremption &lt; 6 mois",""))))</f>
        <v/>
      </c>
      <c r="J1581" s="17" t="str">
        <f aca="false">IF(A1581="","",IF(COUNTIF(Emplacements!$A$2:$A$1001,A1581)=0,"⚠ emplacement inconnu","OK"))</f>
        <v/>
      </c>
      <c r="K1581" s="22" t="str">
        <f aca="false">IF(AND(B1581&lt;&gt;"",ISNUMBER(SEARCH(Recherche!$C$3,C1581&amp;" "&amp;B1581&amp;" "&amp;A1581&amp;" "&amp;D1581))),MAX($K$1:K1580)+1,"")</f>
        <v/>
      </c>
    </row>
    <row r="1582" customFormat="false" ht="15" hidden="false" customHeight="false" outlineLevel="0" collapsed="false">
      <c r="A1582" s="12"/>
      <c r="B1582" s="12"/>
      <c r="C1582" s="17" t="str">
        <f aca="false">IF(B1582="","",IFERROR(INDEX(Produits!$F$2:$F$1001,MATCH(B1582,Produits!$A$2:$A$1001,0)),"⚠ code article inconnu"))</f>
        <v/>
      </c>
      <c r="D1582" s="12"/>
      <c r="E1582" s="23"/>
      <c r="F1582" s="24"/>
      <c r="G1582" s="23"/>
      <c r="H1582" s="21" t="str">
        <f aca="true">IF(E1582="","",ROUND((E1582-TODAY())/30.4,1))</f>
        <v/>
      </c>
      <c r="I1582" s="17" t="str">
        <f aca="false">IF(E1582="","",IF(H1582&lt;0,IF(LEFT(A1582,1)="Q","Périmé (en quarantaine)","PÉRIMÉ → déplacer en zone Q"),IF(H1582&lt;3,"Péremption &lt; 3 mois",IF(H1582&lt;6,"Péremption &lt; 6 mois",""))))</f>
        <v/>
      </c>
      <c r="J1582" s="17" t="str">
        <f aca="false">IF(A1582="","",IF(COUNTIF(Emplacements!$A$2:$A$1001,A1582)=0,"⚠ emplacement inconnu","OK"))</f>
        <v/>
      </c>
      <c r="K1582" s="22" t="str">
        <f aca="false">IF(AND(B1582&lt;&gt;"",ISNUMBER(SEARCH(Recherche!$C$3,C1582&amp;" "&amp;B1582&amp;" "&amp;A1582&amp;" "&amp;D1582))),MAX($K$1:K1581)+1,"")</f>
        <v/>
      </c>
    </row>
    <row r="1583" customFormat="false" ht="15" hidden="false" customHeight="false" outlineLevel="0" collapsed="false">
      <c r="A1583" s="12"/>
      <c r="B1583" s="12"/>
      <c r="C1583" s="17" t="str">
        <f aca="false">IF(B1583="","",IFERROR(INDEX(Produits!$F$2:$F$1001,MATCH(B1583,Produits!$A$2:$A$1001,0)),"⚠ code article inconnu"))</f>
        <v/>
      </c>
      <c r="D1583" s="12"/>
      <c r="E1583" s="23"/>
      <c r="F1583" s="24"/>
      <c r="G1583" s="23"/>
      <c r="H1583" s="21" t="str">
        <f aca="true">IF(E1583="","",ROUND((E1583-TODAY())/30.4,1))</f>
        <v/>
      </c>
      <c r="I1583" s="17" t="str">
        <f aca="false">IF(E1583="","",IF(H1583&lt;0,IF(LEFT(A1583,1)="Q","Périmé (en quarantaine)","PÉRIMÉ → déplacer en zone Q"),IF(H1583&lt;3,"Péremption &lt; 3 mois",IF(H1583&lt;6,"Péremption &lt; 6 mois",""))))</f>
        <v/>
      </c>
      <c r="J1583" s="17" t="str">
        <f aca="false">IF(A1583="","",IF(COUNTIF(Emplacements!$A$2:$A$1001,A1583)=0,"⚠ emplacement inconnu","OK"))</f>
        <v/>
      </c>
      <c r="K1583" s="22" t="str">
        <f aca="false">IF(AND(B1583&lt;&gt;"",ISNUMBER(SEARCH(Recherche!$C$3,C1583&amp;" "&amp;B1583&amp;" "&amp;A1583&amp;" "&amp;D1583))),MAX($K$1:K1582)+1,"")</f>
        <v/>
      </c>
    </row>
    <row r="1584" customFormat="false" ht="15" hidden="false" customHeight="false" outlineLevel="0" collapsed="false">
      <c r="A1584" s="12"/>
      <c r="B1584" s="12"/>
      <c r="C1584" s="17" t="str">
        <f aca="false">IF(B1584="","",IFERROR(INDEX(Produits!$F$2:$F$1001,MATCH(B1584,Produits!$A$2:$A$1001,0)),"⚠ code article inconnu"))</f>
        <v/>
      </c>
      <c r="D1584" s="12"/>
      <c r="E1584" s="23"/>
      <c r="F1584" s="24"/>
      <c r="G1584" s="23"/>
      <c r="H1584" s="21" t="str">
        <f aca="true">IF(E1584="","",ROUND((E1584-TODAY())/30.4,1))</f>
        <v/>
      </c>
      <c r="I1584" s="17" t="str">
        <f aca="false">IF(E1584="","",IF(H1584&lt;0,IF(LEFT(A1584,1)="Q","Périmé (en quarantaine)","PÉRIMÉ → déplacer en zone Q"),IF(H1584&lt;3,"Péremption &lt; 3 mois",IF(H1584&lt;6,"Péremption &lt; 6 mois",""))))</f>
        <v/>
      </c>
      <c r="J1584" s="17" t="str">
        <f aca="false">IF(A1584="","",IF(COUNTIF(Emplacements!$A$2:$A$1001,A1584)=0,"⚠ emplacement inconnu","OK"))</f>
        <v/>
      </c>
      <c r="K1584" s="22" t="str">
        <f aca="false">IF(AND(B1584&lt;&gt;"",ISNUMBER(SEARCH(Recherche!$C$3,C1584&amp;" "&amp;B1584&amp;" "&amp;A1584&amp;" "&amp;D1584))),MAX($K$1:K1583)+1,"")</f>
        <v/>
      </c>
    </row>
    <row r="1585" customFormat="false" ht="15" hidden="false" customHeight="false" outlineLevel="0" collapsed="false">
      <c r="A1585" s="12"/>
      <c r="B1585" s="12"/>
      <c r="C1585" s="17" t="str">
        <f aca="false">IF(B1585="","",IFERROR(INDEX(Produits!$F$2:$F$1001,MATCH(B1585,Produits!$A$2:$A$1001,0)),"⚠ code article inconnu"))</f>
        <v/>
      </c>
      <c r="D1585" s="12"/>
      <c r="E1585" s="23"/>
      <c r="F1585" s="24"/>
      <c r="G1585" s="23"/>
      <c r="H1585" s="21" t="str">
        <f aca="true">IF(E1585="","",ROUND((E1585-TODAY())/30.4,1))</f>
        <v/>
      </c>
      <c r="I1585" s="17" t="str">
        <f aca="false">IF(E1585="","",IF(H1585&lt;0,IF(LEFT(A1585,1)="Q","Périmé (en quarantaine)","PÉRIMÉ → déplacer en zone Q"),IF(H1585&lt;3,"Péremption &lt; 3 mois",IF(H1585&lt;6,"Péremption &lt; 6 mois",""))))</f>
        <v/>
      </c>
      <c r="J1585" s="17" t="str">
        <f aca="false">IF(A1585="","",IF(COUNTIF(Emplacements!$A$2:$A$1001,A1585)=0,"⚠ emplacement inconnu","OK"))</f>
        <v/>
      </c>
      <c r="K1585" s="22" t="str">
        <f aca="false">IF(AND(B1585&lt;&gt;"",ISNUMBER(SEARCH(Recherche!$C$3,C1585&amp;" "&amp;B1585&amp;" "&amp;A1585&amp;" "&amp;D1585))),MAX($K$1:K1584)+1,"")</f>
        <v/>
      </c>
    </row>
    <row r="1586" customFormat="false" ht="15" hidden="false" customHeight="false" outlineLevel="0" collapsed="false">
      <c r="A1586" s="12"/>
      <c r="B1586" s="12"/>
      <c r="C1586" s="17" t="str">
        <f aca="false">IF(B1586="","",IFERROR(INDEX(Produits!$F$2:$F$1001,MATCH(B1586,Produits!$A$2:$A$1001,0)),"⚠ code article inconnu"))</f>
        <v/>
      </c>
      <c r="D1586" s="12"/>
      <c r="E1586" s="23"/>
      <c r="F1586" s="24"/>
      <c r="G1586" s="23"/>
      <c r="H1586" s="21" t="str">
        <f aca="true">IF(E1586="","",ROUND((E1586-TODAY())/30.4,1))</f>
        <v/>
      </c>
      <c r="I1586" s="17" t="str">
        <f aca="false">IF(E1586="","",IF(H1586&lt;0,IF(LEFT(A1586,1)="Q","Périmé (en quarantaine)","PÉRIMÉ → déplacer en zone Q"),IF(H1586&lt;3,"Péremption &lt; 3 mois",IF(H1586&lt;6,"Péremption &lt; 6 mois",""))))</f>
        <v/>
      </c>
      <c r="J1586" s="17" t="str">
        <f aca="false">IF(A1586="","",IF(COUNTIF(Emplacements!$A$2:$A$1001,A1586)=0,"⚠ emplacement inconnu","OK"))</f>
        <v/>
      </c>
      <c r="K1586" s="22" t="str">
        <f aca="false">IF(AND(B1586&lt;&gt;"",ISNUMBER(SEARCH(Recherche!$C$3,C1586&amp;" "&amp;B1586&amp;" "&amp;A1586&amp;" "&amp;D1586))),MAX($K$1:K1585)+1,"")</f>
        <v/>
      </c>
    </row>
    <row r="1587" customFormat="false" ht="15" hidden="false" customHeight="false" outlineLevel="0" collapsed="false">
      <c r="A1587" s="12"/>
      <c r="B1587" s="12"/>
      <c r="C1587" s="17" t="str">
        <f aca="false">IF(B1587="","",IFERROR(INDEX(Produits!$F$2:$F$1001,MATCH(B1587,Produits!$A$2:$A$1001,0)),"⚠ code article inconnu"))</f>
        <v/>
      </c>
      <c r="D1587" s="12"/>
      <c r="E1587" s="23"/>
      <c r="F1587" s="24"/>
      <c r="G1587" s="23"/>
      <c r="H1587" s="21" t="str">
        <f aca="true">IF(E1587="","",ROUND((E1587-TODAY())/30.4,1))</f>
        <v/>
      </c>
      <c r="I1587" s="17" t="str">
        <f aca="false">IF(E1587="","",IF(H1587&lt;0,IF(LEFT(A1587,1)="Q","Périmé (en quarantaine)","PÉRIMÉ → déplacer en zone Q"),IF(H1587&lt;3,"Péremption &lt; 3 mois",IF(H1587&lt;6,"Péremption &lt; 6 mois",""))))</f>
        <v/>
      </c>
      <c r="J1587" s="17" t="str">
        <f aca="false">IF(A1587="","",IF(COUNTIF(Emplacements!$A$2:$A$1001,A1587)=0,"⚠ emplacement inconnu","OK"))</f>
        <v/>
      </c>
      <c r="K1587" s="22" t="str">
        <f aca="false">IF(AND(B1587&lt;&gt;"",ISNUMBER(SEARCH(Recherche!$C$3,C1587&amp;" "&amp;B1587&amp;" "&amp;A1587&amp;" "&amp;D1587))),MAX($K$1:K1586)+1,"")</f>
        <v/>
      </c>
    </row>
    <row r="1588" customFormat="false" ht="15" hidden="false" customHeight="false" outlineLevel="0" collapsed="false">
      <c r="A1588" s="12"/>
      <c r="B1588" s="12"/>
      <c r="C1588" s="17" t="str">
        <f aca="false">IF(B1588="","",IFERROR(INDEX(Produits!$F$2:$F$1001,MATCH(B1588,Produits!$A$2:$A$1001,0)),"⚠ code article inconnu"))</f>
        <v/>
      </c>
      <c r="D1588" s="12"/>
      <c r="E1588" s="23"/>
      <c r="F1588" s="24"/>
      <c r="G1588" s="23"/>
      <c r="H1588" s="21" t="str">
        <f aca="true">IF(E1588="","",ROUND((E1588-TODAY())/30.4,1))</f>
        <v/>
      </c>
      <c r="I1588" s="17" t="str">
        <f aca="false">IF(E1588="","",IF(H1588&lt;0,IF(LEFT(A1588,1)="Q","Périmé (en quarantaine)","PÉRIMÉ → déplacer en zone Q"),IF(H1588&lt;3,"Péremption &lt; 3 mois",IF(H1588&lt;6,"Péremption &lt; 6 mois",""))))</f>
        <v/>
      </c>
      <c r="J1588" s="17" t="str">
        <f aca="false">IF(A1588="","",IF(COUNTIF(Emplacements!$A$2:$A$1001,A1588)=0,"⚠ emplacement inconnu","OK"))</f>
        <v/>
      </c>
      <c r="K1588" s="22" t="str">
        <f aca="false">IF(AND(B1588&lt;&gt;"",ISNUMBER(SEARCH(Recherche!$C$3,C1588&amp;" "&amp;B1588&amp;" "&amp;A1588&amp;" "&amp;D1588))),MAX($K$1:K1587)+1,"")</f>
        <v/>
      </c>
    </row>
    <row r="1589" customFormat="false" ht="15" hidden="false" customHeight="false" outlineLevel="0" collapsed="false">
      <c r="A1589" s="12"/>
      <c r="B1589" s="12"/>
      <c r="C1589" s="17" t="str">
        <f aca="false">IF(B1589="","",IFERROR(INDEX(Produits!$F$2:$F$1001,MATCH(B1589,Produits!$A$2:$A$1001,0)),"⚠ code article inconnu"))</f>
        <v/>
      </c>
      <c r="D1589" s="12"/>
      <c r="E1589" s="23"/>
      <c r="F1589" s="24"/>
      <c r="G1589" s="23"/>
      <c r="H1589" s="21" t="str">
        <f aca="true">IF(E1589="","",ROUND((E1589-TODAY())/30.4,1))</f>
        <v/>
      </c>
      <c r="I1589" s="17" t="str">
        <f aca="false">IF(E1589="","",IF(H1589&lt;0,IF(LEFT(A1589,1)="Q","Périmé (en quarantaine)","PÉRIMÉ → déplacer en zone Q"),IF(H1589&lt;3,"Péremption &lt; 3 mois",IF(H1589&lt;6,"Péremption &lt; 6 mois",""))))</f>
        <v/>
      </c>
      <c r="J1589" s="17" t="str">
        <f aca="false">IF(A1589="","",IF(COUNTIF(Emplacements!$A$2:$A$1001,A1589)=0,"⚠ emplacement inconnu","OK"))</f>
        <v/>
      </c>
      <c r="K1589" s="22" t="str">
        <f aca="false">IF(AND(B1589&lt;&gt;"",ISNUMBER(SEARCH(Recherche!$C$3,C1589&amp;" "&amp;B1589&amp;" "&amp;A1589&amp;" "&amp;D1589))),MAX($K$1:K1588)+1,"")</f>
        <v/>
      </c>
    </row>
    <row r="1590" customFormat="false" ht="15" hidden="false" customHeight="false" outlineLevel="0" collapsed="false">
      <c r="A1590" s="12"/>
      <c r="B1590" s="12"/>
      <c r="C1590" s="17" t="str">
        <f aca="false">IF(B1590="","",IFERROR(INDEX(Produits!$F$2:$F$1001,MATCH(B1590,Produits!$A$2:$A$1001,0)),"⚠ code article inconnu"))</f>
        <v/>
      </c>
      <c r="D1590" s="12"/>
      <c r="E1590" s="23"/>
      <c r="F1590" s="24"/>
      <c r="G1590" s="23"/>
      <c r="H1590" s="21" t="str">
        <f aca="true">IF(E1590="","",ROUND((E1590-TODAY())/30.4,1))</f>
        <v/>
      </c>
      <c r="I1590" s="17" t="str">
        <f aca="false">IF(E1590="","",IF(H1590&lt;0,IF(LEFT(A1590,1)="Q","Périmé (en quarantaine)","PÉRIMÉ → déplacer en zone Q"),IF(H1590&lt;3,"Péremption &lt; 3 mois",IF(H1590&lt;6,"Péremption &lt; 6 mois",""))))</f>
        <v/>
      </c>
      <c r="J1590" s="17" t="str">
        <f aca="false">IF(A1590="","",IF(COUNTIF(Emplacements!$A$2:$A$1001,A1590)=0,"⚠ emplacement inconnu","OK"))</f>
        <v/>
      </c>
      <c r="K1590" s="22" t="str">
        <f aca="false">IF(AND(B1590&lt;&gt;"",ISNUMBER(SEARCH(Recherche!$C$3,C1590&amp;" "&amp;B1590&amp;" "&amp;A1590&amp;" "&amp;D1590))),MAX($K$1:K1589)+1,"")</f>
        <v/>
      </c>
    </row>
    <row r="1591" customFormat="false" ht="15" hidden="false" customHeight="false" outlineLevel="0" collapsed="false">
      <c r="A1591" s="12"/>
      <c r="B1591" s="12"/>
      <c r="C1591" s="17" t="str">
        <f aca="false">IF(B1591="","",IFERROR(INDEX(Produits!$F$2:$F$1001,MATCH(B1591,Produits!$A$2:$A$1001,0)),"⚠ code article inconnu"))</f>
        <v/>
      </c>
      <c r="D1591" s="12"/>
      <c r="E1591" s="23"/>
      <c r="F1591" s="24"/>
      <c r="G1591" s="23"/>
      <c r="H1591" s="21" t="str">
        <f aca="true">IF(E1591="","",ROUND((E1591-TODAY())/30.4,1))</f>
        <v/>
      </c>
      <c r="I1591" s="17" t="str">
        <f aca="false">IF(E1591="","",IF(H1591&lt;0,IF(LEFT(A1591,1)="Q","Périmé (en quarantaine)","PÉRIMÉ → déplacer en zone Q"),IF(H1591&lt;3,"Péremption &lt; 3 mois",IF(H1591&lt;6,"Péremption &lt; 6 mois",""))))</f>
        <v/>
      </c>
      <c r="J1591" s="17" t="str">
        <f aca="false">IF(A1591="","",IF(COUNTIF(Emplacements!$A$2:$A$1001,A1591)=0,"⚠ emplacement inconnu","OK"))</f>
        <v/>
      </c>
      <c r="K1591" s="22" t="str">
        <f aca="false">IF(AND(B1591&lt;&gt;"",ISNUMBER(SEARCH(Recherche!$C$3,C1591&amp;" "&amp;B1591&amp;" "&amp;A1591&amp;" "&amp;D1591))),MAX($K$1:K1590)+1,"")</f>
        <v/>
      </c>
    </row>
    <row r="1592" customFormat="false" ht="15" hidden="false" customHeight="false" outlineLevel="0" collapsed="false">
      <c r="A1592" s="12"/>
      <c r="B1592" s="12"/>
      <c r="C1592" s="17" t="str">
        <f aca="false">IF(B1592="","",IFERROR(INDEX(Produits!$F$2:$F$1001,MATCH(B1592,Produits!$A$2:$A$1001,0)),"⚠ code article inconnu"))</f>
        <v/>
      </c>
      <c r="D1592" s="12"/>
      <c r="E1592" s="23"/>
      <c r="F1592" s="24"/>
      <c r="G1592" s="23"/>
      <c r="H1592" s="21" t="str">
        <f aca="true">IF(E1592="","",ROUND((E1592-TODAY())/30.4,1))</f>
        <v/>
      </c>
      <c r="I1592" s="17" t="str">
        <f aca="false">IF(E1592="","",IF(H1592&lt;0,IF(LEFT(A1592,1)="Q","Périmé (en quarantaine)","PÉRIMÉ → déplacer en zone Q"),IF(H1592&lt;3,"Péremption &lt; 3 mois",IF(H1592&lt;6,"Péremption &lt; 6 mois",""))))</f>
        <v/>
      </c>
      <c r="J1592" s="17" t="str">
        <f aca="false">IF(A1592="","",IF(COUNTIF(Emplacements!$A$2:$A$1001,A1592)=0,"⚠ emplacement inconnu","OK"))</f>
        <v/>
      </c>
      <c r="K1592" s="22" t="str">
        <f aca="false">IF(AND(B1592&lt;&gt;"",ISNUMBER(SEARCH(Recherche!$C$3,C1592&amp;" "&amp;B1592&amp;" "&amp;A1592&amp;" "&amp;D1592))),MAX($K$1:K1591)+1,"")</f>
        <v/>
      </c>
    </row>
    <row r="1593" customFormat="false" ht="15" hidden="false" customHeight="false" outlineLevel="0" collapsed="false">
      <c r="A1593" s="12"/>
      <c r="B1593" s="12"/>
      <c r="C1593" s="17" t="str">
        <f aca="false">IF(B1593="","",IFERROR(INDEX(Produits!$F$2:$F$1001,MATCH(B1593,Produits!$A$2:$A$1001,0)),"⚠ code article inconnu"))</f>
        <v/>
      </c>
      <c r="D1593" s="12"/>
      <c r="E1593" s="23"/>
      <c r="F1593" s="24"/>
      <c r="G1593" s="23"/>
      <c r="H1593" s="21" t="str">
        <f aca="true">IF(E1593="","",ROUND((E1593-TODAY())/30.4,1))</f>
        <v/>
      </c>
      <c r="I1593" s="17" t="str">
        <f aca="false">IF(E1593="","",IF(H1593&lt;0,IF(LEFT(A1593,1)="Q","Périmé (en quarantaine)","PÉRIMÉ → déplacer en zone Q"),IF(H1593&lt;3,"Péremption &lt; 3 mois",IF(H1593&lt;6,"Péremption &lt; 6 mois",""))))</f>
        <v/>
      </c>
      <c r="J1593" s="17" t="str">
        <f aca="false">IF(A1593="","",IF(COUNTIF(Emplacements!$A$2:$A$1001,A1593)=0,"⚠ emplacement inconnu","OK"))</f>
        <v/>
      </c>
      <c r="K1593" s="22" t="str">
        <f aca="false">IF(AND(B1593&lt;&gt;"",ISNUMBER(SEARCH(Recherche!$C$3,C1593&amp;" "&amp;B1593&amp;" "&amp;A1593&amp;" "&amp;D1593))),MAX($K$1:K1592)+1,"")</f>
        <v/>
      </c>
    </row>
    <row r="1594" customFormat="false" ht="15" hidden="false" customHeight="false" outlineLevel="0" collapsed="false">
      <c r="A1594" s="12"/>
      <c r="B1594" s="12"/>
      <c r="C1594" s="17" t="str">
        <f aca="false">IF(B1594="","",IFERROR(INDEX(Produits!$F$2:$F$1001,MATCH(B1594,Produits!$A$2:$A$1001,0)),"⚠ code article inconnu"))</f>
        <v/>
      </c>
      <c r="D1594" s="12"/>
      <c r="E1594" s="23"/>
      <c r="F1594" s="24"/>
      <c r="G1594" s="23"/>
      <c r="H1594" s="21" t="str">
        <f aca="true">IF(E1594="","",ROUND((E1594-TODAY())/30.4,1))</f>
        <v/>
      </c>
      <c r="I1594" s="17" t="str">
        <f aca="false">IF(E1594="","",IF(H1594&lt;0,IF(LEFT(A1594,1)="Q","Périmé (en quarantaine)","PÉRIMÉ → déplacer en zone Q"),IF(H1594&lt;3,"Péremption &lt; 3 mois",IF(H1594&lt;6,"Péremption &lt; 6 mois",""))))</f>
        <v/>
      </c>
      <c r="J1594" s="17" t="str">
        <f aca="false">IF(A1594="","",IF(COUNTIF(Emplacements!$A$2:$A$1001,A1594)=0,"⚠ emplacement inconnu","OK"))</f>
        <v/>
      </c>
      <c r="K1594" s="22" t="str">
        <f aca="false">IF(AND(B1594&lt;&gt;"",ISNUMBER(SEARCH(Recherche!$C$3,C1594&amp;" "&amp;B1594&amp;" "&amp;A1594&amp;" "&amp;D1594))),MAX($K$1:K1593)+1,"")</f>
        <v/>
      </c>
    </row>
    <row r="1595" customFormat="false" ht="15" hidden="false" customHeight="false" outlineLevel="0" collapsed="false">
      <c r="A1595" s="12"/>
      <c r="B1595" s="12"/>
      <c r="C1595" s="17" t="str">
        <f aca="false">IF(B1595="","",IFERROR(INDEX(Produits!$F$2:$F$1001,MATCH(B1595,Produits!$A$2:$A$1001,0)),"⚠ code article inconnu"))</f>
        <v/>
      </c>
      <c r="D1595" s="12"/>
      <c r="E1595" s="23"/>
      <c r="F1595" s="24"/>
      <c r="G1595" s="23"/>
      <c r="H1595" s="21" t="str">
        <f aca="true">IF(E1595="","",ROUND((E1595-TODAY())/30.4,1))</f>
        <v/>
      </c>
      <c r="I1595" s="17" t="str">
        <f aca="false">IF(E1595="","",IF(H1595&lt;0,IF(LEFT(A1595,1)="Q","Périmé (en quarantaine)","PÉRIMÉ → déplacer en zone Q"),IF(H1595&lt;3,"Péremption &lt; 3 mois",IF(H1595&lt;6,"Péremption &lt; 6 mois",""))))</f>
        <v/>
      </c>
      <c r="J1595" s="17" t="str">
        <f aca="false">IF(A1595="","",IF(COUNTIF(Emplacements!$A$2:$A$1001,A1595)=0,"⚠ emplacement inconnu","OK"))</f>
        <v/>
      </c>
      <c r="K1595" s="22" t="str">
        <f aca="false">IF(AND(B1595&lt;&gt;"",ISNUMBER(SEARCH(Recherche!$C$3,C1595&amp;" "&amp;B1595&amp;" "&amp;A1595&amp;" "&amp;D1595))),MAX($K$1:K1594)+1,"")</f>
        <v/>
      </c>
    </row>
    <row r="1596" customFormat="false" ht="15" hidden="false" customHeight="false" outlineLevel="0" collapsed="false">
      <c r="A1596" s="12"/>
      <c r="B1596" s="12"/>
      <c r="C1596" s="17" t="str">
        <f aca="false">IF(B1596="","",IFERROR(INDEX(Produits!$F$2:$F$1001,MATCH(B1596,Produits!$A$2:$A$1001,0)),"⚠ code article inconnu"))</f>
        <v/>
      </c>
      <c r="D1596" s="12"/>
      <c r="E1596" s="23"/>
      <c r="F1596" s="24"/>
      <c r="G1596" s="23"/>
      <c r="H1596" s="21" t="str">
        <f aca="true">IF(E1596="","",ROUND((E1596-TODAY())/30.4,1))</f>
        <v/>
      </c>
      <c r="I1596" s="17" t="str">
        <f aca="false">IF(E1596="","",IF(H1596&lt;0,IF(LEFT(A1596,1)="Q","Périmé (en quarantaine)","PÉRIMÉ → déplacer en zone Q"),IF(H1596&lt;3,"Péremption &lt; 3 mois",IF(H1596&lt;6,"Péremption &lt; 6 mois",""))))</f>
        <v/>
      </c>
      <c r="J1596" s="17" t="str">
        <f aca="false">IF(A1596="","",IF(COUNTIF(Emplacements!$A$2:$A$1001,A1596)=0,"⚠ emplacement inconnu","OK"))</f>
        <v/>
      </c>
      <c r="K1596" s="22" t="str">
        <f aca="false">IF(AND(B1596&lt;&gt;"",ISNUMBER(SEARCH(Recherche!$C$3,C1596&amp;" "&amp;B1596&amp;" "&amp;A1596&amp;" "&amp;D1596))),MAX($K$1:K1595)+1,"")</f>
        <v/>
      </c>
    </row>
    <row r="1597" customFormat="false" ht="15" hidden="false" customHeight="false" outlineLevel="0" collapsed="false">
      <c r="A1597" s="12"/>
      <c r="B1597" s="12"/>
      <c r="C1597" s="17" t="str">
        <f aca="false">IF(B1597="","",IFERROR(INDEX(Produits!$F$2:$F$1001,MATCH(B1597,Produits!$A$2:$A$1001,0)),"⚠ code article inconnu"))</f>
        <v/>
      </c>
      <c r="D1597" s="12"/>
      <c r="E1597" s="23"/>
      <c r="F1597" s="24"/>
      <c r="G1597" s="23"/>
      <c r="H1597" s="21" t="str">
        <f aca="true">IF(E1597="","",ROUND((E1597-TODAY())/30.4,1))</f>
        <v/>
      </c>
      <c r="I1597" s="17" t="str">
        <f aca="false">IF(E1597="","",IF(H1597&lt;0,IF(LEFT(A1597,1)="Q","Périmé (en quarantaine)","PÉRIMÉ → déplacer en zone Q"),IF(H1597&lt;3,"Péremption &lt; 3 mois",IF(H1597&lt;6,"Péremption &lt; 6 mois",""))))</f>
        <v/>
      </c>
      <c r="J1597" s="17" t="str">
        <f aca="false">IF(A1597="","",IF(COUNTIF(Emplacements!$A$2:$A$1001,A1597)=0,"⚠ emplacement inconnu","OK"))</f>
        <v/>
      </c>
      <c r="K1597" s="22" t="str">
        <f aca="false">IF(AND(B1597&lt;&gt;"",ISNUMBER(SEARCH(Recherche!$C$3,C1597&amp;" "&amp;B1597&amp;" "&amp;A1597&amp;" "&amp;D1597))),MAX($K$1:K1596)+1,"")</f>
        <v/>
      </c>
    </row>
    <row r="1598" customFormat="false" ht="15" hidden="false" customHeight="false" outlineLevel="0" collapsed="false">
      <c r="A1598" s="12"/>
      <c r="B1598" s="12"/>
      <c r="C1598" s="17" t="str">
        <f aca="false">IF(B1598="","",IFERROR(INDEX(Produits!$F$2:$F$1001,MATCH(B1598,Produits!$A$2:$A$1001,0)),"⚠ code article inconnu"))</f>
        <v/>
      </c>
      <c r="D1598" s="12"/>
      <c r="E1598" s="23"/>
      <c r="F1598" s="24"/>
      <c r="G1598" s="23"/>
      <c r="H1598" s="21" t="str">
        <f aca="true">IF(E1598="","",ROUND((E1598-TODAY())/30.4,1))</f>
        <v/>
      </c>
      <c r="I1598" s="17" t="str">
        <f aca="false">IF(E1598="","",IF(H1598&lt;0,IF(LEFT(A1598,1)="Q","Périmé (en quarantaine)","PÉRIMÉ → déplacer en zone Q"),IF(H1598&lt;3,"Péremption &lt; 3 mois",IF(H1598&lt;6,"Péremption &lt; 6 mois",""))))</f>
        <v/>
      </c>
      <c r="J1598" s="17" t="str">
        <f aca="false">IF(A1598="","",IF(COUNTIF(Emplacements!$A$2:$A$1001,A1598)=0,"⚠ emplacement inconnu","OK"))</f>
        <v/>
      </c>
      <c r="K1598" s="22" t="str">
        <f aca="false">IF(AND(B1598&lt;&gt;"",ISNUMBER(SEARCH(Recherche!$C$3,C1598&amp;" "&amp;B1598&amp;" "&amp;A1598&amp;" "&amp;D1598))),MAX($K$1:K1597)+1,"")</f>
        <v/>
      </c>
    </row>
    <row r="1599" customFormat="false" ht="15" hidden="false" customHeight="false" outlineLevel="0" collapsed="false">
      <c r="A1599" s="12"/>
      <c r="B1599" s="12"/>
      <c r="C1599" s="17" t="str">
        <f aca="false">IF(B1599="","",IFERROR(INDEX(Produits!$F$2:$F$1001,MATCH(B1599,Produits!$A$2:$A$1001,0)),"⚠ code article inconnu"))</f>
        <v/>
      </c>
      <c r="D1599" s="12"/>
      <c r="E1599" s="23"/>
      <c r="F1599" s="24"/>
      <c r="G1599" s="23"/>
      <c r="H1599" s="21" t="str">
        <f aca="true">IF(E1599="","",ROUND((E1599-TODAY())/30.4,1))</f>
        <v/>
      </c>
      <c r="I1599" s="17" t="str">
        <f aca="false">IF(E1599="","",IF(H1599&lt;0,IF(LEFT(A1599,1)="Q","Périmé (en quarantaine)","PÉRIMÉ → déplacer en zone Q"),IF(H1599&lt;3,"Péremption &lt; 3 mois",IF(H1599&lt;6,"Péremption &lt; 6 mois",""))))</f>
        <v/>
      </c>
      <c r="J1599" s="17" t="str">
        <f aca="false">IF(A1599="","",IF(COUNTIF(Emplacements!$A$2:$A$1001,A1599)=0,"⚠ emplacement inconnu","OK"))</f>
        <v/>
      </c>
      <c r="K1599" s="22" t="str">
        <f aca="false">IF(AND(B1599&lt;&gt;"",ISNUMBER(SEARCH(Recherche!$C$3,C1599&amp;" "&amp;B1599&amp;" "&amp;A1599&amp;" "&amp;D1599))),MAX($K$1:K1598)+1,"")</f>
        <v/>
      </c>
    </row>
    <row r="1600" customFormat="false" ht="15" hidden="false" customHeight="false" outlineLevel="0" collapsed="false">
      <c r="A1600" s="12"/>
      <c r="B1600" s="12"/>
      <c r="C1600" s="17" t="str">
        <f aca="false">IF(B1600="","",IFERROR(INDEX(Produits!$F$2:$F$1001,MATCH(B1600,Produits!$A$2:$A$1001,0)),"⚠ code article inconnu"))</f>
        <v/>
      </c>
      <c r="D1600" s="12"/>
      <c r="E1600" s="23"/>
      <c r="F1600" s="24"/>
      <c r="G1600" s="23"/>
      <c r="H1600" s="21" t="str">
        <f aca="true">IF(E1600="","",ROUND((E1600-TODAY())/30.4,1))</f>
        <v/>
      </c>
      <c r="I1600" s="17" t="str">
        <f aca="false">IF(E1600="","",IF(H1600&lt;0,IF(LEFT(A1600,1)="Q","Périmé (en quarantaine)","PÉRIMÉ → déplacer en zone Q"),IF(H1600&lt;3,"Péremption &lt; 3 mois",IF(H1600&lt;6,"Péremption &lt; 6 mois",""))))</f>
        <v/>
      </c>
      <c r="J1600" s="17" t="str">
        <f aca="false">IF(A1600="","",IF(COUNTIF(Emplacements!$A$2:$A$1001,A1600)=0,"⚠ emplacement inconnu","OK"))</f>
        <v/>
      </c>
      <c r="K1600" s="22" t="str">
        <f aca="false">IF(AND(B1600&lt;&gt;"",ISNUMBER(SEARCH(Recherche!$C$3,C1600&amp;" "&amp;B1600&amp;" "&amp;A1600&amp;" "&amp;D1600))),MAX($K$1:K1599)+1,"")</f>
        <v/>
      </c>
    </row>
    <row r="1601" customFormat="false" ht="15" hidden="false" customHeight="false" outlineLevel="0" collapsed="false">
      <c r="A1601" s="12"/>
      <c r="B1601" s="12"/>
      <c r="C1601" s="17" t="str">
        <f aca="false">IF(B1601="","",IFERROR(INDEX(Produits!$F$2:$F$1001,MATCH(B1601,Produits!$A$2:$A$1001,0)),"⚠ code article inconnu"))</f>
        <v/>
      </c>
      <c r="D1601" s="12"/>
      <c r="E1601" s="23"/>
      <c r="F1601" s="24"/>
      <c r="G1601" s="23"/>
      <c r="H1601" s="21" t="str">
        <f aca="true">IF(E1601="","",ROUND((E1601-TODAY())/30.4,1))</f>
        <v/>
      </c>
      <c r="I1601" s="17" t="str">
        <f aca="false">IF(E1601="","",IF(H1601&lt;0,IF(LEFT(A1601,1)="Q","Périmé (en quarantaine)","PÉRIMÉ → déplacer en zone Q"),IF(H1601&lt;3,"Péremption &lt; 3 mois",IF(H1601&lt;6,"Péremption &lt; 6 mois",""))))</f>
        <v/>
      </c>
      <c r="J1601" s="17" t="str">
        <f aca="false">IF(A1601="","",IF(COUNTIF(Emplacements!$A$2:$A$1001,A1601)=0,"⚠ emplacement inconnu","OK"))</f>
        <v/>
      </c>
      <c r="K1601" s="22" t="str">
        <f aca="false">IF(AND(B1601&lt;&gt;"",ISNUMBER(SEARCH(Recherche!$C$3,C1601&amp;" "&amp;B1601&amp;" "&amp;A1601&amp;" "&amp;D1601))),MAX($K$1:K1600)+1,"")</f>
        <v/>
      </c>
    </row>
    <row r="1602" customFormat="false" ht="15" hidden="false" customHeight="false" outlineLevel="0" collapsed="false">
      <c r="A1602" s="12"/>
      <c r="B1602" s="12"/>
      <c r="C1602" s="17" t="str">
        <f aca="false">IF(B1602="","",IFERROR(INDEX(Produits!$F$2:$F$1001,MATCH(B1602,Produits!$A$2:$A$1001,0)),"⚠ code article inconnu"))</f>
        <v/>
      </c>
      <c r="D1602" s="12"/>
      <c r="E1602" s="23"/>
      <c r="F1602" s="24"/>
      <c r="G1602" s="23"/>
      <c r="H1602" s="21" t="str">
        <f aca="true">IF(E1602="","",ROUND((E1602-TODAY())/30.4,1))</f>
        <v/>
      </c>
      <c r="I1602" s="17" t="str">
        <f aca="false">IF(E1602="","",IF(H1602&lt;0,IF(LEFT(A1602,1)="Q","Périmé (en quarantaine)","PÉRIMÉ → déplacer en zone Q"),IF(H1602&lt;3,"Péremption &lt; 3 mois",IF(H1602&lt;6,"Péremption &lt; 6 mois",""))))</f>
        <v/>
      </c>
      <c r="J1602" s="17" t="str">
        <f aca="false">IF(A1602="","",IF(COUNTIF(Emplacements!$A$2:$A$1001,A1602)=0,"⚠ emplacement inconnu","OK"))</f>
        <v/>
      </c>
      <c r="K1602" s="22" t="str">
        <f aca="false">IF(AND(B1602&lt;&gt;"",ISNUMBER(SEARCH(Recherche!$C$3,C1602&amp;" "&amp;B1602&amp;" "&amp;A1602&amp;" "&amp;D1602))),MAX($K$1:K1601)+1,"")</f>
        <v/>
      </c>
    </row>
    <row r="1603" customFormat="false" ht="15" hidden="false" customHeight="false" outlineLevel="0" collapsed="false">
      <c r="A1603" s="12"/>
      <c r="B1603" s="12"/>
      <c r="C1603" s="17" t="str">
        <f aca="false">IF(B1603="","",IFERROR(INDEX(Produits!$F$2:$F$1001,MATCH(B1603,Produits!$A$2:$A$1001,0)),"⚠ code article inconnu"))</f>
        <v/>
      </c>
      <c r="D1603" s="12"/>
      <c r="E1603" s="23"/>
      <c r="F1603" s="24"/>
      <c r="G1603" s="23"/>
      <c r="H1603" s="21" t="str">
        <f aca="true">IF(E1603="","",ROUND((E1603-TODAY())/30.4,1))</f>
        <v/>
      </c>
      <c r="I1603" s="17" t="str">
        <f aca="false">IF(E1603="","",IF(H1603&lt;0,IF(LEFT(A1603,1)="Q","Périmé (en quarantaine)","PÉRIMÉ → déplacer en zone Q"),IF(H1603&lt;3,"Péremption &lt; 3 mois",IF(H1603&lt;6,"Péremption &lt; 6 mois",""))))</f>
        <v/>
      </c>
      <c r="J1603" s="17" t="str">
        <f aca="false">IF(A1603="","",IF(COUNTIF(Emplacements!$A$2:$A$1001,A1603)=0,"⚠ emplacement inconnu","OK"))</f>
        <v/>
      </c>
      <c r="K1603" s="22" t="str">
        <f aca="false">IF(AND(B1603&lt;&gt;"",ISNUMBER(SEARCH(Recherche!$C$3,C1603&amp;" "&amp;B1603&amp;" "&amp;A1603&amp;" "&amp;D1603))),MAX($K$1:K1602)+1,"")</f>
        <v/>
      </c>
    </row>
    <row r="1604" customFormat="false" ht="15" hidden="false" customHeight="false" outlineLevel="0" collapsed="false">
      <c r="A1604" s="12"/>
      <c r="B1604" s="12"/>
      <c r="C1604" s="17" t="str">
        <f aca="false">IF(B1604="","",IFERROR(INDEX(Produits!$F$2:$F$1001,MATCH(B1604,Produits!$A$2:$A$1001,0)),"⚠ code article inconnu"))</f>
        <v/>
      </c>
      <c r="D1604" s="12"/>
      <c r="E1604" s="23"/>
      <c r="F1604" s="24"/>
      <c r="G1604" s="23"/>
      <c r="H1604" s="21" t="str">
        <f aca="true">IF(E1604="","",ROUND((E1604-TODAY())/30.4,1))</f>
        <v/>
      </c>
      <c r="I1604" s="17" t="str">
        <f aca="false">IF(E1604="","",IF(H1604&lt;0,IF(LEFT(A1604,1)="Q","Périmé (en quarantaine)","PÉRIMÉ → déplacer en zone Q"),IF(H1604&lt;3,"Péremption &lt; 3 mois",IF(H1604&lt;6,"Péremption &lt; 6 mois",""))))</f>
        <v/>
      </c>
      <c r="J1604" s="17" t="str">
        <f aca="false">IF(A1604="","",IF(COUNTIF(Emplacements!$A$2:$A$1001,A1604)=0,"⚠ emplacement inconnu","OK"))</f>
        <v/>
      </c>
      <c r="K1604" s="22" t="str">
        <f aca="false">IF(AND(B1604&lt;&gt;"",ISNUMBER(SEARCH(Recherche!$C$3,C1604&amp;" "&amp;B1604&amp;" "&amp;A1604&amp;" "&amp;D1604))),MAX($K$1:K1603)+1,"")</f>
        <v/>
      </c>
    </row>
    <row r="1605" customFormat="false" ht="15" hidden="false" customHeight="false" outlineLevel="0" collapsed="false">
      <c r="A1605" s="12"/>
      <c r="B1605" s="12"/>
      <c r="C1605" s="17" t="str">
        <f aca="false">IF(B1605="","",IFERROR(INDEX(Produits!$F$2:$F$1001,MATCH(B1605,Produits!$A$2:$A$1001,0)),"⚠ code article inconnu"))</f>
        <v/>
      </c>
      <c r="D1605" s="12"/>
      <c r="E1605" s="23"/>
      <c r="F1605" s="24"/>
      <c r="G1605" s="23"/>
      <c r="H1605" s="21" t="str">
        <f aca="true">IF(E1605="","",ROUND((E1605-TODAY())/30.4,1))</f>
        <v/>
      </c>
      <c r="I1605" s="17" t="str">
        <f aca="false">IF(E1605="","",IF(H1605&lt;0,IF(LEFT(A1605,1)="Q","Périmé (en quarantaine)","PÉRIMÉ → déplacer en zone Q"),IF(H1605&lt;3,"Péremption &lt; 3 mois",IF(H1605&lt;6,"Péremption &lt; 6 mois",""))))</f>
        <v/>
      </c>
      <c r="J1605" s="17" t="str">
        <f aca="false">IF(A1605="","",IF(COUNTIF(Emplacements!$A$2:$A$1001,A1605)=0,"⚠ emplacement inconnu","OK"))</f>
        <v/>
      </c>
      <c r="K1605" s="22" t="str">
        <f aca="false">IF(AND(B1605&lt;&gt;"",ISNUMBER(SEARCH(Recherche!$C$3,C1605&amp;" "&amp;B1605&amp;" "&amp;A1605&amp;" "&amp;D1605))),MAX($K$1:K1604)+1,"")</f>
        <v/>
      </c>
    </row>
    <row r="1606" customFormat="false" ht="15" hidden="false" customHeight="false" outlineLevel="0" collapsed="false">
      <c r="A1606" s="12"/>
      <c r="B1606" s="12"/>
      <c r="C1606" s="17" t="str">
        <f aca="false">IF(B1606="","",IFERROR(INDEX(Produits!$F$2:$F$1001,MATCH(B1606,Produits!$A$2:$A$1001,0)),"⚠ code article inconnu"))</f>
        <v/>
      </c>
      <c r="D1606" s="12"/>
      <c r="E1606" s="23"/>
      <c r="F1606" s="24"/>
      <c r="G1606" s="23"/>
      <c r="H1606" s="21" t="str">
        <f aca="true">IF(E1606="","",ROUND((E1606-TODAY())/30.4,1))</f>
        <v/>
      </c>
      <c r="I1606" s="17" t="str">
        <f aca="false">IF(E1606="","",IF(H1606&lt;0,IF(LEFT(A1606,1)="Q","Périmé (en quarantaine)","PÉRIMÉ → déplacer en zone Q"),IF(H1606&lt;3,"Péremption &lt; 3 mois",IF(H1606&lt;6,"Péremption &lt; 6 mois",""))))</f>
        <v/>
      </c>
      <c r="J1606" s="17" t="str">
        <f aca="false">IF(A1606="","",IF(COUNTIF(Emplacements!$A$2:$A$1001,A1606)=0,"⚠ emplacement inconnu","OK"))</f>
        <v/>
      </c>
      <c r="K1606" s="22" t="str">
        <f aca="false">IF(AND(B1606&lt;&gt;"",ISNUMBER(SEARCH(Recherche!$C$3,C1606&amp;" "&amp;B1606&amp;" "&amp;A1606&amp;" "&amp;D1606))),MAX($K$1:K1605)+1,"")</f>
        <v/>
      </c>
    </row>
    <row r="1607" customFormat="false" ht="15" hidden="false" customHeight="false" outlineLevel="0" collapsed="false">
      <c r="A1607" s="12"/>
      <c r="B1607" s="12"/>
      <c r="C1607" s="17" t="str">
        <f aca="false">IF(B1607="","",IFERROR(INDEX(Produits!$F$2:$F$1001,MATCH(B1607,Produits!$A$2:$A$1001,0)),"⚠ code article inconnu"))</f>
        <v/>
      </c>
      <c r="D1607" s="12"/>
      <c r="E1607" s="23"/>
      <c r="F1607" s="24"/>
      <c r="G1607" s="23"/>
      <c r="H1607" s="21" t="str">
        <f aca="true">IF(E1607="","",ROUND((E1607-TODAY())/30.4,1))</f>
        <v/>
      </c>
      <c r="I1607" s="17" t="str">
        <f aca="false">IF(E1607="","",IF(H1607&lt;0,IF(LEFT(A1607,1)="Q","Périmé (en quarantaine)","PÉRIMÉ → déplacer en zone Q"),IF(H1607&lt;3,"Péremption &lt; 3 mois",IF(H1607&lt;6,"Péremption &lt; 6 mois",""))))</f>
        <v/>
      </c>
      <c r="J1607" s="17" t="str">
        <f aca="false">IF(A1607="","",IF(COUNTIF(Emplacements!$A$2:$A$1001,A1607)=0,"⚠ emplacement inconnu","OK"))</f>
        <v/>
      </c>
      <c r="K1607" s="22" t="str">
        <f aca="false">IF(AND(B1607&lt;&gt;"",ISNUMBER(SEARCH(Recherche!$C$3,C1607&amp;" "&amp;B1607&amp;" "&amp;A1607&amp;" "&amp;D1607))),MAX($K$1:K1606)+1,"")</f>
        <v/>
      </c>
    </row>
    <row r="1608" customFormat="false" ht="15" hidden="false" customHeight="false" outlineLevel="0" collapsed="false">
      <c r="A1608" s="12"/>
      <c r="B1608" s="12"/>
      <c r="C1608" s="17" t="str">
        <f aca="false">IF(B1608="","",IFERROR(INDEX(Produits!$F$2:$F$1001,MATCH(B1608,Produits!$A$2:$A$1001,0)),"⚠ code article inconnu"))</f>
        <v/>
      </c>
      <c r="D1608" s="12"/>
      <c r="E1608" s="23"/>
      <c r="F1608" s="24"/>
      <c r="G1608" s="23"/>
      <c r="H1608" s="21" t="str">
        <f aca="true">IF(E1608="","",ROUND((E1608-TODAY())/30.4,1))</f>
        <v/>
      </c>
      <c r="I1608" s="17" t="str">
        <f aca="false">IF(E1608="","",IF(H1608&lt;0,IF(LEFT(A1608,1)="Q","Périmé (en quarantaine)","PÉRIMÉ → déplacer en zone Q"),IF(H1608&lt;3,"Péremption &lt; 3 mois",IF(H1608&lt;6,"Péremption &lt; 6 mois",""))))</f>
        <v/>
      </c>
      <c r="J1608" s="17" t="str">
        <f aca="false">IF(A1608="","",IF(COUNTIF(Emplacements!$A$2:$A$1001,A1608)=0,"⚠ emplacement inconnu","OK"))</f>
        <v/>
      </c>
      <c r="K1608" s="22" t="str">
        <f aca="false">IF(AND(B1608&lt;&gt;"",ISNUMBER(SEARCH(Recherche!$C$3,C1608&amp;" "&amp;B1608&amp;" "&amp;A1608&amp;" "&amp;D1608))),MAX($K$1:K1607)+1,"")</f>
        <v/>
      </c>
    </row>
    <row r="1609" customFormat="false" ht="15" hidden="false" customHeight="false" outlineLevel="0" collapsed="false">
      <c r="A1609" s="12"/>
      <c r="B1609" s="12"/>
      <c r="C1609" s="17" t="str">
        <f aca="false">IF(B1609="","",IFERROR(INDEX(Produits!$F$2:$F$1001,MATCH(B1609,Produits!$A$2:$A$1001,0)),"⚠ code article inconnu"))</f>
        <v/>
      </c>
      <c r="D1609" s="12"/>
      <c r="E1609" s="23"/>
      <c r="F1609" s="24"/>
      <c r="G1609" s="23"/>
      <c r="H1609" s="21" t="str">
        <f aca="true">IF(E1609="","",ROUND((E1609-TODAY())/30.4,1))</f>
        <v/>
      </c>
      <c r="I1609" s="17" t="str">
        <f aca="false">IF(E1609="","",IF(H1609&lt;0,IF(LEFT(A1609,1)="Q","Périmé (en quarantaine)","PÉRIMÉ → déplacer en zone Q"),IF(H1609&lt;3,"Péremption &lt; 3 mois",IF(H1609&lt;6,"Péremption &lt; 6 mois",""))))</f>
        <v/>
      </c>
      <c r="J1609" s="17" t="str">
        <f aca="false">IF(A1609="","",IF(COUNTIF(Emplacements!$A$2:$A$1001,A1609)=0,"⚠ emplacement inconnu","OK"))</f>
        <v/>
      </c>
      <c r="K1609" s="22" t="str">
        <f aca="false">IF(AND(B1609&lt;&gt;"",ISNUMBER(SEARCH(Recherche!$C$3,C1609&amp;" "&amp;B1609&amp;" "&amp;A1609&amp;" "&amp;D1609))),MAX($K$1:K1608)+1,"")</f>
        <v/>
      </c>
    </row>
    <row r="1610" customFormat="false" ht="15" hidden="false" customHeight="false" outlineLevel="0" collapsed="false">
      <c r="A1610" s="12"/>
      <c r="B1610" s="12"/>
      <c r="C1610" s="17" t="str">
        <f aca="false">IF(B1610="","",IFERROR(INDEX(Produits!$F$2:$F$1001,MATCH(B1610,Produits!$A$2:$A$1001,0)),"⚠ code article inconnu"))</f>
        <v/>
      </c>
      <c r="D1610" s="12"/>
      <c r="E1610" s="23"/>
      <c r="F1610" s="24"/>
      <c r="G1610" s="23"/>
      <c r="H1610" s="21" t="str">
        <f aca="true">IF(E1610="","",ROUND((E1610-TODAY())/30.4,1))</f>
        <v/>
      </c>
      <c r="I1610" s="17" t="str">
        <f aca="false">IF(E1610="","",IF(H1610&lt;0,IF(LEFT(A1610,1)="Q","Périmé (en quarantaine)","PÉRIMÉ → déplacer en zone Q"),IF(H1610&lt;3,"Péremption &lt; 3 mois",IF(H1610&lt;6,"Péremption &lt; 6 mois",""))))</f>
        <v/>
      </c>
      <c r="J1610" s="17" t="str">
        <f aca="false">IF(A1610="","",IF(COUNTIF(Emplacements!$A$2:$A$1001,A1610)=0,"⚠ emplacement inconnu","OK"))</f>
        <v/>
      </c>
      <c r="K1610" s="22" t="str">
        <f aca="false">IF(AND(B1610&lt;&gt;"",ISNUMBER(SEARCH(Recherche!$C$3,C1610&amp;" "&amp;B1610&amp;" "&amp;A1610&amp;" "&amp;D1610))),MAX($K$1:K1609)+1,"")</f>
        <v/>
      </c>
    </row>
    <row r="1611" customFormat="false" ht="15" hidden="false" customHeight="false" outlineLevel="0" collapsed="false">
      <c r="A1611" s="12"/>
      <c r="B1611" s="12"/>
      <c r="C1611" s="17" t="str">
        <f aca="false">IF(B1611="","",IFERROR(INDEX(Produits!$F$2:$F$1001,MATCH(B1611,Produits!$A$2:$A$1001,0)),"⚠ code article inconnu"))</f>
        <v/>
      </c>
      <c r="D1611" s="12"/>
      <c r="E1611" s="23"/>
      <c r="F1611" s="24"/>
      <c r="G1611" s="23"/>
      <c r="H1611" s="21" t="str">
        <f aca="true">IF(E1611="","",ROUND((E1611-TODAY())/30.4,1))</f>
        <v/>
      </c>
      <c r="I1611" s="17" t="str">
        <f aca="false">IF(E1611="","",IF(H1611&lt;0,IF(LEFT(A1611,1)="Q","Périmé (en quarantaine)","PÉRIMÉ → déplacer en zone Q"),IF(H1611&lt;3,"Péremption &lt; 3 mois",IF(H1611&lt;6,"Péremption &lt; 6 mois",""))))</f>
        <v/>
      </c>
      <c r="J1611" s="17" t="str">
        <f aca="false">IF(A1611="","",IF(COUNTIF(Emplacements!$A$2:$A$1001,A1611)=0,"⚠ emplacement inconnu","OK"))</f>
        <v/>
      </c>
      <c r="K1611" s="22" t="str">
        <f aca="false">IF(AND(B1611&lt;&gt;"",ISNUMBER(SEARCH(Recherche!$C$3,C1611&amp;" "&amp;B1611&amp;" "&amp;A1611&amp;" "&amp;D1611))),MAX($K$1:K1610)+1,"")</f>
        <v/>
      </c>
    </row>
    <row r="1612" customFormat="false" ht="15" hidden="false" customHeight="false" outlineLevel="0" collapsed="false">
      <c r="A1612" s="12"/>
      <c r="B1612" s="12"/>
      <c r="C1612" s="17" t="str">
        <f aca="false">IF(B1612="","",IFERROR(INDEX(Produits!$F$2:$F$1001,MATCH(B1612,Produits!$A$2:$A$1001,0)),"⚠ code article inconnu"))</f>
        <v/>
      </c>
      <c r="D1612" s="12"/>
      <c r="E1612" s="23"/>
      <c r="F1612" s="24"/>
      <c r="G1612" s="23"/>
      <c r="H1612" s="21" t="str">
        <f aca="true">IF(E1612="","",ROUND((E1612-TODAY())/30.4,1))</f>
        <v/>
      </c>
      <c r="I1612" s="17" t="str">
        <f aca="false">IF(E1612="","",IF(H1612&lt;0,IF(LEFT(A1612,1)="Q","Périmé (en quarantaine)","PÉRIMÉ → déplacer en zone Q"),IF(H1612&lt;3,"Péremption &lt; 3 mois",IF(H1612&lt;6,"Péremption &lt; 6 mois",""))))</f>
        <v/>
      </c>
      <c r="J1612" s="17" t="str">
        <f aca="false">IF(A1612="","",IF(COUNTIF(Emplacements!$A$2:$A$1001,A1612)=0,"⚠ emplacement inconnu","OK"))</f>
        <v/>
      </c>
      <c r="K1612" s="22" t="str">
        <f aca="false">IF(AND(B1612&lt;&gt;"",ISNUMBER(SEARCH(Recherche!$C$3,C1612&amp;" "&amp;B1612&amp;" "&amp;A1612&amp;" "&amp;D1612))),MAX($K$1:K1611)+1,"")</f>
        <v/>
      </c>
    </row>
    <row r="1613" customFormat="false" ht="15" hidden="false" customHeight="false" outlineLevel="0" collapsed="false">
      <c r="A1613" s="12"/>
      <c r="B1613" s="12"/>
      <c r="C1613" s="17" t="str">
        <f aca="false">IF(B1613="","",IFERROR(INDEX(Produits!$F$2:$F$1001,MATCH(B1613,Produits!$A$2:$A$1001,0)),"⚠ code article inconnu"))</f>
        <v/>
      </c>
      <c r="D1613" s="12"/>
      <c r="E1613" s="23"/>
      <c r="F1613" s="24"/>
      <c r="G1613" s="23"/>
      <c r="H1613" s="21" t="str">
        <f aca="true">IF(E1613="","",ROUND((E1613-TODAY())/30.4,1))</f>
        <v/>
      </c>
      <c r="I1613" s="17" t="str">
        <f aca="false">IF(E1613="","",IF(H1613&lt;0,IF(LEFT(A1613,1)="Q","Périmé (en quarantaine)","PÉRIMÉ → déplacer en zone Q"),IF(H1613&lt;3,"Péremption &lt; 3 mois",IF(H1613&lt;6,"Péremption &lt; 6 mois",""))))</f>
        <v/>
      </c>
      <c r="J1613" s="17" t="str">
        <f aca="false">IF(A1613="","",IF(COUNTIF(Emplacements!$A$2:$A$1001,A1613)=0,"⚠ emplacement inconnu","OK"))</f>
        <v/>
      </c>
      <c r="K1613" s="22" t="str">
        <f aca="false">IF(AND(B1613&lt;&gt;"",ISNUMBER(SEARCH(Recherche!$C$3,C1613&amp;" "&amp;B1613&amp;" "&amp;A1613&amp;" "&amp;D1613))),MAX($K$1:K1612)+1,"")</f>
        <v/>
      </c>
    </row>
    <row r="1614" customFormat="false" ht="15" hidden="false" customHeight="false" outlineLevel="0" collapsed="false">
      <c r="A1614" s="12"/>
      <c r="B1614" s="12"/>
      <c r="C1614" s="17" t="str">
        <f aca="false">IF(B1614="","",IFERROR(INDEX(Produits!$F$2:$F$1001,MATCH(B1614,Produits!$A$2:$A$1001,0)),"⚠ code article inconnu"))</f>
        <v/>
      </c>
      <c r="D1614" s="12"/>
      <c r="E1614" s="23"/>
      <c r="F1614" s="24"/>
      <c r="G1614" s="23"/>
      <c r="H1614" s="21" t="str">
        <f aca="true">IF(E1614="","",ROUND((E1614-TODAY())/30.4,1))</f>
        <v/>
      </c>
      <c r="I1614" s="17" t="str">
        <f aca="false">IF(E1614="","",IF(H1614&lt;0,IF(LEFT(A1614,1)="Q","Périmé (en quarantaine)","PÉRIMÉ → déplacer en zone Q"),IF(H1614&lt;3,"Péremption &lt; 3 mois",IF(H1614&lt;6,"Péremption &lt; 6 mois",""))))</f>
        <v/>
      </c>
      <c r="J1614" s="17" t="str">
        <f aca="false">IF(A1614="","",IF(COUNTIF(Emplacements!$A$2:$A$1001,A1614)=0,"⚠ emplacement inconnu","OK"))</f>
        <v/>
      </c>
      <c r="K1614" s="22" t="str">
        <f aca="false">IF(AND(B1614&lt;&gt;"",ISNUMBER(SEARCH(Recherche!$C$3,C1614&amp;" "&amp;B1614&amp;" "&amp;A1614&amp;" "&amp;D1614))),MAX($K$1:K1613)+1,"")</f>
        <v/>
      </c>
    </row>
    <row r="1615" customFormat="false" ht="15" hidden="false" customHeight="false" outlineLevel="0" collapsed="false">
      <c r="A1615" s="12"/>
      <c r="B1615" s="12"/>
      <c r="C1615" s="17" t="str">
        <f aca="false">IF(B1615="","",IFERROR(INDEX(Produits!$F$2:$F$1001,MATCH(B1615,Produits!$A$2:$A$1001,0)),"⚠ code article inconnu"))</f>
        <v/>
      </c>
      <c r="D1615" s="12"/>
      <c r="E1615" s="23"/>
      <c r="F1615" s="24"/>
      <c r="G1615" s="23"/>
      <c r="H1615" s="21" t="str">
        <f aca="true">IF(E1615="","",ROUND((E1615-TODAY())/30.4,1))</f>
        <v/>
      </c>
      <c r="I1615" s="17" t="str">
        <f aca="false">IF(E1615="","",IF(H1615&lt;0,IF(LEFT(A1615,1)="Q","Périmé (en quarantaine)","PÉRIMÉ → déplacer en zone Q"),IF(H1615&lt;3,"Péremption &lt; 3 mois",IF(H1615&lt;6,"Péremption &lt; 6 mois",""))))</f>
        <v/>
      </c>
      <c r="J1615" s="17" t="str">
        <f aca="false">IF(A1615="","",IF(COUNTIF(Emplacements!$A$2:$A$1001,A1615)=0,"⚠ emplacement inconnu","OK"))</f>
        <v/>
      </c>
      <c r="K1615" s="22" t="str">
        <f aca="false">IF(AND(B1615&lt;&gt;"",ISNUMBER(SEARCH(Recherche!$C$3,C1615&amp;" "&amp;B1615&amp;" "&amp;A1615&amp;" "&amp;D1615))),MAX($K$1:K1614)+1,"")</f>
        <v/>
      </c>
    </row>
    <row r="1616" customFormat="false" ht="15" hidden="false" customHeight="false" outlineLevel="0" collapsed="false">
      <c r="A1616" s="12"/>
      <c r="B1616" s="12"/>
      <c r="C1616" s="17" t="str">
        <f aca="false">IF(B1616="","",IFERROR(INDEX(Produits!$F$2:$F$1001,MATCH(B1616,Produits!$A$2:$A$1001,0)),"⚠ code article inconnu"))</f>
        <v/>
      </c>
      <c r="D1616" s="12"/>
      <c r="E1616" s="23"/>
      <c r="F1616" s="24"/>
      <c r="G1616" s="23"/>
      <c r="H1616" s="21" t="str">
        <f aca="true">IF(E1616="","",ROUND((E1616-TODAY())/30.4,1))</f>
        <v/>
      </c>
      <c r="I1616" s="17" t="str">
        <f aca="false">IF(E1616="","",IF(H1616&lt;0,IF(LEFT(A1616,1)="Q","Périmé (en quarantaine)","PÉRIMÉ → déplacer en zone Q"),IF(H1616&lt;3,"Péremption &lt; 3 mois",IF(H1616&lt;6,"Péremption &lt; 6 mois",""))))</f>
        <v/>
      </c>
      <c r="J1616" s="17" t="str">
        <f aca="false">IF(A1616="","",IF(COUNTIF(Emplacements!$A$2:$A$1001,A1616)=0,"⚠ emplacement inconnu","OK"))</f>
        <v/>
      </c>
      <c r="K1616" s="22" t="str">
        <f aca="false">IF(AND(B1616&lt;&gt;"",ISNUMBER(SEARCH(Recherche!$C$3,C1616&amp;" "&amp;B1616&amp;" "&amp;A1616&amp;" "&amp;D1616))),MAX($K$1:K1615)+1,"")</f>
        <v/>
      </c>
    </row>
    <row r="1617" customFormat="false" ht="15" hidden="false" customHeight="false" outlineLevel="0" collapsed="false">
      <c r="A1617" s="12"/>
      <c r="B1617" s="12"/>
      <c r="C1617" s="17" t="str">
        <f aca="false">IF(B1617="","",IFERROR(INDEX(Produits!$F$2:$F$1001,MATCH(B1617,Produits!$A$2:$A$1001,0)),"⚠ code article inconnu"))</f>
        <v/>
      </c>
      <c r="D1617" s="12"/>
      <c r="E1617" s="23"/>
      <c r="F1617" s="24"/>
      <c r="G1617" s="23"/>
      <c r="H1617" s="21" t="str">
        <f aca="true">IF(E1617="","",ROUND((E1617-TODAY())/30.4,1))</f>
        <v/>
      </c>
      <c r="I1617" s="17" t="str">
        <f aca="false">IF(E1617="","",IF(H1617&lt;0,IF(LEFT(A1617,1)="Q","Périmé (en quarantaine)","PÉRIMÉ → déplacer en zone Q"),IF(H1617&lt;3,"Péremption &lt; 3 mois",IF(H1617&lt;6,"Péremption &lt; 6 mois",""))))</f>
        <v/>
      </c>
      <c r="J1617" s="17" t="str">
        <f aca="false">IF(A1617="","",IF(COUNTIF(Emplacements!$A$2:$A$1001,A1617)=0,"⚠ emplacement inconnu","OK"))</f>
        <v/>
      </c>
      <c r="K1617" s="22" t="str">
        <f aca="false">IF(AND(B1617&lt;&gt;"",ISNUMBER(SEARCH(Recherche!$C$3,C1617&amp;" "&amp;B1617&amp;" "&amp;A1617&amp;" "&amp;D1617))),MAX($K$1:K1616)+1,"")</f>
        <v/>
      </c>
    </row>
    <row r="1618" customFormat="false" ht="15" hidden="false" customHeight="false" outlineLevel="0" collapsed="false">
      <c r="A1618" s="12"/>
      <c r="B1618" s="12"/>
      <c r="C1618" s="17" t="str">
        <f aca="false">IF(B1618="","",IFERROR(INDEX(Produits!$F$2:$F$1001,MATCH(B1618,Produits!$A$2:$A$1001,0)),"⚠ code article inconnu"))</f>
        <v/>
      </c>
      <c r="D1618" s="12"/>
      <c r="E1618" s="23"/>
      <c r="F1618" s="24"/>
      <c r="G1618" s="23"/>
      <c r="H1618" s="21" t="str">
        <f aca="true">IF(E1618="","",ROUND((E1618-TODAY())/30.4,1))</f>
        <v/>
      </c>
      <c r="I1618" s="17" t="str">
        <f aca="false">IF(E1618="","",IF(H1618&lt;0,IF(LEFT(A1618,1)="Q","Périmé (en quarantaine)","PÉRIMÉ → déplacer en zone Q"),IF(H1618&lt;3,"Péremption &lt; 3 mois",IF(H1618&lt;6,"Péremption &lt; 6 mois",""))))</f>
        <v/>
      </c>
      <c r="J1618" s="17" t="str">
        <f aca="false">IF(A1618="","",IF(COUNTIF(Emplacements!$A$2:$A$1001,A1618)=0,"⚠ emplacement inconnu","OK"))</f>
        <v/>
      </c>
      <c r="K1618" s="22" t="str">
        <f aca="false">IF(AND(B1618&lt;&gt;"",ISNUMBER(SEARCH(Recherche!$C$3,C1618&amp;" "&amp;B1618&amp;" "&amp;A1618&amp;" "&amp;D1618))),MAX($K$1:K1617)+1,"")</f>
        <v/>
      </c>
    </row>
    <row r="1619" customFormat="false" ht="15" hidden="false" customHeight="false" outlineLevel="0" collapsed="false">
      <c r="A1619" s="12"/>
      <c r="B1619" s="12"/>
      <c r="C1619" s="17" t="str">
        <f aca="false">IF(B1619="","",IFERROR(INDEX(Produits!$F$2:$F$1001,MATCH(B1619,Produits!$A$2:$A$1001,0)),"⚠ code article inconnu"))</f>
        <v/>
      </c>
      <c r="D1619" s="12"/>
      <c r="E1619" s="23"/>
      <c r="F1619" s="24"/>
      <c r="G1619" s="23"/>
      <c r="H1619" s="21" t="str">
        <f aca="true">IF(E1619="","",ROUND((E1619-TODAY())/30.4,1))</f>
        <v/>
      </c>
      <c r="I1619" s="17" t="str">
        <f aca="false">IF(E1619="","",IF(H1619&lt;0,IF(LEFT(A1619,1)="Q","Périmé (en quarantaine)","PÉRIMÉ → déplacer en zone Q"),IF(H1619&lt;3,"Péremption &lt; 3 mois",IF(H1619&lt;6,"Péremption &lt; 6 mois",""))))</f>
        <v/>
      </c>
      <c r="J1619" s="17" t="str">
        <f aca="false">IF(A1619="","",IF(COUNTIF(Emplacements!$A$2:$A$1001,A1619)=0,"⚠ emplacement inconnu","OK"))</f>
        <v/>
      </c>
      <c r="K1619" s="22" t="str">
        <f aca="false">IF(AND(B1619&lt;&gt;"",ISNUMBER(SEARCH(Recherche!$C$3,C1619&amp;" "&amp;B1619&amp;" "&amp;A1619&amp;" "&amp;D1619))),MAX($K$1:K1618)+1,"")</f>
        <v/>
      </c>
    </row>
    <row r="1620" customFormat="false" ht="15" hidden="false" customHeight="false" outlineLevel="0" collapsed="false">
      <c r="A1620" s="12"/>
      <c r="B1620" s="12"/>
      <c r="C1620" s="17" t="str">
        <f aca="false">IF(B1620="","",IFERROR(INDEX(Produits!$F$2:$F$1001,MATCH(B1620,Produits!$A$2:$A$1001,0)),"⚠ code article inconnu"))</f>
        <v/>
      </c>
      <c r="D1620" s="12"/>
      <c r="E1620" s="23"/>
      <c r="F1620" s="24"/>
      <c r="G1620" s="23"/>
      <c r="H1620" s="21" t="str">
        <f aca="true">IF(E1620="","",ROUND((E1620-TODAY())/30.4,1))</f>
        <v/>
      </c>
      <c r="I1620" s="17" t="str">
        <f aca="false">IF(E1620="","",IF(H1620&lt;0,IF(LEFT(A1620,1)="Q","Périmé (en quarantaine)","PÉRIMÉ → déplacer en zone Q"),IF(H1620&lt;3,"Péremption &lt; 3 mois",IF(H1620&lt;6,"Péremption &lt; 6 mois",""))))</f>
        <v/>
      </c>
      <c r="J1620" s="17" t="str">
        <f aca="false">IF(A1620="","",IF(COUNTIF(Emplacements!$A$2:$A$1001,A1620)=0,"⚠ emplacement inconnu","OK"))</f>
        <v/>
      </c>
      <c r="K1620" s="22" t="str">
        <f aca="false">IF(AND(B1620&lt;&gt;"",ISNUMBER(SEARCH(Recherche!$C$3,C1620&amp;" "&amp;B1620&amp;" "&amp;A1620&amp;" "&amp;D1620))),MAX($K$1:K1619)+1,"")</f>
        <v/>
      </c>
    </row>
    <row r="1621" customFormat="false" ht="15" hidden="false" customHeight="false" outlineLevel="0" collapsed="false">
      <c r="A1621" s="12"/>
      <c r="B1621" s="12"/>
      <c r="C1621" s="17" t="str">
        <f aca="false">IF(B1621="","",IFERROR(INDEX(Produits!$F$2:$F$1001,MATCH(B1621,Produits!$A$2:$A$1001,0)),"⚠ code article inconnu"))</f>
        <v/>
      </c>
      <c r="D1621" s="12"/>
      <c r="E1621" s="23"/>
      <c r="F1621" s="24"/>
      <c r="G1621" s="23"/>
      <c r="H1621" s="21" t="str">
        <f aca="true">IF(E1621="","",ROUND((E1621-TODAY())/30.4,1))</f>
        <v/>
      </c>
      <c r="I1621" s="17" t="str">
        <f aca="false">IF(E1621="","",IF(H1621&lt;0,IF(LEFT(A1621,1)="Q","Périmé (en quarantaine)","PÉRIMÉ → déplacer en zone Q"),IF(H1621&lt;3,"Péremption &lt; 3 mois",IF(H1621&lt;6,"Péremption &lt; 6 mois",""))))</f>
        <v/>
      </c>
      <c r="J1621" s="17" t="str">
        <f aca="false">IF(A1621="","",IF(COUNTIF(Emplacements!$A$2:$A$1001,A1621)=0,"⚠ emplacement inconnu","OK"))</f>
        <v/>
      </c>
      <c r="K1621" s="22" t="str">
        <f aca="false">IF(AND(B1621&lt;&gt;"",ISNUMBER(SEARCH(Recherche!$C$3,C1621&amp;" "&amp;B1621&amp;" "&amp;A1621&amp;" "&amp;D1621))),MAX($K$1:K1620)+1,"")</f>
        <v/>
      </c>
    </row>
    <row r="1622" customFormat="false" ht="15" hidden="false" customHeight="false" outlineLevel="0" collapsed="false">
      <c r="A1622" s="12"/>
      <c r="B1622" s="12"/>
      <c r="C1622" s="17" t="str">
        <f aca="false">IF(B1622="","",IFERROR(INDEX(Produits!$F$2:$F$1001,MATCH(B1622,Produits!$A$2:$A$1001,0)),"⚠ code article inconnu"))</f>
        <v/>
      </c>
      <c r="D1622" s="12"/>
      <c r="E1622" s="23"/>
      <c r="F1622" s="24"/>
      <c r="G1622" s="23"/>
      <c r="H1622" s="21" t="str">
        <f aca="true">IF(E1622="","",ROUND((E1622-TODAY())/30.4,1))</f>
        <v/>
      </c>
      <c r="I1622" s="17" t="str">
        <f aca="false">IF(E1622="","",IF(H1622&lt;0,IF(LEFT(A1622,1)="Q","Périmé (en quarantaine)","PÉRIMÉ → déplacer en zone Q"),IF(H1622&lt;3,"Péremption &lt; 3 mois",IF(H1622&lt;6,"Péremption &lt; 6 mois",""))))</f>
        <v/>
      </c>
      <c r="J1622" s="17" t="str">
        <f aca="false">IF(A1622="","",IF(COUNTIF(Emplacements!$A$2:$A$1001,A1622)=0,"⚠ emplacement inconnu","OK"))</f>
        <v/>
      </c>
      <c r="K1622" s="22" t="str">
        <f aca="false">IF(AND(B1622&lt;&gt;"",ISNUMBER(SEARCH(Recherche!$C$3,C1622&amp;" "&amp;B1622&amp;" "&amp;A1622&amp;" "&amp;D1622))),MAX($K$1:K1621)+1,"")</f>
        <v/>
      </c>
    </row>
    <row r="1623" customFormat="false" ht="15" hidden="false" customHeight="false" outlineLevel="0" collapsed="false">
      <c r="A1623" s="12"/>
      <c r="B1623" s="12"/>
      <c r="C1623" s="17" t="str">
        <f aca="false">IF(B1623="","",IFERROR(INDEX(Produits!$F$2:$F$1001,MATCH(B1623,Produits!$A$2:$A$1001,0)),"⚠ code article inconnu"))</f>
        <v/>
      </c>
      <c r="D1623" s="12"/>
      <c r="E1623" s="23"/>
      <c r="F1623" s="24"/>
      <c r="G1623" s="23"/>
      <c r="H1623" s="21" t="str">
        <f aca="true">IF(E1623="","",ROUND((E1623-TODAY())/30.4,1))</f>
        <v/>
      </c>
      <c r="I1623" s="17" t="str">
        <f aca="false">IF(E1623="","",IF(H1623&lt;0,IF(LEFT(A1623,1)="Q","Périmé (en quarantaine)","PÉRIMÉ → déplacer en zone Q"),IF(H1623&lt;3,"Péremption &lt; 3 mois",IF(H1623&lt;6,"Péremption &lt; 6 mois",""))))</f>
        <v/>
      </c>
      <c r="J1623" s="17" t="str">
        <f aca="false">IF(A1623="","",IF(COUNTIF(Emplacements!$A$2:$A$1001,A1623)=0,"⚠ emplacement inconnu","OK"))</f>
        <v/>
      </c>
      <c r="K1623" s="22" t="str">
        <f aca="false">IF(AND(B1623&lt;&gt;"",ISNUMBER(SEARCH(Recherche!$C$3,C1623&amp;" "&amp;B1623&amp;" "&amp;A1623&amp;" "&amp;D1623))),MAX($K$1:K1622)+1,"")</f>
        <v/>
      </c>
    </row>
    <row r="1624" customFormat="false" ht="15" hidden="false" customHeight="false" outlineLevel="0" collapsed="false">
      <c r="A1624" s="12"/>
      <c r="B1624" s="12"/>
      <c r="C1624" s="17" t="str">
        <f aca="false">IF(B1624="","",IFERROR(INDEX(Produits!$F$2:$F$1001,MATCH(B1624,Produits!$A$2:$A$1001,0)),"⚠ code article inconnu"))</f>
        <v/>
      </c>
      <c r="D1624" s="12"/>
      <c r="E1624" s="23"/>
      <c r="F1624" s="24"/>
      <c r="G1624" s="23"/>
      <c r="H1624" s="21" t="str">
        <f aca="true">IF(E1624="","",ROUND((E1624-TODAY())/30.4,1))</f>
        <v/>
      </c>
      <c r="I1624" s="17" t="str">
        <f aca="false">IF(E1624="","",IF(H1624&lt;0,IF(LEFT(A1624,1)="Q","Périmé (en quarantaine)","PÉRIMÉ → déplacer en zone Q"),IF(H1624&lt;3,"Péremption &lt; 3 mois",IF(H1624&lt;6,"Péremption &lt; 6 mois",""))))</f>
        <v/>
      </c>
      <c r="J1624" s="17" t="str">
        <f aca="false">IF(A1624="","",IF(COUNTIF(Emplacements!$A$2:$A$1001,A1624)=0,"⚠ emplacement inconnu","OK"))</f>
        <v/>
      </c>
      <c r="K1624" s="22" t="str">
        <f aca="false">IF(AND(B1624&lt;&gt;"",ISNUMBER(SEARCH(Recherche!$C$3,C1624&amp;" "&amp;B1624&amp;" "&amp;A1624&amp;" "&amp;D1624))),MAX($K$1:K1623)+1,"")</f>
        <v/>
      </c>
    </row>
    <row r="1625" customFormat="false" ht="15" hidden="false" customHeight="false" outlineLevel="0" collapsed="false">
      <c r="A1625" s="12"/>
      <c r="B1625" s="12"/>
      <c r="C1625" s="17" t="str">
        <f aca="false">IF(B1625="","",IFERROR(INDEX(Produits!$F$2:$F$1001,MATCH(B1625,Produits!$A$2:$A$1001,0)),"⚠ code article inconnu"))</f>
        <v/>
      </c>
      <c r="D1625" s="12"/>
      <c r="E1625" s="23"/>
      <c r="F1625" s="24"/>
      <c r="G1625" s="23"/>
      <c r="H1625" s="21" t="str">
        <f aca="true">IF(E1625="","",ROUND((E1625-TODAY())/30.4,1))</f>
        <v/>
      </c>
      <c r="I1625" s="17" t="str">
        <f aca="false">IF(E1625="","",IF(H1625&lt;0,IF(LEFT(A1625,1)="Q","Périmé (en quarantaine)","PÉRIMÉ → déplacer en zone Q"),IF(H1625&lt;3,"Péremption &lt; 3 mois",IF(H1625&lt;6,"Péremption &lt; 6 mois",""))))</f>
        <v/>
      </c>
      <c r="J1625" s="17" t="str">
        <f aca="false">IF(A1625="","",IF(COUNTIF(Emplacements!$A$2:$A$1001,A1625)=0,"⚠ emplacement inconnu","OK"))</f>
        <v/>
      </c>
      <c r="K1625" s="22" t="str">
        <f aca="false">IF(AND(B1625&lt;&gt;"",ISNUMBER(SEARCH(Recherche!$C$3,C1625&amp;" "&amp;B1625&amp;" "&amp;A1625&amp;" "&amp;D1625))),MAX($K$1:K1624)+1,"")</f>
        <v/>
      </c>
    </row>
    <row r="1626" customFormat="false" ht="15" hidden="false" customHeight="false" outlineLevel="0" collapsed="false">
      <c r="A1626" s="12"/>
      <c r="B1626" s="12"/>
      <c r="C1626" s="17" t="str">
        <f aca="false">IF(B1626="","",IFERROR(INDEX(Produits!$F$2:$F$1001,MATCH(B1626,Produits!$A$2:$A$1001,0)),"⚠ code article inconnu"))</f>
        <v/>
      </c>
      <c r="D1626" s="12"/>
      <c r="E1626" s="23"/>
      <c r="F1626" s="24"/>
      <c r="G1626" s="23"/>
      <c r="H1626" s="21" t="str">
        <f aca="true">IF(E1626="","",ROUND((E1626-TODAY())/30.4,1))</f>
        <v/>
      </c>
      <c r="I1626" s="17" t="str">
        <f aca="false">IF(E1626="","",IF(H1626&lt;0,IF(LEFT(A1626,1)="Q","Périmé (en quarantaine)","PÉRIMÉ → déplacer en zone Q"),IF(H1626&lt;3,"Péremption &lt; 3 mois",IF(H1626&lt;6,"Péremption &lt; 6 mois",""))))</f>
        <v/>
      </c>
      <c r="J1626" s="17" t="str">
        <f aca="false">IF(A1626="","",IF(COUNTIF(Emplacements!$A$2:$A$1001,A1626)=0,"⚠ emplacement inconnu","OK"))</f>
        <v/>
      </c>
      <c r="K1626" s="22" t="str">
        <f aca="false">IF(AND(B1626&lt;&gt;"",ISNUMBER(SEARCH(Recherche!$C$3,C1626&amp;" "&amp;B1626&amp;" "&amp;A1626&amp;" "&amp;D1626))),MAX($K$1:K1625)+1,"")</f>
        <v/>
      </c>
    </row>
    <row r="1627" customFormat="false" ht="15" hidden="false" customHeight="false" outlineLevel="0" collapsed="false">
      <c r="A1627" s="12"/>
      <c r="B1627" s="12"/>
      <c r="C1627" s="17" t="str">
        <f aca="false">IF(B1627="","",IFERROR(INDEX(Produits!$F$2:$F$1001,MATCH(B1627,Produits!$A$2:$A$1001,0)),"⚠ code article inconnu"))</f>
        <v/>
      </c>
      <c r="D1627" s="12"/>
      <c r="E1627" s="23"/>
      <c r="F1627" s="24"/>
      <c r="G1627" s="23"/>
      <c r="H1627" s="21" t="str">
        <f aca="true">IF(E1627="","",ROUND((E1627-TODAY())/30.4,1))</f>
        <v/>
      </c>
      <c r="I1627" s="17" t="str">
        <f aca="false">IF(E1627="","",IF(H1627&lt;0,IF(LEFT(A1627,1)="Q","Périmé (en quarantaine)","PÉRIMÉ → déplacer en zone Q"),IF(H1627&lt;3,"Péremption &lt; 3 mois",IF(H1627&lt;6,"Péremption &lt; 6 mois",""))))</f>
        <v/>
      </c>
      <c r="J1627" s="17" t="str">
        <f aca="false">IF(A1627="","",IF(COUNTIF(Emplacements!$A$2:$A$1001,A1627)=0,"⚠ emplacement inconnu","OK"))</f>
        <v/>
      </c>
      <c r="K1627" s="22" t="str">
        <f aca="false">IF(AND(B1627&lt;&gt;"",ISNUMBER(SEARCH(Recherche!$C$3,C1627&amp;" "&amp;B1627&amp;" "&amp;A1627&amp;" "&amp;D1627))),MAX($K$1:K1626)+1,"")</f>
        <v/>
      </c>
    </row>
    <row r="1628" customFormat="false" ht="15" hidden="false" customHeight="false" outlineLevel="0" collapsed="false">
      <c r="A1628" s="12"/>
      <c r="B1628" s="12"/>
      <c r="C1628" s="17" t="str">
        <f aca="false">IF(B1628="","",IFERROR(INDEX(Produits!$F$2:$F$1001,MATCH(B1628,Produits!$A$2:$A$1001,0)),"⚠ code article inconnu"))</f>
        <v/>
      </c>
      <c r="D1628" s="12"/>
      <c r="E1628" s="23"/>
      <c r="F1628" s="24"/>
      <c r="G1628" s="23"/>
      <c r="H1628" s="21" t="str">
        <f aca="true">IF(E1628="","",ROUND((E1628-TODAY())/30.4,1))</f>
        <v/>
      </c>
      <c r="I1628" s="17" t="str">
        <f aca="false">IF(E1628="","",IF(H1628&lt;0,IF(LEFT(A1628,1)="Q","Périmé (en quarantaine)","PÉRIMÉ → déplacer en zone Q"),IF(H1628&lt;3,"Péremption &lt; 3 mois",IF(H1628&lt;6,"Péremption &lt; 6 mois",""))))</f>
        <v/>
      </c>
      <c r="J1628" s="17" t="str">
        <f aca="false">IF(A1628="","",IF(COUNTIF(Emplacements!$A$2:$A$1001,A1628)=0,"⚠ emplacement inconnu","OK"))</f>
        <v/>
      </c>
      <c r="K1628" s="22" t="str">
        <f aca="false">IF(AND(B1628&lt;&gt;"",ISNUMBER(SEARCH(Recherche!$C$3,C1628&amp;" "&amp;B1628&amp;" "&amp;A1628&amp;" "&amp;D1628))),MAX($K$1:K1627)+1,"")</f>
        <v/>
      </c>
    </row>
    <row r="1629" customFormat="false" ht="15" hidden="false" customHeight="false" outlineLevel="0" collapsed="false">
      <c r="A1629" s="12"/>
      <c r="B1629" s="12"/>
      <c r="C1629" s="17" t="str">
        <f aca="false">IF(B1629="","",IFERROR(INDEX(Produits!$F$2:$F$1001,MATCH(B1629,Produits!$A$2:$A$1001,0)),"⚠ code article inconnu"))</f>
        <v/>
      </c>
      <c r="D1629" s="12"/>
      <c r="E1629" s="23"/>
      <c r="F1629" s="24"/>
      <c r="G1629" s="23"/>
      <c r="H1629" s="21" t="str">
        <f aca="true">IF(E1629="","",ROUND((E1629-TODAY())/30.4,1))</f>
        <v/>
      </c>
      <c r="I1629" s="17" t="str">
        <f aca="false">IF(E1629="","",IF(H1629&lt;0,IF(LEFT(A1629,1)="Q","Périmé (en quarantaine)","PÉRIMÉ → déplacer en zone Q"),IF(H1629&lt;3,"Péremption &lt; 3 mois",IF(H1629&lt;6,"Péremption &lt; 6 mois",""))))</f>
        <v/>
      </c>
      <c r="J1629" s="17" t="str">
        <f aca="false">IF(A1629="","",IF(COUNTIF(Emplacements!$A$2:$A$1001,A1629)=0,"⚠ emplacement inconnu","OK"))</f>
        <v/>
      </c>
      <c r="K1629" s="22" t="str">
        <f aca="false">IF(AND(B1629&lt;&gt;"",ISNUMBER(SEARCH(Recherche!$C$3,C1629&amp;" "&amp;B1629&amp;" "&amp;A1629&amp;" "&amp;D1629))),MAX($K$1:K1628)+1,"")</f>
        <v/>
      </c>
    </row>
    <row r="1630" customFormat="false" ht="15" hidden="false" customHeight="false" outlineLevel="0" collapsed="false">
      <c r="A1630" s="12"/>
      <c r="B1630" s="12"/>
      <c r="C1630" s="17" t="str">
        <f aca="false">IF(B1630="","",IFERROR(INDEX(Produits!$F$2:$F$1001,MATCH(B1630,Produits!$A$2:$A$1001,0)),"⚠ code article inconnu"))</f>
        <v/>
      </c>
      <c r="D1630" s="12"/>
      <c r="E1630" s="23"/>
      <c r="F1630" s="24"/>
      <c r="G1630" s="23"/>
      <c r="H1630" s="21" t="str">
        <f aca="true">IF(E1630="","",ROUND((E1630-TODAY())/30.4,1))</f>
        <v/>
      </c>
      <c r="I1630" s="17" t="str">
        <f aca="false">IF(E1630="","",IF(H1630&lt;0,IF(LEFT(A1630,1)="Q","Périmé (en quarantaine)","PÉRIMÉ → déplacer en zone Q"),IF(H1630&lt;3,"Péremption &lt; 3 mois",IF(H1630&lt;6,"Péremption &lt; 6 mois",""))))</f>
        <v/>
      </c>
      <c r="J1630" s="17" t="str">
        <f aca="false">IF(A1630="","",IF(COUNTIF(Emplacements!$A$2:$A$1001,A1630)=0,"⚠ emplacement inconnu","OK"))</f>
        <v/>
      </c>
      <c r="K1630" s="22" t="str">
        <f aca="false">IF(AND(B1630&lt;&gt;"",ISNUMBER(SEARCH(Recherche!$C$3,C1630&amp;" "&amp;B1630&amp;" "&amp;A1630&amp;" "&amp;D1630))),MAX($K$1:K1629)+1,"")</f>
        <v/>
      </c>
    </row>
    <row r="1631" customFormat="false" ht="15" hidden="false" customHeight="false" outlineLevel="0" collapsed="false">
      <c r="A1631" s="12"/>
      <c r="B1631" s="12"/>
      <c r="C1631" s="17" t="str">
        <f aca="false">IF(B1631="","",IFERROR(INDEX(Produits!$F$2:$F$1001,MATCH(B1631,Produits!$A$2:$A$1001,0)),"⚠ code article inconnu"))</f>
        <v/>
      </c>
      <c r="D1631" s="12"/>
      <c r="E1631" s="23"/>
      <c r="F1631" s="24"/>
      <c r="G1631" s="23"/>
      <c r="H1631" s="21" t="str">
        <f aca="true">IF(E1631="","",ROUND((E1631-TODAY())/30.4,1))</f>
        <v/>
      </c>
      <c r="I1631" s="17" t="str">
        <f aca="false">IF(E1631="","",IF(H1631&lt;0,IF(LEFT(A1631,1)="Q","Périmé (en quarantaine)","PÉRIMÉ → déplacer en zone Q"),IF(H1631&lt;3,"Péremption &lt; 3 mois",IF(H1631&lt;6,"Péremption &lt; 6 mois",""))))</f>
        <v/>
      </c>
      <c r="J1631" s="17" t="str">
        <f aca="false">IF(A1631="","",IF(COUNTIF(Emplacements!$A$2:$A$1001,A1631)=0,"⚠ emplacement inconnu","OK"))</f>
        <v/>
      </c>
      <c r="K1631" s="22" t="str">
        <f aca="false">IF(AND(B1631&lt;&gt;"",ISNUMBER(SEARCH(Recherche!$C$3,C1631&amp;" "&amp;B1631&amp;" "&amp;A1631&amp;" "&amp;D1631))),MAX($K$1:K1630)+1,"")</f>
        <v/>
      </c>
    </row>
    <row r="1632" customFormat="false" ht="15" hidden="false" customHeight="false" outlineLevel="0" collapsed="false">
      <c r="A1632" s="12"/>
      <c r="B1632" s="12"/>
      <c r="C1632" s="17" t="str">
        <f aca="false">IF(B1632="","",IFERROR(INDEX(Produits!$F$2:$F$1001,MATCH(B1632,Produits!$A$2:$A$1001,0)),"⚠ code article inconnu"))</f>
        <v/>
      </c>
      <c r="D1632" s="12"/>
      <c r="E1632" s="23"/>
      <c r="F1632" s="24"/>
      <c r="G1632" s="23"/>
      <c r="H1632" s="21" t="str">
        <f aca="true">IF(E1632="","",ROUND((E1632-TODAY())/30.4,1))</f>
        <v/>
      </c>
      <c r="I1632" s="17" t="str">
        <f aca="false">IF(E1632="","",IF(H1632&lt;0,IF(LEFT(A1632,1)="Q","Périmé (en quarantaine)","PÉRIMÉ → déplacer en zone Q"),IF(H1632&lt;3,"Péremption &lt; 3 mois",IF(H1632&lt;6,"Péremption &lt; 6 mois",""))))</f>
        <v/>
      </c>
      <c r="J1632" s="17" t="str">
        <f aca="false">IF(A1632="","",IF(COUNTIF(Emplacements!$A$2:$A$1001,A1632)=0,"⚠ emplacement inconnu","OK"))</f>
        <v/>
      </c>
      <c r="K1632" s="22" t="str">
        <f aca="false">IF(AND(B1632&lt;&gt;"",ISNUMBER(SEARCH(Recherche!$C$3,C1632&amp;" "&amp;B1632&amp;" "&amp;A1632&amp;" "&amp;D1632))),MAX($K$1:K1631)+1,"")</f>
        <v/>
      </c>
    </row>
    <row r="1633" customFormat="false" ht="15" hidden="false" customHeight="false" outlineLevel="0" collapsed="false">
      <c r="A1633" s="12"/>
      <c r="B1633" s="12"/>
      <c r="C1633" s="17" t="str">
        <f aca="false">IF(B1633="","",IFERROR(INDEX(Produits!$F$2:$F$1001,MATCH(B1633,Produits!$A$2:$A$1001,0)),"⚠ code article inconnu"))</f>
        <v/>
      </c>
      <c r="D1633" s="12"/>
      <c r="E1633" s="23"/>
      <c r="F1633" s="24"/>
      <c r="G1633" s="23"/>
      <c r="H1633" s="21" t="str">
        <f aca="true">IF(E1633="","",ROUND((E1633-TODAY())/30.4,1))</f>
        <v/>
      </c>
      <c r="I1633" s="17" t="str">
        <f aca="false">IF(E1633="","",IF(H1633&lt;0,IF(LEFT(A1633,1)="Q","Périmé (en quarantaine)","PÉRIMÉ → déplacer en zone Q"),IF(H1633&lt;3,"Péremption &lt; 3 mois",IF(H1633&lt;6,"Péremption &lt; 6 mois",""))))</f>
        <v/>
      </c>
      <c r="J1633" s="17" t="str">
        <f aca="false">IF(A1633="","",IF(COUNTIF(Emplacements!$A$2:$A$1001,A1633)=0,"⚠ emplacement inconnu","OK"))</f>
        <v/>
      </c>
      <c r="K1633" s="22" t="str">
        <f aca="false">IF(AND(B1633&lt;&gt;"",ISNUMBER(SEARCH(Recherche!$C$3,C1633&amp;" "&amp;B1633&amp;" "&amp;A1633&amp;" "&amp;D1633))),MAX($K$1:K1632)+1,"")</f>
        <v/>
      </c>
    </row>
    <row r="1634" customFormat="false" ht="15" hidden="false" customHeight="false" outlineLevel="0" collapsed="false">
      <c r="A1634" s="12"/>
      <c r="B1634" s="12"/>
      <c r="C1634" s="17" t="str">
        <f aca="false">IF(B1634="","",IFERROR(INDEX(Produits!$F$2:$F$1001,MATCH(B1634,Produits!$A$2:$A$1001,0)),"⚠ code article inconnu"))</f>
        <v/>
      </c>
      <c r="D1634" s="12"/>
      <c r="E1634" s="23"/>
      <c r="F1634" s="24"/>
      <c r="G1634" s="23"/>
      <c r="H1634" s="21" t="str">
        <f aca="true">IF(E1634="","",ROUND((E1634-TODAY())/30.4,1))</f>
        <v/>
      </c>
      <c r="I1634" s="17" t="str">
        <f aca="false">IF(E1634="","",IF(H1634&lt;0,IF(LEFT(A1634,1)="Q","Périmé (en quarantaine)","PÉRIMÉ → déplacer en zone Q"),IF(H1634&lt;3,"Péremption &lt; 3 mois",IF(H1634&lt;6,"Péremption &lt; 6 mois",""))))</f>
        <v/>
      </c>
      <c r="J1634" s="17" t="str">
        <f aca="false">IF(A1634="","",IF(COUNTIF(Emplacements!$A$2:$A$1001,A1634)=0,"⚠ emplacement inconnu","OK"))</f>
        <v/>
      </c>
      <c r="K1634" s="22" t="str">
        <f aca="false">IF(AND(B1634&lt;&gt;"",ISNUMBER(SEARCH(Recherche!$C$3,C1634&amp;" "&amp;B1634&amp;" "&amp;A1634&amp;" "&amp;D1634))),MAX($K$1:K1633)+1,"")</f>
        <v/>
      </c>
    </row>
    <row r="1635" customFormat="false" ht="15" hidden="false" customHeight="false" outlineLevel="0" collapsed="false">
      <c r="A1635" s="12"/>
      <c r="B1635" s="12"/>
      <c r="C1635" s="17" t="str">
        <f aca="false">IF(B1635="","",IFERROR(INDEX(Produits!$F$2:$F$1001,MATCH(B1635,Produits!$A$2:$A$1001,0)),"⚠ code article inconnu"))</f>
        <v/>
      </c>
      <c r="D1635" s="12"/>
      <c r="E1635" s="23"/>
      <c r="F1635" s="24"/>
      <c r="G1635" s="23"/>
      <c r="H1635" s="21" t="str">
        <f aca="true">IF(E1635="","",ROUND((E1635-TODAY())/30.4,1))</f>
        <v/>
      </c>
      <c r="I1635" s="17" t="str">
        <f aca="false">IF(E1635="","",IF(H1635&lt;0,IF(LEFT(A1635,1)="Q","Périmé (en quarantaine)","PÉRIMÉ → déplacer en zone Q"),IF(H1635&lt;3,"Péremption &lt; 3 mois",IF(H1635&lt;6,"Péremption &lt; 6 mois",""))))</f>
        <v/>
      </c>
      <c r="J1635" s="17" t="str">
        <f aca="false">IF(A1635="","",IF(COUNTIF(Emplacements!$A$2:$A$1001,A1635)=0,"⚠ emplacement inconnu","OK"))</f>
        <v/>
      </c>
      <c r="K1635" s="22" t="str">
        <f aca="false">IF(AND(B1635&lt;&gt;"",ISNUMBER(SEARCH(Recherche!$C$3,C1635&amp;" "&amp;B1635&amp;" "&amp;A1635&amp;" "&amp;D1635))),MAX($K$1:K1634)+1,"")</f>
        <v/>
      </c>
    </row>
    <row r="1636" customFormat="false" ht="15" hidden="false" customHeight="false" outlineLevel="0" collapsed="false">
      <c r="A1636" s="12"/>
      <c r="B1636" s="12"/>
      <c r="C1636" s="17" t="str">
        <f aca="false">IF(B1636="","",IFERROR(INDEX(Produits!$F$2:$F$1001,MATCH(B1636,Produits!$A$2:$A$1001,0)),"⚠ code article inconnu"))</f>
        <v/>
      </c>
      <c r="D1636" s="12"/>
      <c r="E1636" s="23"/>
      <c r="F1636" s="24"/>
      <c r="G1636" s="23"/>
      <c r="H1636" s="21" t="str">
        <f aca="true">IF(E1636="","",ROUND((E1636-TODAY())/30.4,1))</f>
        <v/>
      </c>
      <c r="I1636" s="17" t="str">
        <f aca="false">IF(E1636="","",IF(H1636&lt;0,IF(LEFT(A1636,1)="Q","Périmé (en quarantaine)","PÉRIMÉ → déplacer en zone Q"),IF(H1636&lt;3,"Péremption &lt; 3 mois",IF(H1636&lt;6,"Péremption &lt; 6 mois",""))))</f>
        <v/>
      </c>
      <c r="J1636" s="17" t="str">
        <f aca="false">IF(A1636="","",IF(COUNTIF(Emplacements!$A$2:$A$1001,A1636)=0,"⚠ emplacement inconnu","OK"))</f>
        <v/>
      </c>
      <c r="K1636" s="22" t="str">
        <f aca="false">IF(AND(B1636&lt;&gt;"",ISNUMBER(SEARCH(Recherche!$C$3,C1636&amp;" "&amp;B1636&amp;" "&amp;A1636&amp;" "&amp;D1636))),MAX($K$1:K1635)+1,"")</f>
        <v/>
      </c>
    </row>
    <row r="1637" customFormat="false" ht="15" hidden="false" customHeight="false" outlineLevel="0" collapsed="false">
      <c r="A1637" s="12"/>
      <c r="B1637" s="12"/>
      <c r="C1637" s="17" t="str">
        <f aca="false">IF(B1637="","",IFERROR(INDEX(Produits!$F$2:$F$1001,MATCH(B1637,Produits!$A$2:$A$1001,0)),"⚠ code article inconnu"))</f>
        <v/>
      </c>
      <c r="D1637" s="12"/>
      <c r="E1637" s="23"/>
      <c r="F1637" s="24"/>
      <c r="G1637" s="23"/>
      <c r="H1637" s="21" t="str">
        <f aca="true">IF(E1637="","",ROUND((E1637-TODAY())/30.4,1))</f>
        <v/>
      </c>
      <c r="I1637" s="17" t="str">
        <f aca="false">IF(E1637="","",IF(H1637&lt;0,IF(LEFT(A1637,1)="Q","Périmé (en quarantaine)","PÉRIMÉ → déplacer en zone Q"),IF(H1637&lt;3,"Péremption &lt; 3 mois",IF(H1637&lt;6,"Péremption &lt; 6 mois",""))))</f>
        <v/>
      </c>
      <c r="J1637" s="17" t="str">
        <f aca="false">IF(A1637="","",IF(COUNTIF(Emplacements!$A$2:$A$1001,A1637)=0,"⚠ emplacement inconnu","OK"))</f>
        <v/>
      </c>
      <c r="K1637" s="22" t="str">
        <f aca="false">IF(AND(B1637&lt;&gt;"",ISNUMBER(SEARCH(Recherche!$C$3,C1637&amp;" "&amp;B1637&amp;" "&amp;A1637&amp;" "&amp;D1637))),MAX($K$1:K1636)+1,"")</f>
        <v/>
      </c>
    </row>
    <row r="1638" customFormat="false" ht="15" hidden="false" customHeight="false" outlineLevel="0" collapsed="false">
      <c r="A1638" s="12"/>
      <c r="B1638" s="12"/>
      <c r="C1638" s="17" t="str">
        <f aca="false">IF(B1638="","",IFERROR(INDEX(Produits!$F$2:$F$1001,MATCH(B1638,Produits!$A$2:$A$1001,0)),"⚠ code article inconnu"))</f>
        <v/>
      </c>
      <c r="D1638" s="12"/>
      <c r="E1638" s="23"/>
      <c r="F1638" s="24"/>
      <c r="G1638" s="23"/>
      <c r="H1638" s="21" t="str">
        <f aca="true">IF(E1638="","",ROUND((E1638-TODAY())/30.4,1))</f>
        <v/>
      </c>
      <c r="I1638" s="17" t="str">
        <f aca="false">IF(E1638="","",IF(H1638&lt;0,IF(LEFT(A1638,1)="Q","Périmé (en quarantaine)","PÉRIMÉ → déplacer en zone Q"),IF(H1638&lt;3,"Péremption &lt; 3 mois",IF(H1638&lt;6,"Péremption &lt; 6 mois",""))))</f>
        <v/>
      </c>
      <c r="J1638" s="17" t="str">
        <f aca="false">IF(A1638="","",IF(COUNTIF(Emplacements!$A$2:$A$1001,A1638)=0,"⚠ emplacement inconnu","OK"))</f>
        <v/>
      </c>
      <c r="K1638" s="22" t="str">
        <f aca="false">IF(AND(B1638&lt;&gt;"",ISNUMBER(SEARCH(Recherche!$C$3,C1638&amp;" "&amp;B1638&amp;" "&amp;A1638&amp;" "&amp;D1638))),MAX($K$1:K1637)+1,"")</f>
        <v/>
      </c>
    </row>
    <row r="1639" customFormat="false" ht="15" hidden="false" customHeight="false" outlineLevel="0" collapsed="false">
      <c r="A1639" s="12"/>
      <c r="B1639" s="12"/>
      <c r="C1639" s="17" t="str">
        <f aca="false">IF(B1639="","",IFERROR(INDEX(Produits!$F$2:$F$1001,MATCH(B1639,Produits!$A$2:$A$1001,0)),"⚠ code article inconnu"))</f>
        <v/>
      </c>
      <c r="D1639" s="12"/>
      <c r="E1639" s="23"/>
      <c r="F1639" s="24"/>
      <c r="G1639" s="23"/>
      <c r="H1639" s="21" t="str">
        <f aca="true">IF(E1639="","",ROUND((E1639-TODAY())/30.4,1))</f>
        <v/>
      </c>
      <c r="I1639" s="17" t="str">
        <f aca="false">IF(E1639="","",IF(H1639&lt;0,IF(LEFT(A1639,1)="Q","Périmé (en quarantaine)","PÉRIMÉ → déplacer en zone Q"),IF(H1639&lt;3,"Péremption &lt; 3 mois",IF(H1639&lt;6,"Péremption &lt; 6 mois",""))))</f>
        <v/>
      </c>
      <c r="J1639" s="17" t="str">
        <f aca="false">IF(A1639="","",IF(COUNTIF(Emplacements!$A$2:$A$1001,A1639)=0,"⚠ emplacement inconnu","OK"))</f>
        <v/>
      </c>
      <c r="K1639" s="22" t="str">
        <f aca="false">IF(AND(B1639&lt;&gt;"",ISNUMBER(SEARCH(Recherche!$C$3,C1639&amp;" "&amp;B1639&amp;" "&amp;A1639&amp;" "&amp;D1639))),MAX($K$1:K1638)+1,"")</f>
        <v/>
      </c>
    </row>
    <row r="1640" customFormat="false" ht="15" hidden="false" customHeight="false" outlineLevel="0" collapsed="false">
      <c r="A1640" s="12"/>
      <c r="B1640" s="12"/>
      <c r="C1640" s="17" t="str">
        <f aca="false">IF(B1640="","",IFERROR(INDEX(Produits!$F$2:$F$1001,MATCH(B1640,Produits!$A$2:$A$1001,0)),"⚠ code article inconnu"))</f>
        <v/>
      </c>
      <c r="D1640" s="12"/>
      <c r="E1640" s="23"/>
      <c r="F1640" s="24"/>
      <c r="G1640" s="23"/>
      <c r="H1640" s="21" t="str">
        <f aca="true">IF(E1640="","",ROUND((E1640-TODAY())/30.4,1))</f>
        <v/>
      </c>
      <c r="I1640" s="17" t="str">
        <f aca="false">IF(E1640="","",IF(H1640&lt;0,IF(LEFT(A1640,1)="Q","Périmé (en quarantaine)","PÉRIMÉ → déplacer en zone Q"),IF(H1640&lt;3,"Péremption &lt; 3 mois",IF(H1640&lt;6,"Péremption &lt; 6 mois",""))))</f>
        <v/>
      </c>
      <c r="J1640" s="17" t="str">
        <f aca="false">IF(A1640="","",IF(COUNTIF(Emplacements!$A$2:$A$1001,A1640)=0,"⚠ emplacement inconnu","OK"))</f>
        <v/>
      </c>
      <c r="K1640" s="22" t="str">
        <f aca="false">IF(AND(B1640&lt;&gt;"",ISNUMBER(SEARCH(Recherche!$C$3,C1640&amp;" "&amp;B1640&amp;" "&amp;A1640&amp;" "&amp;D1640))),MAX($K$1:K1639)+1,"")</f>
        <v/>
      </c>
    </row>
    <row r="1641" customFormat="false" ht="15" hidden="false" customHeight="false" outlineLevel="0" collapsed="false">
      <c r="A1641" s="12"/>
      <c r="B1641" s="12"/>
      <c r="C1641" s="17" t="str">
        <f aca="false">IF(B1641="","",IFERROR(INDEX(Produits!$F$2:$F$1001,MATCH(B1641,Produits!$A$2:$A$1001,0)),"⚠ code article inconnu"))</f>
        <v/>
      </c>
      <c r="D1641" s="12"/>
      <c r="E1641" s="23"/>
      <c r="F1641" s="24"/>
      <c r="G1641" s="23"/>
      <c r="H1641" s="21" t="str">
        <f aca="true">IF(E1641="","",ROUND((E1641-TODAY())/30.4,1))</f>
        <v/>
      </c>
      <c r="I1641" s="17" t="str">
        <f aca="false">IF(E1641="","",IF(H1641&lt;0,IF(LEFT(A1641,1)="Q","Périmé (en quarantaine)","PÉRIMÉ → déplacer en zone Q"),IF(H1641&lt;3,"Péremption &lt; 3 mois",IF(H1641&lt;6,"Péremption &lt; 6 mois",""))))</f>
        <v/>
      </c>
      <c r="J1641" s="17" t="str">
        <f aca="false">IF(A1641="","",IF(COUNTIF(Emplacements!$A$2:$A$1001,A1641)=0,"⚠ emplacement inconnu","OK"))</f>
        <v/>
      </c>
      <c r="K1641" s="22" t="str">
        <f aca="false">IF(AND(B1641&lt;&gt;"",ISNUMBER(SEARCH(Recherche!$C$3,C1641&amp;" "&amp;B1641&amp;" "&amp;A1641&amp;" "&amp;D1641))),MAX($K$1:K1640)+1,"")</f>
        <v/>
      </c>
    </row>
    <row r="1642" customFormat="false" ht="15" hidden="false" customHeight="false" outlineLevel="0" collapsed="false">
      <c r="A1642" s="12"/>
      <c r="B1642" s="12"/>
      <c r="C1642" s="17" t="str">
        <f aca="false">IF(B1642="","",IFERROR(INDEX(Produits!$F$2:$F$1001,MATCH(B1642,Produits!$A$2:$A$1001,0)),"⚠ code article inconnu"))</f>
        <v/>
      </c>
      <c r="D1642" s="12"/>
      <c r="E1642" s="23"/>
      <c r="F1642" s="24"/>
      <c r="G1642" s="23"/>
      <c r="H1642" s="21" t="str">
        <f aca="true">IF(E1642="","",ROUND((E1642-TODAY())/30.4,1))</f>
        <v/>
      </c>
      <c r="I1642" s="17" t="str">
        <f aca="false">IF(E1642="","",IF(H1642&lt;0,IF(LEFT(A1642,1)="Q","Périmé (en quarantaine)","PÉRIMÉ → déplacer en zone Q"),IF(H1642&lt;3,"Péremption &lt; 3 mois",IF(H1642&lt;6,"Péremption &lt; 6 mois",""))))</f>
        <v/>
      </c>
      <c r="J1642" s="17" t="str">
        <f aca="false">IF(A1642="","",IF(COUNTIF(Emplacements!$A$2:$A$1001,A1642)=0,"⚠ emplacement inconnu","OK"))</f>
        <v/>
      </c>
      <c r="K1642" s="22" t="str">
        <f aca="false">IF(AND(B1642&lt;&gt;"",ISNUMBER(SEARCH(Recherche!$C$3,C1642&amp;" "&amp;B1642&amp;" "&amp;A1642&amp;" "&amp;D1642))),MAX($K$1:K1641)+1,"")</f>
        <v/>
      </c>
    </row>
    <row r="1643" customFormat="false" ht="15" hidden="false" customHeight="false" outlineLevel="0" collapsed="false">
      <c r="A1643" s="12"/>
      <c r="B1643" s="12"/>
      <c r="C1643" s="17" t="str">
        <f aca="false">IF(B1643="","",IFERROR(INDEX(Produits!$F$2:$F$1001,MATCH(B1643,Produits!$A$2:$A$1001,0)),"⚠ code article inconnu"))</f>
        <v/>
      </c>
      <c r="D1643" s="12"/>
      <c r="E1643" s="23"/>
      <c r="F1643" s="24"/>
      <c r="G1643" s="23"/>
      <c r="H1643" s="21" t="str">
        <f aca="true">IF(E1643="","",ROUND((E1643-TODAY())/30.4,1))</f>
        <v/>
      </c>
      <c r="I1643" s="17" t="str">
        <f aca="false">IF(E1643="","",IF(H1643&lt;0,IF(LEFT(A1643,1)="Q","Périmé (en quarantaine)","PÉRIMÉ → déplacer en zone Q"),IF(H1643&lt;3,"Péremption &lt; 3 mois",IF(H1643&lt;6,"Péremption &lt; 6 mois",""))))</f>
        <v/>
      </c>
      <c r="J1643" s="17" t="str">
        <f aca="false">IF(A1643="","",IF(COUNTIF(Emplacements!$A$2:$A$1001,A1643)=0,"⚠ emplacement inconnu","OK"))</f>
        <v/>
      </c>
      <c r="K1643" s="22" t="str">
        <f aca="false">IF(AND(B1643&lt;&gt;"",ISNUMBER(SEARCH(Recherche!$C$3,C1643&amp;" "&amp;B1643&amp;" "&amp;A1643&amp;" "&amp;D1643))),MAX($K$1:K1642)+1,"")</f>
        <v/>
      </c>
    </row>
    <row r="1644" customFormat="false" ht="15" hidden="false" customHeight="false" outlineLevel="0" collapsed="false">
      <c r="A1644" s="12"/>
      <c r="B1644" s="12"/>
      <c r="C1644" s="17" t="str">
        <f aca="false">IF(B1644="","",IFERROR(INDEX(Produits!$F$2:$F$1001,MATCH(B1644,Produits!$A$2:$A$1001,0)),"⚠ code article inconnu"))</f>
        <v/>
      </c>
      <c r="D1644" s="12"/>
      <c r="E1644" s="23"/>
      <c r="F1644" s="24"/>
      <c r="G1644" s="23"/>
      <c r="H1644" s="21" t="str">
        <f aca="true">IF(E1644="","",ROUND((E1644-TODAY())/30.4,1))</f>
        <v/>
      </c>
      <c r="I1644" s="17" t="str">
        <f aca="false">IF(E1644="","",IF(H1644&lt;0,IF(LEFT(A1644,1)="Q","Périmé (en quarantaine)","PÉRIMÉ → déplacer en zone Q"),IF(H1644&lt;3,"Péremption &lt; 3 mois",IF(H1644&lt;6,"Péremption &lt; 6 mois",""))))</f>
        <v/>
      </c>
      <c r="J1644" s="17" t="str">
        <f aca="false">IF(A1644="","",IF(COUNTIF(Emplacements!$A$2:$A$1001,A1644)=0,"⚠ emplacement inconnu","OK"))</f>
        <v/>
      </c>
      <c r="K1644" s="22" t="str">
        <f aca="false">IF(AND(B1644&lt;&gt;"",ISNUMBER(SEARCH(Recherche!$C$3,C1644&amp;" "&amp;B1644&amp;" "&amp;A1644&amp;" "&amp;D1644))),MAX($K$1:K1643)+1,"")</f>
        <v/>
      </c>
    </row>
    <row r="1645" customFormat="false" ht="15" hidden="false" customHeight="false" outlineLevel="0" collapsed="false">
      <c r="A1645" s="12"/>
      <c r="B1645" s="12"/>
      <c r="C1645" s="17" t="str">
        <f aca="false">IF(B1645="","",IFERROR(INDEX(Produits!$F$2:$F$1001,MATCH(B1645,Produits!$A$2:$A$1001,0)),"⚠ code article inconnu"))</f>
        <v/>
      </c>
      <c r="D1645" s="12"/>
      <c r="E1645" s="23"/>
      <c r="F1645" s="24"/>
      <c r="G1645" s="23"/>
      <c r="H1645" s="21" t="str">
        <f aca="true">IF(E1645="","",ROUND((E1645-TODAY())/30.4,1))</f>
        <v/>
      </c>
      <c r="I1645" s="17" t="str">
        <f aca="false">IF(E1645="","",IF(H1645&lt;0,IF(LEFT(A1645,1)="Q","Périmé (en quarantaine)","PÉRIMÉ → déplacer en zone Q"),IF(H1645&lt;3,"Péremption &lt; 3 mois",IF(H1645&lt;6,"Péremption &lt; 6 mois",""))))</f>
        <v/>
      </c>
      <c r="J1645" s="17" t="str">
        <f aca="false">IF(A1645="","",IF(COUNTIF(Emplacements!$A$2:$A$1001,A1645)=0,"⚠ emplacement inconnu","OK"))</f>
        <v/>
      </c>
      <c r="K1645" s="22" t="str">
        <f aca="false">IF(AND(B1645&lt;&gt;"",ISNUMBER(SEARCH(Recherche!$C$3,C1645&amp;" "&amp;B1645&amp;" "&amp;A1645&amp;" "&amp;D1645))),MAX($K$1:K1644)+1,"")</f>
        <v/>
      </c>
    </row>
    <row r="1646" customFormat="false" ht="15" hidden="false" customHeight="false" outlineLevel="0" collapsed="false">
      <c r="A1646" s="12"/>
      <c r="B1646" s="12"/>
      <c r="C1646" s="17" t="str">
        <f aca="false">IF(B1646="","",IFERROR(INDEX(Produits!$F$2:$F$1001,MATCH(B1646,Produits!$A$2:$A$1001,0)),"⚠ code article inconnu"))</f>
        <v/>
      </c>
      <c r="D1646" s="12"/>
      <c r="E1646" s="23"/>
      <c r="F1646" s="24"/>
      <c r="G1646" s="23"/>
      <c r="H1646" s="21" t="str">
        <f aca="true">IF(E1646="","",ROUND((E1646-TODAY())/30.4,1))</f>
        <v/>
      </c>
      <c r="I1646" s="17" t="str">
        <f aca="false">IF(E1646="","",IF(H1646&lt;0,IF(LEFT(A1646,1)="Q","Périmé (en quarantaine)","PÉRIMÉ → déplacer en zone Q"),IF(H1646&lt;3,"Péremption &lt; 3 mois",IF(H1646&lt;6,"Péremption &lt; 6 mois",""))))</f>
        <v/>
      </c>
      <c r="J1646" s="17" t="str">
        <f aca="false">IF(A1646="","",IF(COUNTIF(Emplacements!$A$2:$A$1001,A1646)=0,"⚠ emplacement inconnu","OK"))</f>
        <v/>
      </c>
      <c r="K1646" s="22" t="str">
        <f aca="false">IF(AND(B1646&lt;&gt;"",ISNUMBER(SEARCH(Recherche!$C$3,C1646&amp;" "&amp;B1646&amp;" "&amp;A1646&amp;" "&amp;D1646))),MAX($K$1:K1645)+1,"")</f>
        <v/>
      </c>
    </row>
    <row r="1647" customFormat="false" ht="15" hidden="false" customHeight="false" outlineLevel="0" collapsed="false">
      <c r="A1647" s="12"/>
      <c r="B1647" s="12"/>
      <c r="C1647" s="17" t="str">
        <f aca="false">IF(B1647="","",IFERROR(INDEX(Produits!$F$2:$F$1001,MATCH(B1647,Produits!$A$2:$A$1001,0)),"⚠ code article inconnu"))</f>
        <v/>
      </c>
      <c r="D1647" s="12"/>
      <c r="E1647" s="23"/>
      <c r="F1647" s="24"/>
      <c r="G1647" s="23"/>
      <c r="H1647" s="21" t="str">
        <f aca="true">IF(E1647="","",ROUND((E1647-TODAY())/30.4,1))</f>
        <v/>
      </c>
      <c r="I1647" s="17" t="str">
        <f aca="false">IF(E1647="","",IF(H1647&lt;0,IF(LEFT(A1647,1)="Q","Périmé (en quarantaine)","PÉRIMÉ → déplacer en zone Q"),IF(H1647&lt;3,"Péremption &lt; 3 mois",IF(H1647&lt;6,"Péremption &lt; 6 mois",""))))</f>
        <v/>
      </c>
      <c r="J1647" s="17" t="str">
        <f aca="false">IF(A1647="","",IF(COUNTIF(Emplacements!$A$2:$A$1001,A1647)=0,"⚠ emplacement inconnu","OK"))</f>
        <v/>
      </c>
      <c r="K1647" s="22" t="str">
        <f aca="false">IF(AND(B1647&lt;&gt;"",ISNUMBER(SEARCH(Recherche!$C$3,C1647&amp;" "&amp;B1647&amp;" "&amp;A1647&amp;" "&amp;D1647))),MAX($K$1:K1646)+1,"")</f>
        <v/>
      </c>
    </row>
    <row r="1648" customFormat="false" ht="15" hidden="false" customHeight="false" outlineLevel="0" collapsed="false">
      <c r="A1648" s="12"/>
      <c r="B1648" s="12"/>
      <c r="C1648" s="17" t="str">
        <f aca="false">IF(B1648="","",IFERROR(INDEX(Produits!$F$2:$F$1001,MATCH(B1648,Produits!$A$2:$A$1001,0)),"⚠ code article inconnu"))</f>
        <v/>
      </c>
      <c r="D1648" s="12"/>
      <c r="E1648" s="23"/>
      <c r="F1648" s="24"/>
      <c r="G1648" s="23"/>
      <c r="H1648" s="21" t="str">
        <f aca="true">IF(E1648="","",ROUND((E1648-TODAY())/30.4,1))</f>
        <v/>
      </c>
      <c r="I1648" s="17" t="str">
        <f aca="false">IF(E1648="","",IF(H1648&lt;0,IF(LEFT(A1648,1)="Q","Périmé (en quarantaine)","PÉRIMÉ → déplacer en zone Q"),IF(H1648&lt;3,"Péremption &lt; 3 mois",IF(H1648&lt;6,"Péremption &lt; 6 mois",""))))</f>
        <v/>
      </c>
      <c r="J1648" s="17" t="str">
        <f aca="false">IF(A1648="","",IF(COUNTIF(Emplacements!$A$2:$A$1001,A1648)=0,"⚠ emplacement inconnu","OK"))</f>
        <v/>
      </c>
      <c r="K1648" s="22" t="str">
        <f aca="false">IF(AND(B1648&lt;&gt;"",ISNUMBER(SEARCH(Recherche!$C$3,C1648&amp;" "&amp;B1648&amp;" "&amp;A1648&amp;" "&amp;D1648))),MAX($K$1:K1647)+1,"")</f>
        <v/>
      </c>
    </row>
    <row r="1649" customFormat="false" ht="15" hidden="false" customHeight="false" outlineLevel="0" collapsed="false">
      <c r="A1649" s="12"/>
      <c r="B1649" s="12"/>
      <c r="C1649" s="17" t="str">
        <f aca="false">IF(B1649="","",IFERROR(INDEX(Produits!$F$2:$F$1001,MATCH(B1649,Produits!$A$2:$A$1001,0)),"⚠ code article inconnu"))</f>
        <v/>
      </c>
      <c r="D1649" s="12"/>
      <c r="E1649" s="23"/>
      <c r="F1649" s="24"/>
      <c r="G1649" s="23"/>
      <c r="H1649" s="21" t="str">
        <f aca="true">IF(E1649="","",ROUND((E1649-TODAY())/30.4,1))</f>
        <v/>
      </c>
      <c r="I1649" s="17" t="str">
        <f aca="false">IF(E1649="","",IF(H1649&lt;0,IF(LEFT(A1649,1)="Q","Périmé (en quarantaine)","PÉRIMÉ → déplacer en zone Q"),IF(H1649&lt;3,"Péremption &lt; 3 mois",IF(H1649&lt;6,"Péremption &lt; 6 mois",""))))</f>
        <v/>
      </c>
      <c r="J1649" s="17" t="str">
        <f aca="false">IF(A1649="","",IF(COUNTIF(Emplacements!$A$2:$A$1001,A1649)=0,"⚠ emplacement inconnu","OK"))</f>
        <v/>
      </c>
      <c r="K1649" s="22" t="str">
        <f aca="false">IF(AND(B1649&lt;&gt;"",ISNUMBER(SEARCH(Recherche!$C$3,C1649&amp;" "&amp;B1649&amp;" "&amp;A1649&amp;" "&amp;D1649))),MAX($K$1:K1648)+1,"")</f>
        <v/>
      </c>
    </row>
    <row r="1650" customFormat="false" ht="15" hidden="false" customHeight="false" outlineLevel="0" collapsed="false">
      <c r="A1650" s="12"/>
      <c r="B1650" s="12"/>
      <c r="C1650" s="17" t="str">
        <f aca="false">IF(B1650="","",IFERROR(INDEX(Produits!$F$2:$F$1001,MATCH(B1650,Produits!$A$2:$A$1001,0)),"⚠ code article inconnu"))</f>
        <v/>
      </c>
      <c r="D1650" s="12"/>
      <c r="E1650" s="23"/>
      <c r="F1650" s="24"/>
      <c r="G1650" s="23"/>
      <c r="H1650" s="21" t="str">
        <f aca="true">IF(E1650="","",ROUND((E1650-TODAY())/30.4,1))</f>
        <v/>
      </c>
      <c r="I1650" s="17" t="str">
        <f aca="false">IF(E1650="","",IF(H1650&lt;0,IF(LEFT(A1650,1)="Q","Périmé (en quarantaine)","PÉRIMÉ → déplacer en zone Q"),IF(H1650&lt;3,"Péremption &lt; 3 mois",IF(H1650&lt;6,"Péremption &lt; 6 mois",""))))</f>
        <v/>
      </c>
      <c r="J1650" s="17" t="str">
        <f aca="false">IF(A1650="","",IF(COUNTIF(Emplacements!$A$2:$A$1001,A1650)=0,"⚠ emplacement inconnu","OK"))</f>
        <v/>
      </c>
      <c r="K1650" s="22" t="str">
        <f aca="false">IF(AND(B1650&lt;&gt;"",ISNUMBER(SEARCH(Recherche!$C$3,C1650&amp;" "&amp;B1650&amp;" "&amp;A1650&amp;" "&amp;D1650))),MAX($K$1:K1649)+1,"")</f>
        <v/>
      </c>
    </row>
    <row r="1651" customFormat="false" ht="15" hidden="false" customHeight="false" outlineLevel="0" collapsed="false">
      <c r="A1651" s="12"/>
      <c r="B1651" s="12"/>
      <c r="C1651" s="17" t="str">
        <f aca="false">IF(B1651="","",IFERROR(INDEX(Produits!$F$2:$F$1001,MATCH(B1651,Produits!$A$2:$A$1001,0)),"⚠ code article inconnu"))</f>
        <v/>
      </c>
      <c r="D1651" s="12"/>
      <c r="E1651" s="23"/>
      <c r="F1651" s="24"/>
      <c r="G1651" s="23"/>
      <c r="H1651" s="21" t="str">
        <f aca="true">IF(E1651="","",ROUND((E1651-TODAY())/30.4,1))</f>
        <v/>
      </c>
      <c r="I1651" s="17" t="str">
        <f aca="false">IF(E1651="","",IF(H1651&lt;0,IF(LEFT(A1651,1)="Q","Périmé (en quarantaine)","PÉRIMÉ → déplacer en zone Q"),IF(H1651&lt;3,"Péremption &lt; 3 mois",IF(H1651&lt;6,"Péremption &lt; 6 mois",""))))</f>
        <v/>
      </c>
      <c r="J1651" s="17" t="str">
        <f aca="false">IF(A1651="","",IF(COUNTIF(Emplacements!$A$2:$A$1001,A1651)=0,"⚠ emplacement inconnu","OK"))</f>
        <v/>
      </c>
      <c r="K1651" s="22" t="str">
        <f aca="false">IF(AND(B1651&lt;&gt;"",ISNUMBER(SEARCH(Recherche!$C$3,C1651&amp;" "&amp;B1651&amp;" "&amp;A1651&amp;" "&amp;D1651))),MAX($K$1:K1650)+1,"")</f>
        <v/>
      </c>
    </row>
    <row r="1652" customFormat="false" ht="15" hidden="false" customHeight="false" outlineLevel="0" collapsed="false">
      <c r="A1652" s="12"/>
      <c r="B1652" s="12"/>
      <c r="C1652" s="17" t="str">
        <f aca="false">IF(B1652="","",IFERROR(INDEX(Produits!$F$2:$F$1001,MATCH(B1652,Produits!$A$2:$A$1001,0)),"⚠ code article inconnu"))</f>
        <v/>
      </c>
      <c r="D1652" s="12"/>
      <c r="E1652" s="23"/>
      <c r="F1652" s="24"/>
      <c r="G1652" s="23"/>
      <c r="H1652" s="21" t="str">
        <f aca="true">IF(E1652="","",ROUND((E1652-TODAY())/30.4,1))</f>
        <v/>
      </c>
      <c r="I1652" s="17" t="str">
        <f aca="false">IF(E1652="","",IF(H1652&lt;0,IF(LEFT(A1652,1)="Q","Périmé (en quarantaine)","PÉRIMÉ → déplacer en zone Q"),IF(H1652&lt;3,"Péremption &lt; 3 mois",IF(H1652&lt;6,"Péremption &lt; 6 mois",""))))</f>
        <v/>
      </c>
      <c r="J1652" s="17" t="str">
        <f aca="false">IF(A1652="","",IF(COUNTIF(Emplacements!$A$2:$A$1001,A1652)=0,"⚠ emplacement inconnu","OK"))</f>
        <v/>
      </c>
      <c r="K1652" s="22" t="str">
        <f aca="false">IF(AND(B1652&lt;&gt;"",ISNUMBER(SEARCH(Recherche!$C$3,C1652&amp;" "&amp;B1652&amp;" "&amp;A1652&amp;" "&amp;D1652))),MAX($K$1:K1651)+1,"")</f>
        <v/>
      </c>
    </row>
    <row r="1653" customFormat="false" ht="15" hidden="false" customHeight="false" outlineLevel="0" collapsed="false">
      <c r="A1653" s="12"/>
      <c r="B1653" s="12"/>
      <c r="C1653" s="17" t="str">
        <f aca="false">IF(B1653="","",IFERROR(INDEX(Produits!$F$2:$F$1001,MATCH(B1653,Produits!$A$2:$A$1001,0)),"⚠ code article inconnu"))</f>
        <v/>
      </c>
      <c r="D1653" s="12"/>
      <c r="E1653" s="23"/>
      <c r="F1653" s="24"/>
      <c r="G1653" s="23"/>
      <c r="H1653" s="21" t="str">
        <f aca="true">IF(E1653="","",ROUND((E1653-TODAY())/30.4,1))</f>
        <v/>
      </c>
      <c r="I1653" s="17" t="str">
        <f aca="false">IF(E1653="","",IF(H1653&lt;0,IF(LEFT(A1653,1)="Q","Périmé (en quarantaine)","PÉRIMÉ → déplacer en zone Q"),IF(H1653&lt;3,"Péremption &lt; 3 mois",IF(H1653&lt;6,"Péremption &lt; 6 mois",""))))</f>
        <v/>
      </c>
      <c r="J1653" s="17" t="str">
        <f aca="false">IF(A1653="","",IF(COUNTIF(Emplacements!$A$2:$A$1001,A1653)=0,"⚠ emplacement inconnu","OK"))</f>
        <v/>
      </c>
      <c r="K1653" s="22" t="str">
        <f aca="false">IF(AND(B1653&lt;&gt;"",ISNUMBER(SEARCH(Recherche!$C$3,C1653&amp;" "&amp;B1653&amp;" "&amp;A1653&amp;" "&amp;D1653))),MAX($K$1:K1652)+1,"")</f>
        <v/>
      </c>
    </row>
    <row r="1654" customFormat="false" ht="15" hidden="false" customHeight="false" outlineLevel="0" collapsed="false">
      <c r="A1654" s="12"/>
      <c r="B1654" s="12"/>
      <c r="C1654" s="17" t="str">
        <f aca="false">IF(B1654="","",IFERROR(INDEX(Produits!$F$2:$F$1001,MATCH(B1654,Produits!$A$2:$A$1001,0)),"⚠ code article inconnu"))</f>
        <v/>
      </c>
      <c r="D1654" s="12"/>
      <c r="E1654" s="23"/>
      <c r="F1654" s="24"/>
      <c r="G1654" s="23"/>
      <c r="H1654" s="21" t="str">
        <f aca="true">IF(E1654="","",ROUND((E1654-TODAY())/30.4,1))</f>
        <v/>
      </c>
      <c r="I1654" s="17" t="str">
        <f aca="false">IF(E1654="","",IF(H1654&lt;0,IF(LEFT(A1654,1)="Q","Périmé (en quarantaine)","PÉRIMÉ → déplacer en zone Q"),IF(H1654&lt;3,"Péremption &lt; 3 mois",IF(H1654&lt;6,"Péremption &lt; 6 mois",""))))</f>
        <v/>
      </c>
      <c r="J1654" s="17" t="str">
        <f aca="false">IF(A1654="","",IF(COUNTIF(Emplacements!$A$2:$A$1001,A1654)=0,"⚠ emplacement inconnu","OK"))</f>
        <v/>
      </c>
      <c r="K1654" s="22" t="str">
        <f aca="false">IF(AND(B1654&lt;&gt;"",ISNUMBER(SEARCH(Recherche!$C$3,C1654&amp;" "&amp;B1654&amp;" "&amp;A1654&amp;" "&amp;D1654))),MAX($K$1:K1653)+1,"")</f>
        <v/>
      </c>
    </row>
    <row r="1655" customFormat="false" ht="15" hidden="false" customHeight="false" outlineLevel="0" collapsed="false">
      <c r="A1655" s="12"/>
      <c r="B1655" s="12"/>
      <c r="C1655" s="17" t="str">
        <f aca="false">IF(B1655="","",IFERROR(INDEX(Produits!$F$2:$F$1001,MATCH(B1655,Produits!$A$2:$A$1001,0)),"⚠ code article inconnu"))</f>
        <v/>
      </c>
      <c r="D1655" s="12"/>
      <c r="E1655" s="23"/>
      <c r="F1655" s="24"/>
      <c r="G1655" s="23"/>
      <c r="H1655" s="21" t="str">
        <f aca="true">IF(E1655="","",ROUND((E1655-TODAY())/30.4,1))</f>
        <v/>
      </c>
      <c r="I1655" s="17" t="str">
        <f aca="false">IF(E1655="","",IF(H1655&lt;0,IF(LEFT(A1655,1)="Q","Périmé (en quarantaine)","PÉRIMÉ → déplacer en zone Q"),IF(H1655&lt;3,"Péremption &lt; 3 mois",IF(H1655&lt;6,"Péremption &lt; 6 mois",""))))</f>
        <v/>
      </c>
      <c r="J1655" s="17" t="str">
        <f aca="false">IF(A1655="","",IF(COUNTIF(Emplacements!$A$2:$A$1001,A1655)=0,"⚠ emplacement inconnu","OK"))</f>
        <v/>
      </c>
      <c r="K1655" s="22" t="str">
        <f aca="false">IF(AND(B1655&lt;&gt;"",ISNUMBER(SEARCH(Recherche!$C$3,C1655&amp;" "&amp;B1655&amp;" "&amp;A1655&amp;" "&amp;D1655))),MAX($K$1:K1654)+1,"")</f>
        <v/>
      </c>
    </row>
    <row r="1656" customFormat="false" ht="15" hidden="false" customHeight="false" outlineLevel="0" collapsed="false">
      <c r="A1656" s="12"/>
      <c r="B1656" s="12"/>
      <c r="C1656" s="17" t="str">
        <f aca="false">IF(B1656="","",IFERROR(INDEX(Produits!$F$2:$F$1001,MATCH(B1656,Produits!$A$2:$A$1001,0)),"⚠ code article inconnu"))</f>
        <v/>
      </c>
      <c r="D1656" s="12"/>
      <c r="E1656" s="23"/>
      <c r="F1656" s="24"/>
      <c r="G1656" s="23"/>
      <c r="H1656" s="21" t="str">
        <f aca="true">IF(E1656="","",ROUND((E1656-TODAY())/30.4,1))</f>
        <v/>
      </c>
      <c r="I1656" s="17" t="str">
        <f aca="false">IF(E1656="","",IF(H1656&lt;0,IF(LEFT(A1656,1)="Q","Périmé (en quarantaine)","PÉRIMÉ → déplacer en zone Q"),IF(H1656&lt;3,"Péremption &lt; 3 mois",IF(H1656&lt;6,"Péremption &lt; 6 mois",""))))</f>
        <v/>
      </c>
      <c r="J1656" s="17" t="str">
        <f aca="false">IF(A1656="","",IF(COUNTIF(Emplacements!$A$2:$A$1001,A1656)=0,"⚠ emplacement inconnu","OK"))</f>
        <v/>
      </c>
      <c r="K1656" s="22" t="str">
        <f aca="false">IF(AND(B1656&lt;&gt;"",ISNUMBER(SEARCH(Recherche!$C$3,C1656&amp;" "&amp;B1656&amp;" "&amp;A1656&amp;" "&amp;D1656))),MAX($K$1:K1655)+1,"")</f>
        <v/>
      </c>
    </row>
    <row r="1657" customFormat="false" ht="15" hidden="false" customHeight="false" outlineLevel="0" collapsed="false">
      <c r="A1657" s="12"/>
      <c r="B1657" s="12"/>
      <c r="C1657" s="17" t="str">
        <f aca="false">IF(B1657="","",IFERROR(INDEX(Produits!$F$2:$F$1001,MATCH(B1657,Produits!$A$2:$A$1001,0)),"⚠ code article inconnu"))</f>
        <v/>
      </c>
      <c r="D1657" s="12"/>
      <c r="E1657" s="23"/>
      <c r="F1657" s="24"/>
      <c r="G1657" s="23"/>
      <c r="H1657" s="21" t="str">
        <f aca="true">IF(E1657="","",ROUND((E1657-TODAY())/30.4,1))</f>
        <v/>
      </c>
      <c r="I1657" s="17" t="str">
        <f aca="false">IF(E1657="","",IF(H1657&lt;0,IF(LEFT(A1657,1)="Q","Périmé (en quarantaine)","PÉRIMÉ → déplacer en zone Q"),IF(H1657&lt;3,"Péremption &lt; 3 mois",IF(H1657&lt;6,"Péremption &lt; 6 mois",""))))</f>
        <v/>
      </c>
      <c r="J1657" s="17" t="str">
        <f aca="false">IF(A1657="","",IF(COUNTIF(Emplacements!$A$2:$A$1001,A1657)=0,"⚠ emplacement inconnu","OK"))</f>
        <v/>
      </c>
      <c r="K1657" s="22" t="str">
        <f aca="false">IF(AND(B1657&lt;&gt;"",ISNUMBER(SEARCH(Recherche!$C$3,C1657&amp;" "&amp;B1657&amp;" "&amp;A1657&amp;" "&amp;D1657))),MAX($K$1:K1656)+1,"")</f>
        <v/>
      </c>
    </row>
    <row r="1658" customFormat="false" ht="15" hidden="false" customHeight="false" outlineLevel="0" collapsed="false">
      <c r="A1658" s="12"/>
      <c r="B1658" s="12"/>
      <c r="C1658" s="17" t="str">
        <f aca="false">IF(B1658="","",IFERROR(INDEX(Produits!$F$2:$F$1001,MATCH(B1658,Produits!$A$2:$A$1001,0)),"⚠ code article inconnu"))</f>
        <v/>
      </c>
      <c r="D1658" s="12"/>
      <c r="E1658" s="23"/>
      <c r="F1658" s="24"/>
      <c r="G1658" s="23"/>
      <c r="H1658" s="21" t="str">
        <f aca="true">IF(E1658="","",ROUND((E1658-TODAY())/30.4,1))</f>
        <v/>
      </c>
      <c r="I1658" s="17" t="str">
        <f aca="false">IF(E1658="","",IF(H1658&lt;0,IF(LEFT(A1658,1)="Q","Périmé (en quarantaine)","PÉRIMÉ → déplacer en zone Q"),IF(H1658&lt;3,"Péremption &lt; 3 mois",IF(H1658&lt;6,"Péremption &lt; 6 mois",""))))</f>
        <v/>
      </c>
      <c r="J1658" s="17" t="str">
        <f aca="false">IF(A1658="","",IF(COUNTIF(Emplacements!$A$2:$A$1001,A1658)=0,"⚠ emplacement inconnu","OK"))</f>
        <v/>
      </c>
      <c r="K1658" s="22" t="str">
        <f aca="false">IF(AND(B1658&lt;&gt;"",ISNUMBER(SEARCH(Recherche!$C$3,C1658&amp;" "&amp;B1658&amp;" "&amp;A1658&amp;" "&amp;D1658))),MAX($K$1:K1657)+1,"")</f>
        <v/>
      </c>
    </row>
    <row r="1659" customFormat="false" ht="15" hidden="false" customHeight="false" outlineLevel="0" collapsed="false">
      <c r="A1659" s="12"/>
      <c r="B1659" s="12"/>
      <c r="C1659" s="17" t="str">
        <f aca="false">IF(B1659="","",IFERROR(INDEX(Produits!$F$2:$F$1001,MATCH(B1659,Produits!$A$2:$A$1001,0)),"⚠ code article inconnu"))</f>
        <v/>
      </c>
      <c r="D1659" s="12"/>
      <c r="E1659" s="23"/>
      <c r="F1659" s="24"/>
      <c r="G1659" s="23"/>
      <c r="H1659" s="21" t="str">
        <f aca="true">IF(E1659="","",ROUND((E1659-TODAY())/30.4,1))</f>
        <v/>
      </c>
      <c r="I1659" s="17" t="str">
        <f aca="false">IF(E1659="","",IF(H1659&lt;0,IF(LEFT(A1659,1)="Q","Périmé (en quarantaine)","PÉRIMÉ → déplacer en zone Q"),IF(H1659&lt;3,"Péremption &lt; 3 mois",IF(H1659&lt;6,"Péremption &lt; 6 mois",""))))</f>
        <v/>
      </c>
      <c r="J1659" s="17" t="str">
        <f aca="false">IF(A1659="","",IF(COUNTIF(Emplacements!$A$2:$A$1001,A1659)=0,"⚠ emplacement inconnu","OK"))</f>
        <v/>
      </c>
      <c r="K1659" s="22" t="str">
        <f aca="false">IF(AND(B1659&lt;&gt;"",ISNUMBER(SEARCH(Recherche!$C$3,C1659&amp;" "&amp;B1659&amp;" "&amp;A1659&amp;" "&amp;D1659))),MAX($K$1:K1658)+1,"")</f>
        <v/>
      </c>
    </row>
    <row r="1660" customFormat="false" ht="15" hidden="false" customHeight="false" outlineLevel="0" collapsed="false">
      <c r="A1660" s="12"/>
      <c r="B1660" s="12"/>
      <c r="C1660" s="17" t="str">
        <f aca="false">IF(B1660="","",IFERROR(INDEX(Produits!$F$2:$F$1001,MATCH(B1660,Produits!$A$2:$A$1001,0)),"⚠ code article inconnu"))</f>
        <v/>
      </c>
      <c r="D1660" s="12"/>
      <c r="E1660" s="23"/>
      <c r="F1660" s="24"/>
      <c r="G1660" s="23"/>
      <c r="H1660" s="21" t="str">
        <f aca="true">IF(E1660="","",ROUND((E1660-TODAY())/30.4,1))</f>
        <v/>
      </c>
      <c r="I1660" s="17" t="str">
        <f aca="false">IF(E1660="","",IF(H1660&lt;0,IF(LEFT(A1660,1)="Q","Périmé (en quarantaine)","PÉRIMÉ → déplacer en zone Q"),IF(H1660&lt;3,"Péremption &lt; 3 mois",IF(H1660&lt;6,"Péremption &lt; 6 mois",""))))</f>
        <v/>
      </c>
      <c r="J1660" s="17" t="str">
        <f aca="false">IF(A1660="","",IF(COUNTIF(Emplacements!$A$2:$A$1001,A1660)=0,"⚠ emplacement inconnu","OK"))</f>
        <v/>
      </c>
      <c r="K1660" s="22" t="str">
        <f aca="false">IF(AND(B1660&lt;&gt;"",ISNUMBER(SEARCH(Recherche!$C$3,C1660&amp;" "&amp;B1660&amp;" "&amp;A1660&amp;" "&amp;D1660))),MAX($K$1:K1659)+1,"")</f>
        <v/>
      </c>
    </row>
    <row r="1661" customFormat="false" ht="15" hidden="false" customHeight="false" outlineLevel="0" collapsed="false">
      <c r="A1661" s="12"/>
      <c r="B1661" s="12"/>
      <c r="C1661" s="17" t="str">
        <f aca="false">IF(B1661="","",IFERROR(INDEX(Produits!$F$2:$F$1001,MATCH(B1661,Produits!$A$2:$A$1001,0)),"⚠ code article inconnu"))</f>
        <v/>
      </c>
      <c r="D1661" s="12"/>
      <c r="E1661" s="23"/>
      <c r="F1661" s="24"/>
      <c r="G1661" s="23"/>
      <c r="H1661" s="21" t="str">
        <f aca="true">IF(E1661="","",ROUND((E1661-TODAY())/30.4,1))</f>
        <v/>
      </c>
      <c r="I1661" s="17" t="str">
        <f aca="false">IF(E1661="","",IF(H1661&lt;0,IF(LEFT(A1661,1)="Q","Périmé (en quarantaine)","PÉRIMÉ → déplacer en zone Q"),IF(H1661&lt;3,"Péremption &lt; 3 mois",IF(H1661&lt;6,"Péremption &lt; 6 mois",""))))</f>
        <v/>
      </c>
      <c r="J1661" s="17" t="str">
        <f aca="false">IF(A1661="","",IF(COUNTIF(Emplacements!$A$2:$A$1001,A1661)=0,"⚠ emplacement inconnu","OK"))</f>
        <v/>
      </c>
      <c r="K1661" s="22" t="str">
        <f aca="false">IF(AND(B1661&lt;&gt;"",ISNUMBER(SEARCH(Recherche!$C$3,C1661&amp;" "&amp;B1661&amp;" "&amp;A1661&amp;" "&amp;D1661))),MAX($K$1:K1660)+1,"")</f>
        <v/>
      </c>
    </row>
    <row r="1662" customFormat="false" ht="15" hidden="false" customHeight="false" outlineLevel="0" collapsed="false">
      <c r="A1662" s="12"/>
      <c r="B1662" s="12"/>
      <c r="C1662" s="17" t="str">
        <f aca="false">IF(B1662="","",IFERROR(INDEX(Produits!$F$2:$F$1001,MATCH(B1662,Produits!$A$2:$A$1001,0)),"⚠ code article inconnu"))</f>
        <v/>
      </c>
      <c r="D1662" s="12"/>
      <c r="E1662" s="23"/>
      <c r="F1662" s="24"/>
      <c r="G1662" s="23"/>
      <c r="H1662" s="21" t="str">
        <f aca="true">IF(E1662="","",ROUND((E1662-TODAY())/30.4,1))</f>
        <v/>
      </c>
      <c r="I1662" s="17" t="str">
        <f aca="false">IF(E1662="","",IF(H1662&lt;0,IF(LEFT(A1662,1)="Q","Périmé (en quarantaine)","PÉRIMÉ → déplacer en zone Q"),IF(H1662&lt;3,"Péremption &lt; 3 mois",IF(H1662&lt;6,"Péremption &lt; 6 mois",""))))</f>
        <v/>
      </c>
      <c r="J1662" s="17" t="str">
        <f aca="false">IF(A1662="","",IF(COUNTIF(Emplacements!$A$2:$A$1001,A1662)=0,"⚠ emplacement inconnu","OK"))</f>
        <v/>
      </c>
      <c r="K1662" s="22" t="str">
        <f aca="false">IF(AND(B1662&lt;&gt;"",ISNUMBER(SEARCH(Recherche!$C$3,C1662&amp;" "&amp;B1662&amp;" "&amp;A1662&amp;" "&amp;D1662))),MAX($K$1:K1661)+1,"")</f>
        <v/>
      </c>
    </row>
    <row r="1663" customFormat="false" ht="15" hidden="false" customHeight="false" outlineLevel="0" collapsed="false">
      <c r="A1663" s="12"/>
      <c r="B1663" s="12"/>
      <c r="C1663" s="17" t="str">
        <f aca="false">IF(B1663="","",IFERROR(INDEX(Produits!$F$2:$F$1001,MATCH(B1663,Produits!$A$2:$A$1001,0)),"⚠ code article inconnu"))</f>
        <v/>
      </c>
      <c r="D1663" s="12"/>
      <c r="E1663" s="23"/>
      <c r="F1663" s="24"/>
      <c r="G1663" s="23"/>
      <c r="H1663" s="21" t="str">
        <f aca="true">IF(E1663="","",ROUND((E1663-TODAY())/30.4,1))</f>
        <v/>
      </c>
      <c r="I1663" s="17" t="str">
        <f aca="false">IF(E1663="","",IF(H1663&lt;0,IF(LEFT(A1663,1)="Q","Périmé (en quarantaine)","PÉRIMÉ → déplacer en zone Q"),IF(H1663&lt;3,"Péremption &lt; 3 mois",IF(H1663&lt;6,"Péremption &lt; 6 mois",""))))</f>
        <v/>
      </c>
      <c r="J1663" s="17" t="str">
        <f aca="false">IF(A1663="","",IF(COUNTIF(Emplacements!$A$2:$A$1001,A1663)=0,"⚠ emplacement inconnu","OK"))</f>
        <v/>
      </c>
      <c r="K1663" s="22" t="str">
        <f aca="false">IF(AND(B1663&lt;&gt;"",ISNUMBER(SEARCH(Recherche!$C$3,C1663&amp;" "&amp;B1663&amp;" "&amp;A1663&amp;" "&amp;D1663))),MAX($K$1:K1662)+1,"")</f>
        <v/>
      </c>
    </row>
    <row r="1664" customFormat="false" ht="15" hidden="false" customHeight="false" outlineLevel="0" collapsed="false">
      <c r="A1664" s="12"/>
      <c r="B1664" s="12"/>
      <c r="C1664" s="17" t="str">
        <f aca="false">IF(B1664="","",IFERROR(INDEX(Produits!$F$2:$F$1001,MATCH(B1664,Produits!$A$2:$A$1001,0)),"⚠ code article inconnu"))</f>
        <v/>
      </c>
      <c r="D1664" s="12"/>
      <c r="E1664" s="23"/>
      <c r="F1664" s="24"/>
      <c r="G1664" s="23"/>
      <c r="H1664" s="21" t="str">
        <f aca="true">IF(E1664="","",ROUND((E1664-TODAY())/30.4,1))</f>
        <v/>
      </c>
      <c r="I1664" s="17" t="str">
        <f aca="false">IF(E1664="","",IF(H1664&lt;0,IF(LEFT(A1664,1)="Q","Périmé (en quarantaine)","PÉRIMÉ → déplacer en zone Q"),IF(H1664&lt;3,"Péremption &lt; 3 mois",IF(H1664&lt;6,"Péremption &lt; 6 mois",""))))</f>
        <v/>
      </c>
      <c r="J1664" s="17" t="str">
        <f aca="false">IF(A1664="","",IF(COUNTIF(Emplacements!$A$2:$A$1001,A1664)=0,"⚠ emplacement inconnu","OK"))</f>
        <v/>
      </c>
      <c r="K1664" s="22" t="str">
        <f aca="false">IF(AND(B1664&lt;&gt;"",ISNUMBER(SEARCH(Recherche!$C$3,C1664&amp;" "&amp;B1664&amp;" "&amp;A1664&amp;" "&amp;D1664))),MAX($K$1:K1663)+1,"")</f>
        <v/>
      </c>
    </row>
    <row r="1665" customFormat="false" ht="15" hidden="false" customHeight="false" outlineLevel="0" collapsed="false">
      <c r="A1665" s="12"/>
      <c r="B1665" s="12"/>
      <c r="C1665" s="17" t="str">
        <f aca="false">IF(B1665="","",IFERROR(INDEX(Produits!$F$2:$F$1001,MATCH(B1665,Produits!$A$2:$A$1001,0)),"⚠ code article inconnu"))</f>
        <v/>
      </c>
      <c r="D1665" s="12"/>
      <c r="E1665" s="23"/>
      <c r="F1665" s="24"/>
      <c r="G1665" s="23"/>
      <c r="H1665" s="21" t="str">
        <f aca="true">IF(E1665="","",ROUND((E1665-TODAY())/30.4,1))</f>
        <v/>
      </c>
      <c r="I1665" s="17" t="str">
        <f aca="false">IF(E1665="","",IF(H1665&lt;0,IF(LEFT(A1665,1)="Q","Périmé (en quarantaine)","PÉRIMÉ → déplacer en zone Q"),IF(H1665&lt;3,"Péremption &lt; 3 mois",IF(H1665&lt;6,"Péremption &lt; 6 mois",""))))</f>
        <v/>
      </c>
      <c r="J1665" s="17" t="str">
        <f aca="false">IF(A1665="","",IF(COUNTIF(Emplacements!$A$2:$A$1001,A1665)=0,"⚠ emplacement inconnu","OK"))</f>
        <v/>
      </c>
      <c r="K1665" s="22" t="str">
        <f aca="false">IF(AND(B1665&lt;&gt;"",ISNUMBER(SEARCH(Recherche!$C$3,C1665&amp;" "&amp;B1665&amp;" "&amp;A1665&amp;" "&amp;D1665))),MAX($K$1:K1664)+1,"")</f>
        <v/>
      </c>
    </row>
    <row r="1666" customFormat="false" ht="15" hidden="false" customHeight="false" outlineLevel="0" collapsed="false">
      <c r="A1666" s="12"/>
      <c r="B1666" s="12"/>
      <c r="C1666" s="17" t="str">
        <f aca="false">IF(B1666="","",IFERROR(INDEX(Produits!$F$2:$F$1001,MATCH(B1666,Produits!$A$2:$A$1001,0)),"⚠ code article inconnu"))</f>
        <v/>
      </c>
      <c r="D1666" s="12"/>
      <c r="E1666" s="23"/>
      <c r="F1666" s="24"/>
      <c r="G1666" s="23"/>
      <c r="H1666" s="21" t="str">
        <f aca="true">IF(E1666="","",ROUND((E1666-TODAY())/30.4,1))</f>
        <v/>
      </c>
      <c r="I1666" s="17" t="str">
        <f aca="false">IF(E1666="","",IF(H1666&lt;0,IF(LEFT(A1666,1)="Q","Périmé (en quarantaine)","PÉRIMÉ → déplacer en zone Q"),IF(H1666&lt;3,"Péremption &lt; 3 mois",IF(H1666&lt;6,"Péremption &lt; 6 mois",""))))</f>
        <v/>
      </c>
      <c r="J1666" s="17" t="str">
        <f aca="false">IF(A1666="","",IF(COUNTIF(Emplacements!$A$2:$A$1001,A1666)=0,"⚠ emplacement inconnu","OK"))</f>
        <v/>
      </c>
      <c r="K1666" s="22" t="str">
        <f aca="false">IF(AND(B1666&lt;&gt;"",ISNUMBER(SEARCH(Recherche!$C$3,C1666&amp;" "&amp;B1666&amp;" "&amp;A1666&amp;" "&amp;D1666))),MAX($K$1:K1665)+1,"")</f>
        <v/>
      </c>
    </row>
    <row r="1667" customFormat="false" ht="15" hidden="false" customHeight="false" outlineLevel="0" collapsed="false">
      <c r="A1667" s="12"/>
      <c r="B1667" s="12"/>
      <c r="C1667" s="17" t="str">
        <f aca="false">IF(B1667="","",IFERROR(INDEX(Produits!$F$2:$F$1001,MATCH(B1667,Produits!$A$2:$A$1001,0)),"⚠ code article inconnu"))</f>
        <v/>
      </c>
      <c r="D1667" s="12"/>
      <c r="E1667" s="23"/>
      <c r="F1667" s="24"/>
      <c r="G1667" s="23"/>
      <c r="H1667" s="21" t="str">
        <f aca="true">IF(E1667="","",ROUND((E1667-TODAY())/30.4,1))</f>
        <v/>
      </c>
      <c r="I1667" s="17" t="str">
        <f aca="false">IF(E1667="","",IF(H1667&lt;0,IF(LEFT(A1667,1)="Q","Périmé (en quarantaine)","PÉRIMÉ → déplacer en zone Q"),IF(H1667&lt;3,"Péremption &lt; 3 mois",IF(H1667&lt;6,"Péremption &lt; 6 mois",""))))</f>
        <v/>
      </c>
      <c r="J1667" s="17" t="str">
        <f aca="false">IF(A1667="","",IF(COUNTIF(Emplacements!$A$2:$A$1001,A1667)=0,"⚠ emplacement inconnu","OK"))</f>
        <v/>
      </c>
      <c r="K1667" s="22" t="str">
        <f aca="false">IF(AND(B1667&lt;&gt;"",ISNUMBER(SEARCH(Recherche!$C$3,C1667&amp;" "&amp;B1667&amp;" "&amp;A1667&amp;" "&amp;D1667))),MAX($K$1:K1666)+1,"")</f>
        <v/>
      </c>
    </row>
    <row r="1668" customFormat="false" ht="15" hidden="false" customHeight="false" outlineLevel="0" collapsed="false">
      <c r="A1668" s="12"/>
      <c r="B1668" s="12"/>
      <c r="C1668" s="17" t="str">
        <f aca="false">IF(B1668="","",IFERROR(INDEX(Produits!$F$2:$F$1001,MATCH(B1668,Produits!$A$2:$A$1001,0)),"⚠ code article inconnu"))</f>
        <v/>
      </c>
      <c r="D1668" s="12"/>
      <c r="E1668" s="23"/>
      <c r="F1668" s="24"/>
      <c r="G1668" s="23"/>
      <c r="H1668" s="21" t="str">
        <f aca="true">IF(E1668="","",ROUND((E1668-TODAY())/30.4,1))</f>
        <v/>
      </c>
      <c r="I1668" s="17" t="str">
        <f aca="false">IF(E1668="","",IF(H1668&lt;0,IF(LEFT(A1668,1)="Q","Périmé (en quarantaine)","PÉRIMÉ → déplacer en zone Q"),IF(H1668&lt;3,"Péremption &lt; 3 mois",IF(H1668&lt;6,"Péremption &lt; 6 mois",""))))</f>
        <v/>
      </c>
      <c r="J1668" s="17" t="str">
        <f aca="false">IF(A1668="","",IF(COUNTIF(Emplacements!$A$2:$A$1001,A1668)=0,"⚠ emplacement inconnu","OK"))</f>
        <v/>
      </c>
      <c r="K1668" s="22" t="str">
        <f aca="false">IF(AND(B1668&lt;&gt;"",ISNUMBER(SEARCH(Recherche!$C$3,C1668&amp;" "&amp;B1668&amp;" "&amp;A1668&amp;" "&amp;D1668))),MAX($K$1:K1667)+1,"")</f>
        <v/>
      </c>
    </row>
    <row r="1669" customFormat="false" ht="15" hidden="false" customHeight="false" outlineLevel="0" collapsed="false">
      <c r="A1669" s="12"/>
      <c r="B1669" s="12"/>
      <c r="C1669" s="17" t="str">
        <f aca="false">IF(B1669="","",IFERROR(INDEX(Produits!$F$2:$F$1001,MATCH(B1669,Produits!$A$2:$A$1001,0)),"⚠ code article inconnu"))</f>
        <v/>
      </c>
      <c r="D1669" s="12"/>
      <c r="E1669" s="23"/>
      <c r="F1669" s="24"/>
      <c r="G1669" s="23"/>
      <c r="H1669" s="21" t="str">
        <f aca="true">IF(E1669="","",ROUND((E1669-TODAY())/30.4,1))</f>
        <v/>
      </c>
      <c r="I1669" s="17" t="str">
        <f aca="false">IF(E1669="","",IF(H1669&lt;0,IF(LEFT(A1669,1)="Q","Périmé (en quarantaine)","PÉRIMÉ → déplacer en zone Q"),IF(H1669&lt;3,"Péremption &lt; 3 mois",IF(H1669&lt;6,"Péremption &lt; 6 mois",""))))</f>
        <v/>
      </c>
      <c r="J1669" s="17" t="str">
        <f aca="false">IF(A1669="","",IF(COUNTIF(Emplacements!$A$2:$A$1001,A1669)=0,"⚠ emplacement inconnu","OK"))</f>
        <v/>
      </c>
      <c r="K1669" s="22" t="str">
        <f aca="false">IF(AND(B1669&lt;&gt;"",ISNUMBER(SEARCH(Recherche!$C$3,C1669&amp;" "&amp;B1669&amp;" "&amp;A1669&amp;" "&amp;D1669))),MAX($K$1:K1668)+1,"")</f>
        <v/>
      </c>
    </row>
    <row r="1670" customFormat="false" ht="15" hidden="false" customHeight="false" outlineLevel="0" collapsed="false">
      <c r="A1670" s="12"/>
      <c r="B1670" s="12"/>
      <c r="C1670" s="17" t="str">
        <f aca="false">IF(B1670="","",IFERROR(INDEX(Produits!$F$2:$F$1001,MATCH(B1670,Produits!$A$2:$A$1001,0)),"⚠ code article inconnu"))</f>
        <v/>
      </c>
      <c r="D1670" s="12"/>
      <c r="E1670" s="23"/>
      <c r="F1670" s="24"/>
      <c r="G1670" s="23"/>
      <c r="H1670" s="21" t="str">
        <f aca="true">IF(E1670="","",ROUND((E1670-TODAY())/30.4,1))</f>
        <v/>
      </c>
      <c r="I1670" s="17" t="str">
        <f aca="false">IF(E1670="","",IF(H1670&lt;0,IF(LEFT(A1670,1)="Q","Périmé (en quarantaine)","PÉRIMÉ → déplacer en zone Q"),IF(H1670&lt;3,"Péremption &lt; 3 mois",IF(H1670&lt;6,"Péremption &lt; 6 mois",""))))</f>
        <v/>
      </c>
      <c r="J1670" s="17" t="str">
        <f aca="false">IF(A1670="","",IF(COUNTIF(Emplacements!$A$2:$A$1001,A1670)=0,"⚠ emplacement inconnu","OK"))</f>
        <v/>
      </c>
      <c r="K1670" s="22" t="str">
        <f aca="false">IF(AND(B1670&lt;&gt;"",ISNUMBER(SEARCH(Recherche!$C$3,C1670&amp;" "&amp;B1670&amp;" "&amp;A1670&amp;" "&amp;D1670))),MAX($K$1:K1669)+1,"")</f>
        <v/>
      </c>
    </row>
    <row r="1671" customFormat="false" ht="15" hidden="false" customHeight="false" outlineLevel="0" collapsed="false">
      <c r="A1671" s="12"/>
      <c r="B1671" s="12"/>
      <c r="C1671" s="17" t="str">
        <f aca="false">IF(B1671="","",IFERROR(INDEX(Produits!$F$2:$F$1001,MATCH(B1671,Produits!$A$2:$A$1001,0)),"⚠ code article inconnu"))</f>
        <v/>
      </c>
      <c r="D1671" s="12"/>
      <c r="E1671" s="23"/>
      <c r="F1671" s="24"/>
      <c r="G1671" s="23"/>
      <c r="H1671" s="21" t="str">
        <f aca="true">IF(E1671="","",ROUND((E1671-TODAY())/30.4,1))</f>
        <v/>
      </c>
      <c r="I1671" s="17" t="str">
        <f aca="false">IF(E1671="","",IF(H1671&lt;0,IF(LEFT(A1671,1)="Q","Périmé (en quarantaine)","PÉRIMÉ → déplacer en zone Q"),IF(H1671&lt;3,"Péremption &lt; 3 mois",IF(H1671&lt;6,"Péremption &lt; 6 mois",""))))</f>
        <v/>
      </c>
      <c r="J1671" s="17" t="str">
        <f aca="false">IF(A1671="","",IF(COUNTIF(Emplacements!$A$2:$A$1001,A1671)=0,"⚠ emplacement inconnu","OK"))</f>
        <v/>
      </c>
      <c r="K1671" s="22" t="str">
        <f aca="false">IF(AND(B1671&lt;&gt;"",ISNUMBER(SEARCH(Recherche!$C$3,C1671&amp;" "&amp;B1671&amp;" "&amp;A1671&amp;" "&amp;D1671))),MAX($K$1:K1670)+1,"")</f>
        <v/>
      </c>
    </row>
    <row r="1672" customFormat="false" ht="15" hidden="false" customHeight="false" outlineLevel="0" collapsed="false">
      <c r="A1672" s="12"/>
      <c r="B1672" s="12"/>
      <c r="C1672" s="17" t="str">
        <f aca="false">IF(B1672="","",IFERROR(INDEX(Produits!$F$2:$F$1001,MATCH(B1672,Produits!$A$2:$A$1001,0)),"⚠ code article inconnu"))</f>
        <v/>
      </c>
      <c r="D1672" s="12"/>
      <c r="E1672" s="23"/>
      <c r="F1672" s="24"/>
      <c r="G1672" s="23"/>
      <c r="H1672" s="21" t="str">
        <f aca="true">IF(E1672="","",ROUND((E1672-TODAY())/30.4,1))</f>
        <v/>
      </c>
      <c r="I1672" s="17" t="str">
        <f aca="false">IF(E1672="","",IF(H1672&lt;0,IF(LEFT(A1672,1)="Q","Périmé (en quarantaine)","PÉRIMÉ → déplacer en zone Q"),IF(H1672&lt;3,"Péremption &lt; 3 mois",IF(H1672&lt;6,"Péremption &lt; 6 mois",""))))</f>
        <v/>
      </c>
      <c r="J1672" s="17" t="str">
        <f aca="false">IF(A1672="","",IF(COUNTIF(Emplacements!$A$2:$A$1001,A1672)=0,"⚠ emplacement inconnu","OK"))</f>
        <v/>
      </c>
      <c r="K1672" s="22" t="str">
        <f aca="false">IF(AND(B1672&lt;&gt;"",ISNUMBER(SEARCH(Recherche!$C$3,C1672&amp;" "&amp;B1672&amp;" "&amp;A1672&amp;" "&amp;D1672))),MAX($K$1:K1671)+1,"")</f>
        <v/>
      </c>
    </row>
    <row r="1673" customFormat="false" ht="15" hidden="false" customHeight="false" outlineLevel="0" collapsed="false">
      <c r="A1673" s="12"/>
      <c r="B1673" s="12"/>
      <c r="C1673" s="17" t="str">
        <f aca="false">IF(B1673="","",IFERROR(INDEX(Produits!$F$2:$F$1001,MATCH(B1673,Produits!$A$2:$A$1001,0)),"⚠ code article inconnu"))</f>
        <v/>
      </c>
      <c r="D1673" s="12"/>
      <c r="E1673" s="23"/>
      <c r="F1673" s="24"/>
      <c r="G1673" s="23"/>
      <c r="H1673" s="21" t="str">
        <f aca="true">IF(E1673="","",ROUND((E1673-TODAY())/30.4,1))</f>
        <v/>
      </c>
      <c r="I1673" s="17" t="str">
        <f aca="false">IF(E1673="","",IF(H1673&lt;0,IF(LEFT(A1673,1)="Q","Périmé (en quarantaine)","PÉRIMÉ → déplacer en zone Q"),IF(H1673&lt;3,"Péremption &lt; 3 mois",IF(H1673&lt;6,"Péremption &lt; 6 mois",""))))</f>
        <v/>
      </c>
      <c r="J1673" s="17" t="str">
        <f aca="false">IF(A1673="","",IF(COUNTIF(Emplacements!$A$2:$A$1001,A1673)=0,"⚠ emplacement inconnu","OK"))</f>
        <v/>
      </c>
      <c r="K1673" s="22" t="str">
        <f aca="false">IF(AND(B1673&lt;&gt;"",ISNUMBER(SEARCH(Recherche!$C$3,C1673&amp;" "&amp;B1673&amp;" "&amp;A1673&amp;" "&amp;D1673))),MAX($K$1:K1672)+1,"")</f>
        <v/>
      </c>
    </row>
    <row r="1674" customFormat="false" ht="15" hidden="false" customHeight="false" outlineLevel="0" collapsed="false">
      <c r="A1674" s="12"/>
      <c r="B1674" s="12"/>
      <c r="C1674" s="17" t="str">
        <f aca="false">IF(B1674="","",IFERROR(INDEX(Produits!$F$2:$F$1001,MATCH(B1674,Produits!$A$2:$A$1001,0)),"⚠ code article inconnu"))</f>
        <v/>
      </c>
      <c r="D1674" s="12"/>
      <c r="E1674" s="23"/>
      <c r="F1674" s="24"/>
      <c r="G1674" s="23"/>
      <c r="H1674" s="21" t="str">
        <f aca="true">IF(E1674="","",ROUND((E1674-TODAY())/30.4,1))</f>
        <v/>
      </c>
      <c r="I1674" s="17" t="str">
        <f aca="false">IF(E1674="","",IF(H1674&lt;0,IF(LEFT(A1674,1)="Q","Périmé (en quarantaine)","PÉRIMÉ → déplacer en zone Q"),IF(H1674&lt;3,"Péremption &lt; 3 mois",IF(H1674&lt;6,"Péremption &lt; 6 mois",""))))</f>
        <v/>
      </c>
      <c r="J1674" s="17" t="str">
        <f aca="false">IF(A1674="","",IF(COUNTIF(Emplacements!$A$2:$A$1001,A1674)=0,"⚠ emplacement inconnu","OK"))</f>
        <v/>
      </c>
      <c r="K1674" s="22" t="str">
        <f aca="false">IF(AND(B1674&lt;&gt;"",ISNUMBER(SEARCH(Recherche!$C$3,C1674&amp;" "&amp;B1674&amp;" "&amp;A1674&amp;" "&amp;D1674))),MAX($K$1:K1673)+1,"")</f>
        <v/>
      </c>
    </row>
    <row r="1675" customFormat="false" ht="15" hidden="false" customHeight="false" outlineLevel="0" collapsed="false">
      <c r="A1675" s="12"/>
      <c r="B1675" s="12"/>
      <c r="C1675" s="17" t="str">
        <f aca="false">IF(B1675="","",IFERROR(INDEX(Produits!$F$2:$F$1001,MATCH(B1675,Produits!$A$2:$A$1001,0)),"⚠ code article inconnu"))</f>
        <v/>
      </c>
      <c r="D1675" s="12"/>
      <c r="E1675" s="23"/>
      <c r="F1675" s="24"/>
      <c r="G1675" s="23"/>
      <c r="H1675" s="21" t="str">
        <f aca="true">IF(E1675="","",ROUND((E1675-TODAY())/30.4,1))</f>
        <v/>
      </c>
      <c r="I1675" s="17" t="str">
        <f aca="false">IF(E1675="","",IF(H1675&lt;0,IF(LEFT(A1675,1)="Q","Périmé (en quarantaine)","PÉRIMÉ → déplacer en zone Q"),IF(H1675&lt;3,"Péremption &lt; 3 mois",IF(H1675&lt;6,"Péremption &lt; 6 mois",""))))</f>
        <v/>
      </c>
      <c r="J1675" s="17" t="str">
        <f aca="false">IF(A1675="","",IF(COUNTIF(Emplacements!$A$2:$A$1001,A1675)=0,"⚠ emplacement inconnu","OK"))</f>
        <v/>
      </c>
      <c r="K1675" s="22" t="str">
        <f aca="false">IF(AND(B1675&lt;&gt;"",ISNUMBER(SEARCH(Recherche!$C$3,C1675&amp;" "&amp;B1675&amp;" "&amp;A1675&amp;" "&amp;D1675))),MAX($K$1:K1674)+1,"")</f>
        <v/>
      </c>
    </row>
    <row r="1676" customFormat="false" ht="15" hidden="false" customHeight="false" outlineLevel="0" collapsed="false">
      <c r="A1676" s="12"/>
      <c r="B1676" s="12"/>
      <c r="C1676" s="17" t="str">
        <f aca="false">IF(B1676="","",IFERROR(INDEX(Produits!$F$2:$F$1001,MATCH(B1676,Produits!$A$2:$A$1001,0)),"⚠ code article inconnu"))</f>
        <v/>
      </c>
      <c r="D1676" s="12"/>
      <c r="E1676" s="23"/>
      <c r="F1676" s="24"/>
      <c r="G1676" s="23"/>
      <c r="H1676" s="21" t="str">
        <f aca="true">IF(E1676="","",ROUND((E1676-TODAY())/30.4,1))</f>
        <v/>
      </c>
      <c r="I1676" s="17" t="str">
        <f aca="false">IF(E1676="","",IF(H1676&lt;0,IF(LEFT(A1676,1)="Q","Périmé (en quarantaine)","PÉRIMÉ → déplacer en zone Q"),IF(H1676&lt;3,"Péremption &lt; 3 mois",IF(H1676&lt;6,"Péremption &lt; 6 mois",""))))</f>
        <v/>
      </c>
      <c r="J1676" s="17" t="str">
        <f aca="false">IF(A1676="","",IF(COUNTIF(Emplacements!$A$2:$A$1001,A1676)=0,"⚠ emplacement inconnu","OK"))</f>
        <v/>
      </c>
      <c r="K1676" s="22" t="str">
        <f aca="false">IF(AND(B1676&lt;&gt;"",ISNUMBER(SEARCH(Recherche!$C$3,C1676&amp;" "&amp;B1676&amp;" "&amp;A1676&amp;" "&amp;D1676))),MAX($K$1:K1675)+1,"")</f>
        <v/>
      </c>
    </row>
    <row r="1677" customFormat="false" ht="15" hidden="false" customHeight="false" outlineLevel="0" collapsed="false">
      <c r="A1677" s="12"/>
      <c r="B1677" s="12"/>
      <c r="C1677" s="17" t="str">
        <f aca="false">IF(B1677="","",IFERROR(INDEX(Produits!$F$2:$F$1001,MATCH(B1677,Produits!$A$2:$A$1001,0)),"⚠ code article inconnu"))</f>
        <v/>
      </c>
      <c r="D1677" s="12"/>
      <c r="E1677" s="23"/>
      <c r="F1677" s="24"/>
      <c r="G1677" s="23"/>
      <c r="H1677" s="21" t="str">
        <f aca="true">IF(E1677="","",ROUND((E1677-TODAY())/30.4,1))</f>
        <v/>
      </c>
      <c r="I1677" s="17" t="str">
        <f aca="false">IF(E1677="","",IF(H1677&lt;0,IF(LEFT(A1677,1)="Q","Périmé (en quarantaine)","PÉRIMÉ → déplacer en zone Q"),IF(H1677&lt;3,"Péremption &lt; 3 mois",IF(H1677&lt;6,"Péremption &lt; 6 mois",""))))</f>
        <v/>
      </c>
      <c r="J1677" s="17" t="str">
        <f aca="false">IF(A1677="","",IF(COUNTIF(Emplacements!$A$2:$A$1001,A1677)=0,"⚠ emplacement inconnu","OK"))</f>
        <v/>
      </c>
      <c r="K1677" s="22" t="str">
        <f aca="false">IF(AND(B1677&lt;&gt;"",ISNUMBER(SEARCH(Recherche!$C$3,C1677&amp;" "&amp;B1677&amp;" "&amp;A1677&amp;" "&amp;D1677))),MAX($K$1:K1676)+1,"")</f>
        <v/>
      </c>
    </row>
    <row r="1678" customFormat="false" ht="15" hidden="false" customHeight="false" outlineLevel="0" collapsed="false">
      <c r="A1678" s="12"/>
      <c r="B1678" s="12"/>
      <c r="C1678" s="17" t="str">
        <f aca="false">IF(B1678="","",IFERROR(INDEX(Produits!$F$2:$F$1001,MATCH(B1678,Produits!$A$2:$A$1001,0)),"⚠ code article inconnu"))</f>
        <v/>
      </c>
      <c r="D1678" s="12"/>
      <c r="E1678" s="23"/>
      <c r="F1678" s="24"/>
      <c r="G1678" s="23"/>
      <c r="H1678" s="21" t="str">
        <f aca="true">IF(E1678="","",ROUND((E1678-TODAY())/30.4,1))</f>
        <v/>
      </c>
      <c r="I1678" s="17" t="str">
        <f aca="false">IF(E1678="","",IF(H1678&lt;0,IF(LEFT(A1678,1)="Q","Périmé (en quarantaine)","PÉRIMÉ → déplacer en zone Q"),IF(H1678&lt;3,"Péremption &lt; 3 mois",IF(H1678&lt;6,"Péremption &lt; 6 mois",""))))</f>
        <v/>
      </c>
      <c r="J1678" s="17" t="str">
        <f aca="false">IF(A1678="","",IF(COUNTIF(Emplacements!$A$2:$A$1001,A1678)=0,"⚠ emplacement inconnu","OK"))</f>
        <v/>
      </c>
      <c r="K1678" s="22" t="str">
        <f aca="false">IF(AND(B1678&lt;&gt;"",ISNUMBER(SEARCH(Recherche!$C$3,C1678&amp;" "&amp;B1678&amp;" "&amp;A1678&amp;" "&amp;D1678))),MAX($K$1:K1677)+1,"")</f>
        <v/>
      </c>
    </row>
    <row r="1679" customFormat="false" ht="15" hidden="false" customHeight="false" outlineLevel="0" collapsed="false">
      <c r="A1679" s="12"/>
      <c r="B1679" s="12"/>
      <c r="C1679" s="17" t="str">
        <f aca="false">IF(B1679="","",IFERROR(INDEX(Produits!$F$2:$F$1001,MATCH(B1679,Produits!$A$2:$A$1001,0)),"⚠ code article inconnu"))</f>
        <v/>
      </c>
      <c r="D1679" s="12"/>
      <c r="E1679" s="23"/>
      <c r="F1679" s="24"/>
      <c r="G1679" s="23"/>
      <c r="H1679" s="21" t="str">
        <f aca="true">IF(E1679="","",ROUND((E1679-TODAY())/30.4,1))</f>
        <v/>
      </c>
      <c r="I1679" s="17" t="str">
        <f aca="false">IF(E1679="","",IF(H1679&lt;0,IF(LEFT(A1679,1)="Q","Périmé (en quarantaine)","PÉRIMÉ → déplacer en zone Q"),IF(H1679&lt;3,"Péremption &lt; 3 mois",IF(H1679&lt;6,"Péremption &lt; 6 mois",""))))</f>
        <v/>
      </c>
      <c r="J1679" s="17" t="str">
        <f aca="false">IF(A1679="","",IF(COUNTIF(Emplacements!$A$2:$A$1001,A1679)=0,"⚠ emplacement inconnu","OK"))</f>
        <v/>
      </c>
      <c r="K1679" s="22" t="str">
        <f aca="false">IF(AND(B1679&lt;&gt;"",ISNUMBER(SEARCH(Recherche!$C$3,C1679&amp;" "&amp;B1679&amp;" "&amp;A1679&amp;" "&amp;D1679))),MAX($K$1:K1678)+1,"")</f>
        <v/>
      </c>
    </row>
    <row r="1680" customFormat="false" ht="15" hidden="false" customHeight="false" outlineLevel="0" collapsed="false">
      <c r="A1680" s="12"/>
      <c r="B1680" s="12"/>
      <c r="C1680" s="17" t="str">
        <f aca="false">IF(B1680="","",IFERROR(INDEX(Produits!$F$2:$F$1001,MATCH(B1680,Produits!$A$2:$A$1001,0)),"⚠ code article inconnu"))</f>
        <v/>
      </c>
      <c r="D1680" s="12"/>
      <c r="E1680" s="23"/>
      <c r="F1680" s="24"/>
      <c r="G1680" s="23"/>
      <c r="H1680" s="21" t="str">
        <f aca="true">IF(E1680="","",ROUND((E1680-TODAY())/30.4,1))</f>
        <v/>
      </c>
      <c r="I1680" s="17" t="str">
        <f aca="false">IF(E1680="","",IF(H1680&lt;0,IF(LEFT(A1680,1)="Q","Périmé (en quarantaine)","PÉRIMÉ → déplacer en zone Q"),IF(H1680&lt;3,"Péremption &lt; 3 mois",IF(H1680&lt;6,"Péremption &lt; 6 mois",""))))</f>
        <v/>
      </c>
      <c r="J1680" s="17" t="str">
        <f aca="false">IF(A1680="","",IF(COUNTIF(Emplacements!$A$2:$A$1001,A1680)=0,"⚠ emplacement inconnu","OK"))</f>
        <v/>
      </c>
      <c r="K1680" s="22" t="str">
        <f aca="false">IF(AND(B1680&lt;&gt;"",ISNUMBER(SEARCH(Recherche!$C$3,C1680&amp;" "&amp;B1680&amp;" "&amp;A1680&amp;" "&amp;D1680))),MAX($K$1:K1679)+1,"")</f>
        <v/>
      </c>
    </row>
    <row r="1681" customFormat="false" ht="15" hidden="false" customHeight="false" outlineLevel="0" collapsed="false">
      <c r="A1681" s="12"/>
      <c r="B1681" s="12"/>
      <c r="C1681" s="17" t="str">
        <f aca="false">IF(B1681="","",IFERROR(INDEX(Produits!$F$2:$F$1001,MATCH(B1681,Produits!$A$2:$A$1001,0)),"⚠ code article inconnu"))</f>
        <v/>
      </c>
      <c r="D1681" s="12"/>
      <c r="E1681" s="23"/>
      <c r="F1681" s="24"/>
      <c r="G1681" s="23"/>
      <c r="H1681" s="21" t="str">
        <f aca="true">IF(E1681="","",ROUND((E1681-TODAY())/30.4,1))</f>
        <v/>
      </c>
      <c r="I1681" s="17" t="str">
        <f aca="false">IF(E1681="","",IF(H1681&lt;0,IF(LEFT(A1681,1)="Q","Périmé (en quarantaine)","PÉRIMÉ → déplacer en zone Q"),IF(H1681&lt;3,"Péremption &lt; 3 mois",IF(H1681&lt;6,"Péremption &lt; 6 mois",""))))</f>
        <v/>
      </c>
      <c r="J1681" s="17" t="str">
        <f aca="false">IF(A1681="","",IF(COUNTIF(Emplacements!$A$2:$A$1001,A1681)=0,"⚠ emplacement inconnu","OK"))</f>
        <v/>
      </c>
      <c r="K1681" s="22" t="str">
        <f aca="false">IF(AND(B1681&lt;&gt;"",ISNUMBER(SEARCH(Recherche!$C$3,C1681&amp;" "&amp;B1681&amp;" "&amp;A1681&amp;" "&amp;D1681))),MAX($K$1:K1680)+1,"")</f>
        <v/>
      </c>
    </row>
    <row r="1682" customFormat="false" ht="15" hidden="false" customHeight="false" outlineLevel="0" collapsed="false">
      <c r="A1682" s="12"/>
      <c r="B1682" s="12"/>
      <c r="C1682" s="17" t="str">
        <f aca="false">IF(B1682="","",IFERROR(INDEX(Produits!$F$2:$F$1001,MATCH(B1682,Produits!$A$2:$A$1001,0)),"⚠ code article inconnu"))</f>
        <v/>
      </c>
      <c r="D1682" s="12"/>
      <c r="E1682" s="23"/>
      <c r="F1682" s="24"/>
      <c r="G1682" s="23"/>
      <c r="H1682" s="21" t="str">
        <f aca="true">IF(E1682="","",ROUND((E1682-TODAY())/30.4,1))</f>
        <v/>
      </c>
      <c r="I1682" s="17" t="str">
        <f aca="false">IF(E1682="","",IF(H1682&lt;0,IF(LEFT(A1682,1)="Q","Périmé (en quarantaine)","PÉRIMÉ → déplacer en zone Q"),IF(H1682&lt;3,"Péremption &lt; 3 mois",IF(H1682&lt;6,"Péremption &lt; 6 mois",""))))</f>
        <v/>
      </c>
      <c r="J1682" s="17" t="str">
        <f aca="false">IF(A1682="","",IF(COUNTIF(Emplacements!$A$2:$A$1001,A1682)=0,"⚠ emplacement inconnu","OK"))</f>
        <v/>
      </c>
      <c r="K1682" s="22" t="str">
        <f aca="false">IF(AND(B1682&lt;&gt;"",ISNUMBER(SEARCH(Recherche!$C$3,C1682&amp;" "&amp;B1682&amp;" "&amp;A1682&amp;" "&amp;D1682))),MAX($K$1:K1681)+1,"")</f>
        <v/>
      </c>
    </row>
    <row r="1683" customFormat="false" ht="15" hidden="false" customHeight="false" outlineLevel="0" collapsed="false">
      <c r="A1683" s="12"/>
      <c r="B1683" s="12"/>
      <c r="C1683" s="17" t="str">
        <f aca="false">IF(B1683="","",IFERROR(INDEX(Produits!$F$2:$F$1001,MATCH(B1683,Produits!$A$2:$A$1001,0)),"⚠ code article inconnu"))</f>
        <v/>
      </c>
      <c r="D1683" s="12"/>
      <c r="E1683" s="23"/>
      <c r="F1683" s="24"/>
      <c r="G1683" s="23"/>
      <c r="H1683" s="21" t="str">
        <f aca="true">IF(E1683="","",ROUND((E1683-TODAY())/30.4,1))</f>
        <v/>
      </c>
      <c r="I1683" s="17" t="str">
        <f aca="false">IF(E1683="","",IF(H1683&lt;0,IF(LEFT(A1683,1)="Q","Périmé (en quarantaine)","PÉRIMÉ → déplacer en zone Q"),IF(H1683&lt;3,"Péremption &lt; 3 mois",IF(H1683&lt;6,"Péremption &lt; 6 mois",""))))</f>
        <v/>
      </c>
      <c r="J1683" s="17" t="str">
        <f aca="false">IF(A1683="","",IF(COUNTIF(Emplacements!$A$2:$A$1001,A1683)=0,"⚠ emplacement inconnu","OK"))</f>
        <v/>
      </c>
      <c r="K1683" s="22" t="str">
        <f aca="false">IF(AND(B1683&lt;&gt;"",ISNUMBER(SEARCH(Recherche!$C$3,C1683&amp;" "&amp;B1683&amp;" "&amp;A1683&amp;" "&amp;D1683))),MAX($K$1:K1682)+1,"")</f>
        <v/>
      </c>
    </row>
    <row r="1684" customFormat="false" ht="15" hidden="false" customHeight="false" outlineLevel="0" collapsed="false">
      <c r="A1684" s="12"/>
      <c r="B1684" s="12"/>
      <c r="C1684" s="17" t="str">
        <f aca="false">IF(B1684="","",IFERROR(INDEX(Produits!$F$2:$F$1001,MATCH(B1684,Produits!$A$2:$A$1001,0)),"⚠ code article inconnu"))</f>
        <v/>
      </c>
      <c r="D1684" s="12"/>
      <c r="E1684" s="23"/>
      <c r="F1684" s="24"/>
      <c r="G1684" s="23"/>
      <c r="H1684" s="21" t="str">
        <f aca="true">IF(E1684="","",ROUND((E1684-TODAY())/30.4,1))</f>
        <v/>
      </c>
      <c r="I1684" s="17" t="str">
        <f aca="false">IF(E1684="","",IF(H1684&lt;0,IF(LEFT(A1684,1)="Q","Périmé (en quarantaine)","PÉRIMÉ → déplacer en zone Q"),IF(H1684&lt;3,"Péremption &lt; 3 mois",IF(H1684&lt;6,"Péremption &lt; 6 mois",""))))</f>
        <v/>
      </c>
      <c r="J1684" s="17" t="str">
        <f aca="false">IF(A1684="","",IF(COUNTIF(Emplacements!$A$2:$A$1001,A1684)=0,"⚠ emplacement inconnu","OK"))</f>
        <v/>
      </c>
      <c r="K1684" s="22" t="str">
        <f aca="false">IF(AND(B1684&lt;&gt;"",ISNUMBER(SEARCH(Recherche!$C$3,C1684&amp;" "&amp;B1684&amp;" "&amp;A1684&amp;" "&amp;D1684))),MAX($K$1:K1683)+1,"")</f>
        <v/>
      </c>
    </row>
    <row r="1685" customFormat="false" ht="15" hidden="false" customHeight="false" outlineLevel="0" collapsed="false">
      <c r="A1685" s="12"/>
      <c r="B1685" s="12"/>
      <c r="C1685" s="17" t="str">
        <f aca="false">IF(B1685="","",IFERROR(INDEX(Produits!$F$2:$F$1001,MATCH(B1685,Produits!$A$2:$A$1001,0)),"⚠ code article inconnu"))</f>
        <v/>
      </c>
      <c r="D1685" s="12"/>
      <c r="E1685" s="23"/>
      <c r="F1685" s="24"/>
      <c r="G1685" s="23"/>
      <c r="H1685" s="21" t="str">
        <f aca="true">IF(E1685="","",ROUND((E1685-TODAY())/30.4,1))</f>
        <v/>
      </c>
      <c r="I1685" s="17" t="str">
        <f aca="false">IF(E1685="","",IF(H1685&lt;0,IF(LEFT(A1685,1)="Q","Périmé (en quarantaine)","PÉRIMÉ → déplacer en zone Q"),IF(H1685&lt;3,"Péremption &lt; 3 mois",IF(H1685&lt;6,"Péremption &lt; 6 mois",""))))</f>
        <v/>
      </c>
      <c r="J1685" s="17" t="str">
        <f aca="false">IF(A1685="","",IF(COUNTIF(Emplacements!$A$2:$A$1001,A1685)=0,"⚠ emplacement inconnu","OK"))</f>
        <v/>
      </c>
      <c r="K1685" s="22" t="str">
        <f aca="false">IF(AND(B1685&lt;&gt;"",ISNUMBER(SEARCH(Recherche!$C$3,C1685&amp;" "&amp;B1685&amp;" "&amp;A1685&amp;" "&amp;D1685))),MAX($K$1:K1684)+1,"")</f>
        <v/>
      </c>
    </row>
    <row r="1686" customFormat="false" ht="15" hidden="false" customHeight="false" outlineLevel="0" collapsed="false">
      <c r="A1686" s="12"/>
      <c r="B1686" s="12"/>
      <c r="C1686" s="17" t="str">
        <f aca="false">IF(B1686="","",IFERROR(INDEX(Produits!$F$2:$F$1001,MATCH(B1686,Produits!$A$2:$A$1001,0)),"⚠ code article inconnu"))</f>
        <v/>
      </c>
      <c r="D1686" s="12"/>
      <c r="E1686" s="23"/>
      <c r="F1686" s="24"/>
      <c r="G1686" s="23"/>
      <c r="H1686" s="21" t="str">
        <f aca="true">IF(E1686="","",ROUND((E1686-TODAY())/30.4,1))</f>
        <v/>
      </c>
      <c r="I1686" s="17" t="str">
        <f aca="false">IF(E1686="","",IF(H1686&lt;0,IF(LEFT(A1686,1)="Q","Périmé (en quarantaine)","PÉRIMÉ → déplacer en zone Q"),IF(H1686&lt;3,"Péremption &lt; 3 mois",IF(H1686&lt;6,"Péremption &lt; 6 mois",""))))</f>
        <v/>
      </c>
      <c r="J1686" s="17" t="str">
        <f aca="false">IF(A1686="","",IF(COUNTIF(Emplacements!$A$2:$A$1001,A1686)=0,"⚠ emplacement inconnu","OK"))</f>
        <v/>
      </c>
      <c r="K1686" s="22" t="str">
        <f aca="false">IF(AND(B1686&lt;&gt;"",ISNUMBER(SEARCH(Recherche!$C$3,C1686&amp;" "&amp;B1686&amp;" "&amp;A1686&amp;" "&amp;D1686))),MAX($K$1:K1685)+1,"")</f>
        <v/>
      </c>
    </row>
    <row r="1687" customFormat="false" ht="15" hidden="false" customHeight="false" outlineLevel="0" collapsed="false">
      <c r="A1687" s="12"/>
      <c r="B1687" s="12"/>
      <c r="C1687" s="17" t="str">
        <f aca="false">IF(B1687="","",IFERROR(INDEX(Produits!$F$2:$F$1001,MATCH(B1687,Produits!$A$2:$A$1001,0)),"⚠ code article inconnu"))</f>
        <v/>
      </c>
      <c r="D1687" s="12"/>
      <c r="E1687" s="23"/>
      <c r="F1687" s="24"/>
      <c r="G1687" s="23"/>
      <c r="H1687" s="21" t="str">
        <f aca="true">IF(E1687="","",ROUND((E1687-TODAY())/30.4,1))</f>
        <v/>
      </c>
      <c r="I1687" s="17" t="str">
        <f aca="false">IF(E1687="","",IF(H1687&lt;0,IF(LEFT(A1687,1)="Q","Périmé (en quarantaine)","PÉRIMÉ → déplacer en zone Q"),IF(H1687&lt;3,"Péremption &lt; 3 mois",IF(H1687&lt;6,"Péremption &lt; 6 mois",""))))</f>
        <v/>
      </c>
      <c r="J1687" s="17" t="str">
        <f aca="false">IF(A1687="","",IF(COUNTIF(Emplacements!$A$2:$A$1001,A1687)=0,"⚠ emplacement inconnu","OK"))</f>
        <v/>
      </c>
      <c r="K1687" s="22" t="str">
        <f aca="false">IF(AND(B1687&lt;&gt;"",ISNUMBER(SEARCH(Recherche!$C$3,C1687&amp;" "&amp;B1687&amp;" "&amp;A1687&amp;" "&amp;D1687))),MAX($K$1:K1686)+1,"")</f>
        <v/>
      </c>
    </row>
    <row r="1688" customFormat="false" ht="15" hidden="false" customHeight="false" outlineLevel="0" collapsed="false">
      <c r="A1688" s="12"/>
      <c r="B1688" s="12"/>
      <c r="C1688" s="17" t="str">
        <f aca="false">IF(B1688="","",IFERROR(INDEX(Produits!$F$2:$F$1001,MATCH(B1688,Produits!$A$2:$A$1001,0)),"⚠ code article inconnu"))</f>
        <v/>
      </c>
      <c r="D1688" s="12"/>
      <c r="E1688" s="23"/>
      <c r="F1688" s="24"/>
      <c r="G1688" s="23"/>
      <c r="H1688" s="21" t="str">
        <f aca="true">IF(E1688="","",ROUND((E1688-TODAY())/30.4,1))</f>
        <v/>
      </c>
      <c r="I1688" s="17" t="str">
        <f aca="false">IF(E1688="","",IF(H1688&lt;0,IF(LEFT(A1688,1)="Q","Périmé (en quarantaine)","PÉRIMÉ → déplacer en zone Q"),IF(H1688&lt;3,"Péremption &lt; 3 mois",IF(H1688&lt;6,"Péremption &lt; 6 mois",""))))</f>
        <v/>
      </c>
      <c r="J1688" s="17" t="str">
        <f aca="false">IF(A1688="","",IF(COUNTIF(Emplacements!$A$2:$A$1001,A1688)=0,"⚠ emplacement inconnu","OK"))</f>
        <v/>
      </c>
      <c r="K1688" s="22" t="str">
        <f aca="false">IF(AND(B1688&lt;&gt;"",ISNUMBER(SEARCH(Recherche!$C$3,C1688&amp;" "&amp;B1688&amp;" "&amp;A1688&amp;" "&amp;D1688))),MAX($K$1:K1687)+1,"")</f>
        <v/>
      </c>
    </row>
    <row r="1689" customFormat="false" ht="15" hidden="false" customHeight="false" outlineLevel="0" collapsed="false">
      <c r="A1689" s="12"/>
      <c r="B1689" s="12"/>
      <c r="C1689" s="17" t="str">
        <f aca="false">IF(B1689="","",IFERROR(INDEX(Produits!$F$2:$F$1001,MATCH(B1689,Produits!$A$2:$A$1001,0)),"⚠ code article inconnu"))</f>
        <v/>
      </c>
      <c r="D1689" s="12"/>
      <c r="E1689" s="23"/>
      <c r="F1689" s="24"/>
      <c r="G1689" s="23"/>
      <c r="H1689" s="21" t="str">
        <f aca="true">IF(E1689="","",ROUND((E1689-TODAY())/30.4,1))</f>
        <v/>
      </c>
      <c r="I1689" s="17" t="str">
        <f aca="false">IF(E1689="","",IF(H1689&lt;0,IF(LEFT(A1689,1)="Q","Périmé (en quarantaine)","PÉRIMÉ → déplacer en zone Q"),IF(H1689&lt;3,"Péremption &lt; 3 mois",IF(H1689&lt;6,"Péremption &lt; 6 mois",""))))</f>
        <v/>
      </c>
      <c r="J1689" s="17" t="str">
        <f aca="false">IF(A1689="","",IF(COUNTIF(Emplacements!$A$2:$A$1001,A1689)=0,"⚠ emplacement inconnu","OK"))</f>
        <v/>
      </c>
      <c r="K1689" s="22" t="str">
        <f aca="false">IF(AND(B1689&lt;&gt;"",ISNUMBER(SEARCH(Recherche!$C$3,C1689&amp;" "&amp;B1689&amp;" "&amp;A1689&amp;" "&amp;D1689))),MAX($K$1:K1688)+1,"")</f>
        <v/>
      </c>
    </row>
    <row r="1690" customFormat="false" ht="15" hidden="false" customHeight="false" outlineLevel="0" collapsed="false">
      <c r="A1690" s="12"/>
      <c r="B1690" s="12"/>
      <c r="C1690" s="17" t="str">
        <f aca="false">IF(B1690="","",IFERROR(INDEX(Produits!$F$2:$F$1001,MATCH(B1690,Produits!$A$2:$A$1001,0)),"⚠ code article inconnu"))</f>
        <v/>
      </c>
      <c r="D1690" s="12"/>
      <c r="E1690" s="23"/>
      <c r="F1690" s="24"/>
      <c r="G1690" s="23"/>
      <c r="H1690" s="21" t="str">
        <f aca="true">IF(E1690="","",ROUND((E1690-TODAY())/30.4,1))</f>
        <v/>
      </c>
      <c r="I1690" s="17" t="str">
        <f aca="false">IF(E1690="","",IF(H1690&lt;0,IF(LEFT(A1690,1)="Q","Périmé (en quarantaine)","PÉRIMÉ → déplacer en zone Q"),IF(H1690&lt;3,"Péremption &lt; 3 mois",IF(H1690&lt;6,"Péremption &lt; 6 mois",""))))</f>
        <v/>
      </c>
      <c r="J1690" s="17" t="str">
        <f aca="false">IF(A1690="","",IF(COUNTIF(Emplacements!$A$2:$A$1001,A1690)=0,"⚠ emplacement inconnu","OK"))</f>
        <v/>
      </c>
      <c r="K1690" s="22" t="str">
        <f aca="false">IF(AND(B1690&lt;&gt;"",ISNUMBER(SEARCH(Recherche!$C$3,C1690&amp;" "&amp;B1690&amp;" "&amp;A1690&amp;" "&amp;D1690))),MAX($K$1:K1689)+1,"")</f>
        <v/>
      </c>
    </row>
    <row r="1691" customFormat="false" ht="15" hidden="false" customHeight="false" outlineLevel="0" collapsed="false">
      <c r="A1691" s="12"/>
      <c r="B1691" s="12"/>
      <c r="C1691" s="17" t="str">
        <f aca="false">IF(B1691="","",IFERROR(INDEX(Produits!$F$2:$F$1001,MATCH(B1691,Produits!$A$2:$A$1001,0)),"⚠ code article inconnu"))</f>
        <v/>
      </c>
      <c r="D1691" s="12"/>
      <c r="E1691" s="23"/>
      <c r="F1691" s="24"/>
      <c r="G1691" s="23"/>
      <c r="H1691" s="21" t="str">
        <f aca="true">IF(E1691="","",ROUND((E1691-TODAY())/30.4,1))</f>
        <v/>
      </c>
      <c r="I1691" s="17" t="str">
        <f aca="false">IF(E1691="","",IF(H1691&lt;0,IF(LEFT(A1691,1)="Q","Périmé (en quarantaine)","PÉRIMÉ → déplacer en zone Q"),IF(H1691&lt;3,"Péremption &lt; 3 mois",IF(H1691&lt;6,"Péremption &lt; 6 mois",""))))</f>
        <v/>
      </c>
      <c r="J1691" s="17" t="str">
        <f aca="false">IF(A1691="","",IF(COUNTIF(Emplacements!$A$2:$A$1001,A1691)=0,"⚠ emplacement inconnu","OK"))</f>
        <v/>
      </c>
      <c r="K1691" s="22" t="str">
        <f aca="false">IF(AND(B1691&lt;&gt;"",ISNUMBER(SEARCH(Recherche!$C$3,C1691&amp;" "&amp;B1691&amp;" "&amp;A1691&amp;" "&amp;D1691))),MAX($K$1:K1690)+1,"")</f>
        <v/>
      </c>
    </row>
    <row r="1692" customFormat="false" ht="15" hidden="false" customHeight="false" outlineLevel="0" collapsed="false">
      <c r="A1692" s="12"/>
      <c r="B1692" s="12"/>
      <c r="C1692" s="17" t="str">
        <f aca="false">IF(B1692="","",IFERROR(INDEX(Produits!$F$2:$F$1001,MATCH(B1692,Produits!$A$2:$A$1001,0)),"⚠ code article inconnu"))</f>
        <v/>
      </c>
      <c r="D1692" s="12"/>
      <c r="E1692" s="23"/>
      <c r="F1692" s="24"/>
      <c r="G1692" s="23"/>
      <c r="H1692" s="21" t="str">
        <f aca="true">IF(E1692="","",ROUND((E1692-TODAY())/30.4,1))</f>
        <v/>
      </c>
      <c r="I1692" s="17" t="str">
        <f aca="false">IF(E1692="","",IF(H1692&lt;0,IF(LEFT(A1692,1)="Q","Périmé (en quarantaine)","PÉRIMÉ → déplacer en zone Q"),IF(H1692&lt;3,"Péremption &lt; 3 mois",IF(H1692&lt;6,"Péremption &lt; 6 mois",""))))</f>
        <v/>
      </c>
      <c r="J1692" s="17" t="str">
        <f aca="false">IF(A1692="","",IF(COUNTIF(Emplacements!$A$2:$A$1001,A1692)=0,"⚠ emplacement inconnu","OK"))</f>
        <v/>
      </c>
      <c r="K1692" s="22" t="str">
        <f aca="false">IF(AND(B1692&lt;&gt;"",ISNUMBER(SEARCH(Recherche!$C$3,C1692&amp;" "&amp;B1692&amp;" "&amp;A1692&amp;" "&amp;D1692))),MAX($K$1:K1691)+1,"")</f>
        <v/>
      </c>
    </row>
    <row r="1693" customFormat="false" ht="15" hidden="false" customHeight="false" outlineLevel="0" collapsed="false">
      <c r="A1693" s="12"/>
      <c r="B1693" s="12"/>
      <c r="C1693" s="17" t="str">
        <f aca="false">IF(B1693="","",IFERROR(INDEX(Produits!$F$2:$F$1001,MATCH(B1693,Produits!$A$2:$A$1001,0)),"⚠ code article inconnu"))</f>
        <v/>
      </c>
      <c r="D1693" s="12"/>
      <c r="E1693" s="23"/>
      <c r="F1693" s="24"/>
      <c r="G1693" s="23"/>
      <c r="H1693" s="21" t="str">
        <f aca="true">IF(E1693="","",ROUND((E1693-TODAY())/30.4,1))</f>
        <v/>
      </c>
      <c r="I1693" s="17" t="str">
        <f aca="false">IF(E1693="","",IF(H1693&lt;0,IF(LEFT(A1693,1)="Q","Périmé (en quarantaine)","PÉRIMÉ → déplacer en zone Q"),IF(H1693&lt;3,"Péremption &lt; 3 mois",IF(H1693&lt;6,"Péremption &lt; 6 mois",""))))</f>
        <v/>
      </c>
      <c r="J1693" s="17" t="str">
        <f aca="false">IF(A1693="","",IF(COUNTIF(Emplacements!$A$2:$A$1001,A1693)=0,"⚠ emplacement inconnu","OK"))</f>
        <v/>
      </c>
      <c r="K1693" s="22" t="str">
        <f aca="false">IF(AND(B1693&lt;&gt;"",ISNUMBER(SEARCH(Recherche!$C$3,C1693&amp;" "&amp;B1693&amp;" "&amp;A1693&amp;" "&amp;D1693))),MAX($K$1:K1692)+1,"")</f>
        <v/>
      </c>
    </row>
    <row r="1694" customFormat="false" ht="15" hidden="false" customHeight="false" outlineLevel="0" collapsed="false">
      <c r="A1694" s="12"/>
      <c r="B1694" s="12"/>
      <c r="C1694" s="17" t="str">
        <f aca="false">IF(B1694="","",IFERROR(INDEX(Produits!$F$2:$F$1001,MATCH(B1694,Produits!$A$2:$A$1001,0)),"⚠ code article inconnu"))</f>
        <v/>
      </c>
      <c r="D1694" s="12"/>
      <c r="E1694" s="23"/>
      <c r="F1694" s="24"/>
      <c r="G1694" s="23"/>
      <c r="H1694" s="21" t="str">
        <f aca="true">IF(E1694="","",ROUND((E1694-TODAY())/30.4,1))</f>
        <v/>
      </c>
      <c r="I1694" s="17" t="str">
        <f aca="false">IF(E1694="","",IF(H1694&lt;0,IF(LEFT(A1694,1)="Q","Périmé (en quarantaine)","PÉRIMÉ → déplacer en zone Q"),IF(H1694&lt;3,"Péremption &lt; 3 mois",IF(H1694&lt;6,"Péremption &lt; 6 mois",""))))</f>
        <v/>
      </c>
      <c r="J1694" s="17" t="str">
        <f aca="false">IF(A1694="","",IF(COUNTIF(Emplacements!$A$2:$A$1001,A1694)=0,"⚠ emplacement inconnu","OK"))</f>
        <v/>
      </c>
      <c r="K1694" s="22" t="str">
        <f aca="false">IF(AND(B1694&lt;&gt;"",ISNUMBER(SEARCH(Recherche!$C$3,C1694&amp;" "&amp;B1694&amp;" "&amp;A1694&amp;" "&amp;D1694))),MAX($K$1:K1693)+1,"")</f>
        <v/>
      </c>
    </row>
    <row r="1695" customFormat="false" ht="15" hidden="false" customHeight="false" outlineLevel="0" collapsed="false">
      <c r="A1695" s="12"/>
      <c r="B1695" s="12"/>
      <c r="C1695" s="17" t="str">
        <f aca="false">IF(B1695="","",IFERROR(INDEX(Produits!$F$2:$F$1001,MATCH(B1695,Produits!$A$2:$A$1001,0)),"⚠ code article inconnu"))</f>
        <v/>
      </c>
      <c r="D1695" s="12"/>
      <c r="E1695" s="23"/>
      <c r="F1695" s="24"/>
      <c r="G1695" s="23"/>
      <c r="H1695" s="21" t="str">
        <f aca="true">IF(E1695="","",ROUND((E1695-TODAY())/30.4,1))</f>
        <v/>
      </c>
      <c r="I1695" s="17" t="str">
        <f aca="false">IF(E1695="","",IF(H1695&lt;0,IF(LEFT(A1695,1)="Q","Périmé (en quarantaine)","PÉRIMÉ → déplacer en zone Q"),IF(H1695&lt;3,"Péremption &lt; 3 mois",IF(H1695&lt;6,"Péremption &lt; 6 mois",""))))</f>
        <v/>
      </c>
      <c r="J1695" s="17" t="str">
        <f aca="false">IF(A1695="","",IF(COUNTIF(Emplacements!$A$2:$A$1001,A1695)=0,"⚠ emplacement inconnu","OK"))</f>
        <v/>
      </c>
      <c r="K1695" s="22" t="str">
        <f aca="false">IF(AND(B1695&lt;&gt;"",ISNUMBER(SEARCH(Recherche!$C$3,C1695&amp;" "&amp;B1695&amp;" "&amp;A1695&amp;" "&amp;D1695))),MAX($K$1:K1694)+1,"")</f>
        <v/>
      </c>
    </row>
    <row r="1696" customFormat="false" ht="15" hidden="false" customHeight="false" outlineLevel="0" collapsed="false">
      <c r="A1696" s="12"/>
      <c r="B1696" s="12"/>
      <c r="C1696" s="17" t="str">
        <f aca="false">IF(B1696="","",IFERROR(INDEX(Produits!$F$2:$F$1001,MATCH(B1696,Produits!$A$2:$A$1001,0)),"⚠ code article inconnu"))</f>
        <v/>
      </c>
      <c r="D1696" s="12"/>
      <c r="E1696" s="23"/>
      <c r="F1696" s="24"/>
      <c r="G1696" s="23"/>
      <c r="H1696" s="21" t="str">
        <f aca="true">IF(E1696="","",ROUND((E1696-TODAY())/30.4,1))</f>
        <v/>
      </c>
      <c r="I1696" s="17" t="str">
        <f aca="false">IF(E1696="","",IF(H1696&lt;0,IF(LEFT(A1696,1)="Q","Périmé (en quarantaine)","PÉRIMÉ → déplacer en zone Q"),IF(H1696&lt;3,"Péremption &lt; 3 mois",IF(H1696&lt;6,"Péremption &lt; 6 mois",""))))</f>
        <v/>
      </c>
      <c r="J1696" s="17" t="str">
        <f aca="false">IF(A1696="","",IF(COUNTIF(Emplacements!$A$2:$A$1001,A1696)=0,"⚠ emplacement inconnu","OK"))</f>
        <v/>
      </c>
      <c r="K1696" s="22" t="str">
        <f aca="false">IF(AND(B1696&lt;&gt;"",ISNUMBER(SEARCH(Recherche!$C$3,C1696&amp;" "&amp;B1696&amp;" "&amp;A1696&amp;" "&amp;D1696))),MAX($K$1:K1695)+1,"")</f>
        <v/>
      </c>
    </row>
    <row r="1697" customFormat="false" ht="15" hidden="false" customHeight="false" outlineLevel="0" collapsed="false">
      <c r="A1697" s="12"/>
      <c r="B1697" s="12"/>
      <c r="C1697" s="17" t="str">
        <f aca="false">IF(B1697="","",IFERROR(INDEX(Produits!$F$2:$F$1001,MATCH(B1697,Produits!$A$2:$A$1001,0)),"⚠ code article inconnu"))</f>
        <v/>
      </c>
      <c r="D1697" s="12"/>
      <c r="E1697" s="23"/>
      <c r="F1697" s="24"/>
      <c r="G1697" s="23"/>
      <c r="H1697" s="21" t="str">
        <f aca="true">IF(E1697="","",ROUND((E1697-TODAY())/30.4,1))</f>
        <v/>
      </c>
      <c r="I1697" s="17" t="str">
        <f aca="false">IF(E1697="","",IF(H1697&lt;0,IF(LEFT(A1697,1)="Q","Périmé (en quarantaine)","PÉRIMÉ → déplacer en zone Q"),IF(H1697&lt;3,"Péremption &lt; 3 mois",IF(H1697&lt;6,"Péremption &lt; 6 mois",""))))</f>
        <v/>
      </c>
      <c r="J1697" s="17" t="str">
        <f aca="false">IF(A1697="","",IF(COUNTIF(Emplacements!$A$2:$A$1001,A1697)=0,"⚠ emplacement inconnu","OK"))</f>
        <v/>
      </c>
      <c r="K1697" s="22" t="str">
        <f aca="false">IF(AND(B1697&lt;&gt;"",ISNUMBER(SEARCH(Recherche!$C$3,C1697&amp;" "&amp;B1697&amp;" "&amp;A1697&amp;" "&amp;D1697))),MAX($K$1:K1696)+1,"")</f>
        <v/>
      </c>
    </row>
    <row r="1698" customFormat="false" ht="15" hidden="false" customHeight="false" outlineLevel="0" collapsed="false">
      <c r="A1698" s="12"/>
      <c r="B1698" s="12"/>
      <c r="C1698" s="17" t="str">
        <f aca="false">IF(B1698="","",IFERROR(INDEX(Produits!$F$2:$F$1001,MATCH(B1698,Produits!$A$2:$A$1001,0)),"⚠ code article inconnu"))</f>
        <v/>
      </c>
      <c r="D1698" s="12"/>
      <c r="E1698" s="23"/>
      <c r="F1698" s="24"/>
      <c r="G1698" s="23"/>
      <c r="H1698" s="21" t="str">
        <f aca="true">IF(E1698="","",ROUND((E1698-TODAY())/30.4,1))</f>
        <v/>
      </c>
      <c r="I1698" s="17" t="str">
        <f aca="false">IF(E1698="","",IF(H1698&lt;0,IF(LEFT(A1698,1)="Q","Périmé (en quarantaine)","PÉRIMÉ → déplacer en zone Q"),IF(H1698&lt;3,"Péremption &lt; 3 mois",IF(H1698&lt;6,"Péremption &lt; 6 mois",""))))</f>
        <v/>
      </c>
      <c r="J1698" s="17" t="str">
        <f aca="false">IF(A1698="","",IF(COUNTIF(Emplacements!$A$2:$A$1001,A1698)=0,"⚠ emplacement inconnu","OK"))</f>
        <v/>
      </c>
      <c r="K1698" s="22" t="str">
        <f aca="false">IF(AND(B1698&lt;&gt;"",ISNUMBER(SEARCH(Recherche!$C$3,C1698&amp;" "&amp;B1698&amp;" "&amp;A1698&amp;" "&amp;D1698))),MAX($K$1:K1697)+1,"")</f>
        <v/>
      </c>
    </row>
    <row r="1699" customFormat="false" ht="15" hidden="false" customHeight="false" outlineLevel="0" collapsed="false">
      <c r="A1699" s="12"/>
      <c r="B1699" s="12"/>
      <c r="C1699" s="17" t="str">
        <f aca="false">IF(B1699="","",IFERROR(INDEX(Produits!$F$2:$F$1001,MATCH(B1699,Produits!$A$2:$A$1001,0)),"⚠ code article inconnu"))</f>
        <v/>
      </c>
      <c r="D1699" s="12"/>
      <c r="E1699" s="23"/>
      <c r="F1699" s="24"/>
      <c r="G1699" s="23"/>
      <c r="H1699" s="21" t="str">
        <f aca="true">IF(E1699="","",ROUND((E1699-TODAY())/30.4,1))</f>
        <v/>
      </c>
      <c r="I1699" s="17" t="str">
        <f aca="false">IF(E1699="","",IF(H1699&lt;0,IF(LEFT(A1699,1)="Q","Périmé (en quarantaine)","PÉRIMÉ → déplacer en zone Q"),IF(H1699&lt;3,"Péremption &lt; 3 mois",IF(H1699&lt;6,"Péremption &lt; 6 mois",""))))</f>
        <v/>
      </c>
      <c r="J1699" s="17" t="str">
        <f aca="false">IF(A1699="","",IF(COUNTIF(Emplacements!$A$2:$A$1001,A1699)=0,"⚠ emplacement inconnu","OK"))</f>
        <v/>
      </c>
      <c r="K1699" s="22" t="str">
        <f aca="false">IF(AND(B1699&lt;&gt;"",ISNUMBER(SEARCH(Recherche!$C$3,C1699&amp;" "&amp;B1699&amp;" "&amp;A1699&amp;" "&amp;D1699))),MAX($K$1:K1698)+1,"")</f>
        <v/>
      </c>
    </row>
    <row r="1700" customFormat="false" ht="15" hidden="false" customHeight="false" outlineLevel="0" collapsed="false">
      <c r="A1700" s="12"/>
      <c r="B1700" s="12"/>
      <c r="C1700" s="17" t="str">
        <f aca="false">IF(B1700="","",IFERROR(INDEX(Produits!$F$2:$F$1001,MATCH(B1700,Produits!$A$2:$A$1001,0)),"⚠ code article inconnu"))</f>
        <v/>
      </c>
      <c r="D1700" s="12"/>
      <c r="E1700" s="23"/>
      <c r="F1700" s="24"/>
      <c r="G1700" s="23"/>
      <c r="H1700" s="21" t="str">
        <f aca="true">IF(E1700="","",ROUND((E1700-TODAY())/30.4,1))</f>
        <v/>
      </c>
      <c r="I1700" s="17" t="str">
        <f aca="false">IF(E1700="","",IF(H1700&lt;0,IF(LEFT(A1700,1)="Q","Périmé (en quarantaine)","PÉRIMÉ → déplacer en zone Q"),IF(H1700&lt;3,"Péremption &lt; 3 mois",IF(H1700&lt;6,"Péremption &lt; 6 mois",""))))</f>
        <v/>
      </c>
      <c r="J1700" s="17" t="str">
        <f aca="false">IF(A1700="","",IF(COUNTIF(Emplacements!$A$2:$A$1001,A1700)=0,"⚠ emplacement inconnu","OK"))</f>
        <v/>
      </c>
      <c r="K1700" s="22" t="str">
        <f aca="false">IF(AND(B1700&lt;&gt;"",ISNUMBER(SEARCH(Recherche!$C$3,C1700&amp;" "&amp;B1700&amp;" "&amp;A1700&amp;" "&amp;D1700))),MAX($K$1:K1699)+1,"")</f>
        <v/>
      </c>
    </row>
    <row r="1701" customFormat="false" ht="15" hidden="false" customHeight="false" outlineLevel="0" collapsed="false">
      <c r="A1701" s="12"/>
      <c r="B1701" s="12"/>
      <c r="C1701" s="17" t="str">
        <f aca="false">IF(B1701="","",IFERROR(INDEX(Produits!$F$2:$F$1001,MATCH(B1701,Produits!$A$2:$A$1001,0)),"⚠ code article inconnu"))</f>
        <v/>
      </c>
      <c r="D1701" s="12"/>
      <c r="E1701" s="23"/>
      <c r="F1701" s="24"/>
      <c r="G1701" s="23"/>
      <c r="H1701" s="21" t="str">
        <f aca="true">IF(E1701="","",ROUND((E1701-TODAY())/30.4,1))</f>
        <v/>
      </c>
      <c r="I1701" s="17" t="str">
        <f aca="false">IF(E1701="","",IF(H1701&lt;0,IF(LEFT(A1701,1)="Q","Périmé (en quarantaine)","PÉRIMÉ → déplacer en zone Q"),IF(H1701&lt;3,"Péremption &lt; 3 mois",IF(H1701&lt;6,"Péremption &lt; 6 mois",""))))</f>
        <v/>
      </c>
      <c r="J1701" s="17" t="str">
        <f aca="false">IF(A1701="","",IF(COUNTIF(Emplacements!$A$2:$A$1001,A1701)=0,"⚠ emplacement inconnu","OK"))</f>
        <v/>
      </c>
      <c r="K1701" s="22" t="str">
        <f aca="false">IF(AND(B1701&lt;&gt;"",ISNUMBER(SEARCH(Recherche!$C$3,C1701&amp;" "&amp;B1701&amp;" "&amp;A1701&amp;" "&amp;D1701))),MAX($K$1:K1700)+1,"")</f>
        <v/>
      </c>
    </row>
    <row r="1702" customFormat="false" ht="15" hidden="false" customHeight="false" outlineLevel="0" collapsed="false">
      <c r="A1702" s="12"/>
      <c r="B1702" s="12"/>
      <c r="C1702" s="17" t="str">
        <f aca="false">IF(B1702="","",IFERROR(INDEX(Produits!$F$2:$F$1001,MATCH(B1702,Produits!$A$2:$A$1001,0)),"⚠ code article inconnu"))</f>
        <v/>
      </c>
      <c r="D1702" s="12"/>
      <c r="E1702" s="23"/>
      <c r="F1702" s="24"/>
      <c r="G1702" s="23"/>
      <c r="H1702" s="21" t="str">
        <f aca="true">IF(E1702="","",ROUND((E1702-TODAY())/30.4,1))</f>
        <v/>
      </c>
      <c r="I1702" s="17" t="str">
        <f aca="false">IF(E1702="","",IF(H1702&lt;0,IF(LEFT(A1702,1)="Q","Périmé (en quarantaine)","PÉRIMÉ → déplacer en zone Q"),IF(H1702&lt;3,"Péremption &lt; 3 mois",IF(H1702&lt;6,"Péremption &lt; 6 mois",""))))</f>
        <v/>
      </c>
      <c r="J1702" s="17" t="str">
        <f aca="false">IF(A1702="","",IF(COUNTIF(Emplacements!$A$2:$A$1001,A1702)=0,"⚠ emplacement inconnu","OK"))</f>
        <v/>
      </c>
      <c r="K1702" s="22" t="str">
        <f aca="false">IF(AND(B1702&lt;&gt;"",ISNUMBER(SEARCH(Recherche!$C$3,C1702&amp;" "&amp;B1702&amp;" "&amp;A1702&amp;" "&amp;D1702))),MAX($K$1:K1701)+1,"")</f>
        <v/>
      </c>
    </row>
    <row r="1703" customFormat="false" ht="15" hidden="false" customHeight="false" outlineLevel="0" collapsed="false">
      <c r="A1703" s="12"/>
      <c r="B1703" s="12"/>
      <c r="C1703" s="17" t="str">
        <f aca="false">IF(B1703="","",IFERROR(INDEX(Produits!$F$2:$F$1001,MATCH(B1703,Produits!$A$2:$A$1001,0)),"⚠ code article inconnu"))</f>
        <v/>
      </c>
      <c r="D1703" s="12"/>
      <c r="E1703" s="23"/>
      <c r="F1703" s="24"/>
      <c r="G1703" s="23"/>
      <c r="H1703" s="21" t="str">
        <f aca="true">IF(E1703="","",ROUND((E1703-TODAY())/30.4,1))</f>
        <v/>
      </c>
      <c r="I1703" s="17" t="str">
        <f aca="false">IF(E1703="","",IF(H1703&lt;0,IF(LEFT(A1703,1)="Q","Périmé (en quarantaine)","PÉRIMÉ → déplacer en zone Q"),IF(H1703&lt;3,"Péremption &lt; 3 mois",IF(H1703&lt;6,"Péremption &lt; 6 mois",""))))</f>
        <v/>
      </c>
      <c r="J1703" s="17" t="str">
        <f aca="false">IF(A1703="","",IF(COUNTIF(Emplacements!$A$2:$A$1001,A1703)=0,"⚠ emplacement inconnu","OK"))</f>
        <v/>
      </c>
      <c r="K1703" s="22" t="str">
        <f aca="false">IF(AND(B1703&lt;&gt;"",ISNUMBER(SEARCH(Recherche!$C$3,C1703&amp;" "&amp;B1703&amp;" "&amp;A1703&amp;" "&amp;D1703))),MAX($K$1:K1702)+1,"")</f>
        <v/>
      </c>
    </row>
    <row r="1704" customFormat="false" ht="15" hidden="false" customHeight="false" outlineLevel="0" collapsed="false">
      <c r="A1704" s="12"/>
      <c r="B1704" s="12"/>
      <c r="C1704" s="17" t="str">
        <f aca="false">IF(B1704="","",IFERROR(INDEX(Produits!$F$2:$F$1001,MATCH(B1704,Produits!$A$2:$A$1001,0)),"⚠ code article inconnu"))</f>
        <v/>
      </c>
      <c r="D1704" s="12"/>
      <c r="E1704" s="23"/>
      <c r="F1704" s="24"/>
      <c r="G1704" s="23"/>
      <c r="H1704" s="21" t="str">
        <f aca="true">IF(E1704="","",ROUND((E1704-TODAY())/30.4,1))</f>
        <v/>
      </c>
      <c r="I1704" s="17" t="str">
        <f aca="false">IF(E1704="","",IF(H1704&lt;0,IF(LEFT(A1704,1)="Q","Périmé (en quarantaine)","PÉRIMÉ → déplacer en zone Q"),IF(H1704&lt;3,"Péremption &lt; 3 mois",IF(H1704&lt;6,"Péremption &lt; 6 mois",""))))</f>
        <v/>
      </c>
      <c r="J1704" s="17" t="str">
        <f aca="false">IF(A1704="","",IF(COUNTIF(Emplacements!$A$2:$A$1001,A1704)=0,"⚠ emplacement inconnu","OK"))</f>
        <v/>
      </c>
      <c r="K1704" s="22" t="str">
        <f aca="false">IF(AND(B1704&lt;&gt;"",ISNUMBER(SEARCH(Recherche!$C$3,C1704&amp;" "&amp;B1704&amp;" "&amp;A1704&amp;" "&amp;D1704))),MAX($K$1:K1703)+1,"")</f>
        <v/>
      </c>
    </row>
    <row r="1705" customFormat="false" ht="15" hidden="false" customHeight="false" outlineLevel="0" collapsed="false">
      <c r="A1705" s="12"/>
      <c r="B1705" s="12"/>
      <c r="C1705" s="17" t="str">
        <f aca="false">IF(B1705="","",IFERROR(INDEX(Produits!$F$2:$F$1001,MATCH(B1705,Produits!$A$2:$A$1001,0)),"⚠ code article inconnu"))</f>
        <v/>
      </c>
      <c r="D1705" s="12"/>
      <c r="E1705" s="23"/>
      <c r="F1705" s="24"/>
      <c r="G1705" s="23"/>
      <c r="H1705" s="21" t="str">
        <f aca="true">IF(E1705="","",ROUND((E1705-TODAY())/30.4,1))</f>
        <v/>
      </c>
      <c r="I1705" s="17" t="str">
        <f aca="false">IF(E1705="","",IF(H1705&lt;0,IF(LEFT(A1705,1)="Q","Périmé (en quarantaine)","PÉRIMÉ → déplacer en zone Q"),IF(H1705&lt;3,"Péremption &lt; 3 mois",IF(H1705&lt;6,"Péremption &lt; 6 mois",""))))</f>
        <v/>
      </c>
      <c r="J1705" s="17" t="str">
        <f aca="false">IF(A1705="","",IF(COUNTIF(Emplacements!$A$2:$A$1001,A1705)=0,"⚠ emplacement inconnu","OK"))</f>
        <v/>
      </c>
      <c r="K1705" s="22" t="str">
        <f aca="false">IF(AND(B1705&lt;&gt;"",ISNUMBER(SEARCH(Recherche!$C$3,C1705&amp;" "&amp;B1705&amp;" "&amp;A1705&amp;" "&amp;D1705))),MAX($K$1:K1704)+1,"")</f>
        <v/>
      </c>
    </row>
    <row r="1706" customFormat="false" ht="15" hidden="false" customHeight="false" outlineLevel="0" collapsed="false">
      <c r="A1706" s="12"/>
      <c r="B1706" s="12"/>
      <c r="C1706" s="17" t="str">
        <f aca="false">IF(B1706="","",IFERROR(INDEX(Produits!$F$2:$F$1001,MATCH(B1706,Produits!$A$2:$A$1001,0)),"⚠ code article inconnu"))</f>
        <v/>
      </c>
      <c r="D1706" s="12"/>
      <c r="E1706" s="23"/>
      <c r="F1706" s="24"/>
      <c r="G1706" s="23"/>
      <c r="H1706" s="21" t="str">
        <f aca="true">IF(E1706="","",ROUND((E1706-TODAY())/30.4,1))</f>
        <v/>
      </c>
      <c r="I1706" s="17" t="str">
        <f aca="false">IF(E1706="","",IF(H1706&lt;0,IF(LEFT(A1706,1)="Q","Périmé (en quarantaine)","PÉRIMÉ → déplacer en zone Q"),IF(H1706&lt;3,"Péremption &lt; 3 mois",IF(H1706&lt;6,"Péremption &lt; 6 mois",""))))</f>
        <v/>
      </c>
      <c r="J1706" s="17" t="str">
        <f aca="false">IF(A1706="","",IF(COUNTIF(Emplacements!$A$2:$A$1001,A1706)=0,"⚠ emplacement inconnu","OK"))</f>
        <v/>
      </c>
      <c r="K1706" s="22" t="str">
        <f aca="false">IF(AND(B1706&lt;&gt;"",ISNUMBER(SEARCH(Recherche!$C$3,C1706&amp;" "&amp;B1706&amp;" "&amp;A1706&amp;" "&amp;D1706))),MAX($K$1:K1705)+1,"")</f>
        <v/>
      </c>
    </row>
    <row r="1707" customFormat="false" ht="15" hidden="false" customHeight="false" outlineLevel="0" collapsed="false">
      <c r="A1707" s="12"/>
      <c r="B1707" s="12"/>
      <c r="C1707" s="17" t="str">
        <f aca="false">IF(B1707="","",IFERROR(INDEX(Produits!$F$2:$F$1001,MATCH(B1707,Produits!$A$2:$A$1001,0)),"⚠ code article inconnu"))</f>
        <v/>
      </c>
      <c r="D1707" s="12"/>
      <c r="E1707" s="23"/>
      <c r="F1707" s="24"/>
      <c r="G1707" s="23"/>
      <c r="H1707" s="21" t="str">
        <f aca="true">IF(E1707="","",ROUND((E1707-TODAY())/30.4,1))</f>
        <v/>
      </c>
      <c r="I1707" s="17" t="str">
        <f aca="false">IF(E1707="","",IF(H1707&lt;0,IF(LEFT(A1707,1)="Q","Périmé (en quarantaine)","PÉRIMÉ → déplacer en zone Q"),IF(H1707&lt;3,"Péremption &lt; 3 mois",IF(H1707&lt;6,"Péremption &lt; 6 mois",""))))</f>
        <v/>
      </c>
      <c r="J1707" s="17" t="str">
        <f aca="false">IF(A1707="","",IF(COUNTIF(Emplacements!$A$2:$A$1001,A1707)=0,"⚠ emplacement inconnu","OK"))</f>
        <v/>
      </c>
      <c r="K1707" s="22" t="str">
        <f aca="false">IF(AND(B1707&lt;&gt;"",ISNUMBER(SEARCH(Recherche!$C$3,C1707&amp;" "&amp;B1707&amp;" "&amp;A1707&amp;" "&amp;D1707))),MAX($K$1:K1706)+1,"")</f>
        <v/>
      </c>
    </row>
    <row r="1708" customFormat="false" ht="15" hidden="false" customHeight="false" outlineLevel="0" collapsed="false">
      <c r="A1708" s="12"/>
      <c r="B1708" s="12"/>
      <c r="C1708" s="17" t="str">
        <f aca="false">IF(B1708="","",IFERROR(INDEX(Produits!$F$2:$F$1001,MATCH(B1708,Produits!$A$2:$A$1001,0)),"⚠ code article inconnu"))</f>
        <v/>
      </c>
      <c r="D1708" s="12"/>
      <c r="E1708" s="23"/>
      <c r="F1708" s="24"/>
      <c r="G1708" s="23"/>
      <c r="H1708" s="21" t="str">
        <f aca="true">IF(E1708="","",ROUND((E1708-TODAY())/30.4,1))</f>
        <v/>
      </c>
      <c r="I1708" s="17" t="str">
        <f aca="false">IF(E1708="","",IF(H1708&lt;0,IF(LEFT(A1708,1)="Q","Périmé (en quarantaine)","PÉRIMÉ → déplacer en zone Q"),IF(H1708&lt;3,"Péremption &lt; 3 mois",IF(H1708&lt;6,"Péremption &lt; 6 mois",""))))</f>
        <v/>
      </c>
      <c r="J1708" s="17" t="str">
        <f aca="false">IF(A1708="","",IF(COUNTIF(Emplacements!$A$2:$A$1001,A1708)=0,"⚠ emplacement inconnu","OK"))</f>
        <v/>
      </c>
      <c r="K1708" s="22" t="str">
        <f aca="false">IF(AND(B1708&lt;&gt;"",ISNUMBER(SEARCH(Recherche!$C$3,C1708&amp;" "&amp;B1708&amp;" "&amp;A1708&amp;" "&amp;D1708))),MAX($K$1:K1707)+1,"")</f>
        <v/>
      </c>
    </row>
    <row r="1709" customFormat="false" ht="15" hidden="false" customHeight="false" outlineLevel="0" collapsed="false">
      <c r="A1709" s="12"/>
      <c r="B1709" s="12"/>
      <c r="C1709" s="17" t="str">
        <f aca="false">IF(B1709="","",IFERROR(INDEX(Produits!$F$2:$F$1001,MATCH(B1709,Produits!$A$2:$A$1001,0)),"⚠ code article inconnu"))</f>
        <v/>
      </c>
      <c r="D1709" s="12"/>
      <c r="E1709" s="23"/>
      <c r="F1709" s="24"/>
      <c r="G1709" s="23"/>
      <c r="H1709" s="21" t="str">
        <f aca="true">IF(E1709="","",ROUND((E1709-TODAY())/30.4,1))</f>
        <v/>
      </c>
      <c r="I1709" s="17" t="str">
        <f aca="false">IF(E1709="","",IF(H1709&lt;0,IF(LEFT(A1709,1)="Q","Périmé (en quarantaine)","PÉRIMÉ → déplacer en zone Q"),IF(H1709&lt;3,"Péremption &lt; 3 mois",IF(H1709&lt;6,"Péremption &lt; 6 mois",""))))</f>
        <v/>
      </c>
      <c r="J1709" s="17" t="str">
        <f aca="false">IF(A1709="","",IF(COUNTIF(Emplacements!$A$2:$A$1001,A1709)=0,"⚠ emplacement inconnu","OK"))</f>
        <v/>
      </c>
      <c r="K1709" s="22" t="str">
        <f aca="false">IF(AND(B1709&lt;&gt;"",ISNUMBER(SEARCH(Recherche!$C$3,C1709&amp;" "&amp;B1709&amp;" "&amp;A1709&amp;" "&amp;D1709))),MAX($K$1:K1708)+1,"")</f>
        <v/>
      </c>
    </row>
    <row r="1710" customFormat="false" ht="15" hidden="false" customHeight="false" outlineLevel="0" collapsed="false">
      <c r="A1710" s="12"/>
      <c r="B1710" s="12"/>
      <c r="C1710" s="17" t="str">
        <f aca="false">IF(B1710="","",IFERROR(INDEX(Produits!$F$2:$F$1001,MATCH(B1710,Produits!$A$2:$A$1001,0)),"⚠ code article inconnu"))</f>
        <v/>
      </c>
      <c r="D1710" s="12"/>
      <c r="E1710" s="23"/>
      <c r="F1710" s="24"/>
      <c r="G1710" s="23"/>
      <c r="H1710" s="21" t="str">
        <f aca="true">IF(E1710="","",ROUND((E1710-TODAY())/30.4,1))</f>
        <v/>
      </c>
      <c r="I1710" s="17" t="str">
        <f aca="false">IF(E1710="","",IF(H1710&lt;0,IF(LEFT(A1710,1)="Q","Périmé (en quarantaine)","PÉRIMÉ → déplacer en zone Q"),IF(H1710&lt;3,"Péremption &lt; 3 mois",IF(H1710&lt;6,"Péremption &lt; 6 mois",""))))</f>
        <v/>
      </c>
      <c r="J1710" s="17" t="str">
        <f aca="false">IF(A1710="","",IF(COUNTIF(Emplacements!$A$2:$A$1001,A1710)=0,"⚠ emplacement inconnu","OK"))</f>
        <v/>
      </c>
      <c r="K1710" s="22" t="str">
        <f aca="false">IF(AND(B1710&lt;&gt;"",ISNUMBER(SEARCH(Recherche!$C$3,C1710&amp;" "&amp;B1710&amp;" "&amp;A1710&amp;" "&amp;D1710))),MAX($K$1:K1709)+1,"")</f>
        <v/>
      </c>
    </row>
    <row r="1711" customFormat="false" ht="15" hidden="false" customHeight="false" outlineLevel="0" collapsed="false">
      <c r="A1711" s="12"/>
      <c r="B1711" s="12"/>
      <c r="C1711" s="17" t="str">
        <f aca="false">IF(B1711="","",IFERROR(INDEX(Produits!$F$2:$F$1001,MATCH(B1711,Produits!$A$2:$A$1001,0)),"⚠ code article inconnu"))</f>
        <v/>
      </c>
      <c r="D1711" s="12"/>
      <c r="E1711" s="23"/>
      <c r="F1711" s="24"/>
      <c r="G1711" s="23"/>
      <c r="H1711" s="21" t="str">
        <f aca="true">IF(E1711="","",ROUND((E1711-TODAY())/30.4,1))</f>
        <v/>
      </c>
      <c r="I1711" s="17" t="str">
        <f aca="false">IF(E1711="","",IF(H1711&lt;0,IF(LEFT(A1711,1)="Q","Périmé (en quarantaine)","PÉRIMÉ → déplacer en zone Q"),IF(H1711&lt;3,"Péremption &lt; 3 mois",IF(H1711&lt;6,"Péremption &lt; 6 mois",""))))</f>
        <v/>
      </c>
      <c r="J1711" s="17" t="str">
        <f aca="false">IF(A1711="","",IF(COUNTIF(Emplacements!$A$2:$A$1001,A1711)=0,"⚠ emplacement inconnu","OK"))</f>
        <v/>
      </c>
      <c r="K1711" s="22" t="str">
        <f aca="false">IF(AND(B1711&lt;&gt;"",ISNUMBER(SEARCH(Recherche!$C$3,C1711&amp;" "&amp;B1711&amp;" "&amp;A1711&amp;" "&amp;D1711))),MAX($K$1:K1710)+1,"")</f>
        <v/>
      </c>
    </row>
    <row r="1712" customFormat="false" ht="15" hidden="false" customHeight="false" outlineLevel="0" collapsed="false">
      <c r="A1712" s="12"/>
      <c r="B1712" s="12"/>
      <c r="C1712" s="17" t="str">
        <f aca="false">IF(B1712="","",IFERROR(INDEX(Produits!$F$2:$F$1001,MATCH(B1712,Produits!$A$2:$A$1001,0)),"⚠ code article inconnu"))</f>
        <v/>
      </c>
      <c r="D1712" s="12"/>
      <c r="E1712" s="23"/>
      <c r="F1712" s="24"/>
      <c r="G1712" s="23"/>
      <c r="H1712" s="21" t="str">
        <f aca="true">IF(E1712="","",ROUND((E1712-TODAY())/30.4,1))</f>
        <v/>
      </c>
      <c r="I1712" s="17" t="str">
        <f aca="false">IF(E1712="","",IF(H1712&lt;0,IF(LEFT(A1712,1)="Q","Périmé (en quarantaine)","PÉRIMÉ → déplacer en zone Q"),IF(H1712&lt;3,"Péremption &lt; 3 mois",IF(H1712&lt;6,"Péremption &lt; 6 mois",""))))</f>
        <v/>
      </c>
      <c r="J1712" s="17" t="str">
        <f aca="false">IF(A1712="","",IF(COUNTIF(Emplacements!$A$2:$A$1001,A1712)=0,"⚠ emplacement inconnu","OK"))</f>
        <v/>
      </c>
      <c r="K1712" s="22" t="str">
        <f aca="false">IF(AND(B1712&lt;&gt;"",ISNUMBER(SEARCH(Recherche!$C$3,C1712&amp;" "&amp;B1712&amp;" "&amp;A1712&amp;" "&amp;D1712))),MAX($K$1:K1711)+1,"")</f>
        <v/>
      </c>
    </row>
    <row r="1713" customFormat="false" ht="15" hidden="false" customHeight="false" outlineLevel="0" collapsed="false">
      <c r="A1713" s="12"/>
      <c r="B1713" s="12"/>
      <c r="C1713" s="17" t="str">
        <f aca="false">IF(B1713="","",IFERROR(INDEX(Produits!$F$2:$F$1001,MATCH(B1713,Produits!$A$2:$A$1001,0)),"⚠ code article inconnu"))</f>
        <v/>
      </c>
      <c r="D1713" s="12"/>
      <c r="E1713" s="23"/>
      <c r="F1713" s="24"/>
      <c r="G1713" s="23"/>
      <c r="H1713" s="21" t="str">
        <f aca="true">IF(E1713="","",ROUND((E1713-TODAY())/30.4,1))</f>
        <v/>
      </c>
      <c r="I1713" s="17" t="str">
        <f aca="false">IF(E1713="","",IF(H1713&lt;0,IF(LEFT(A1713,1)="Q","Périmé (en quarantaine)","PÉRIMÉ → déplacer en zone Q"),IF(H1713&lt;3,"Péremption &lt; 3 mois",IF(H1713&lt;6,"Péremption &lt; 6 mois",""))))</f>
        <v/>
      </c>
      <c r="J1713" s="17" t="str">
        <f aca="false">IF(A1713="","",IF(COUNTIF(Emplacements!$A$2:$A$1001,A1713)=0,"⚠ emplacement inconnu","OK"))</f>
        <v/>
      </c>
      <c r="K1713" s="22" t="str">
        <f aca="false">IF(AND(B1713&lt;&gt;"",ISNUMBER(SEARCH(Recherche!$C$3,C1713&amp;" "&amp;B1713&amp;" "&amp;A1713&amp;" "&amp;D1713))),MAX($K$1:K1712)+1,"")</f>
        <v/>
      </c>
    </row>
    <row r="1714" customFormat="false" ht="15" hidden="false" customHeight="false" outlineLevel="0" collapsed="false">
      <c r="A1714" s="12"/>
      <c r="B1714" s="12"/>
      <c r="C1714" s="17" t="str">
        <f aca="false">IF(B1714="","",IFERROR(INDEX(Produits!$F$2:$F$1001,MATCH(B1714,Produits!$A$2:$A$1001,0)),"⚠ code article inconnu"))</f>
        <v/>
      </c>
      <c r="D1714" s="12"/>
      <c r="E1714" s="23"/>
      <c r="F1714" s="24"/>
      <c r="G1714" s="23"/>
      <c r="H1714" s="21" t="str">
        <f aca="true">IF(E1714="","",ROUND((E1714-TODAY())/30.4,1))</f>
        <v/>
      </c>
      <c r="I1714" s="17" t="str">
        <f aca="false">IF(E1714="","",IF(H1714&lt;0,IF(LEFT(A1714,1)="Q","Périmé (en quarantaine)","PÉRIMÉ → déplacer en zone Q"),IF(H1714&lt;3,"Péremption &lt; 3 mois",IF(H1714&lt;6,"Péremption &lt; 6 mois",""))))</f>
        <v/>
      </c>
      <c r="J1714" s="17" t="str">
        <f aca="false">IF(A1714="","",IF(COUNTIF(Emplacements!$A$2:$A$1001,A1714)=0,"⚠ emplacement inconnu","OK"))</f>
        <v/>
      </c>
      <c r="K1714" s="22" t="str">
        <f aca="false">IF(AND(B1714&lt;&gt;"",ISNUMBER(SEARCH(Recherche!$C$3,C1714&amp;" "&amp;B1714&amp;" "&amp;A1714&amp;" "&amp;D1714))),MAX($K$1:K1713)+1,"")</f>
        <v/>
      </c>
    </row>
    <row r="1715" customFormat="false" ht="15" hidden="false" customHeight="false" outlineLevel="0" collapsed="false">
      <c r="A1715" s="12"/>
      <c r="B1715" s="12"/>
      <c r="C1715" s="17" t="str">
        <f aca="false">IF(B1715="","",IFERROR(INDEX(Produits!$F$2:$F$1001,MATCH(B1715,Produits!$A$2:$A$1001,0)),"⚠ code article inconnu"))</f>
        <v/>
      </c>
      <c r="D1715" s="12"/>
      <c r="E1715" s="23"/>
      <c r="F1715" s="24"/>
      <c r="G1715" s="23"/>
      <c r="H1715" s="21" t="str">
        <f aca="true">IF(E1715="","",ROUND((E1715-TODAY())/30.4,1))</f>
        <v/>
      </c>
      <c r="I1715" s="17" t="str">
        <f aca="false">IF(E1715="","",IF(H1715&lt;0,IF(LEFT(A1715,1)="Q","Périmé (en quarantaine)","PÉRIMÉ → déplacer en zone Q"),IF(H1715&lt;3,"Péremption &lt; 3 mois",IF(H1715&lt;6,"Péremption &lt; 6 mois",""))))</f>
        <v/>
      </c>
      <c r="J1715" s="17" t="str">
        <f aca="false">IF(A1715="","",IF(COUNTIF(Emplacements!$A$2:$A$1001,A1715)=0,"⚠ emplacement inconnu","OK"))</f>
        <v/>
      </c>
      <c r="K1715" s="22" t="str">
        <f aca="false">IF(AND(B1715&lt;&gt;"",ISNUMBER(SEARCH(Recherche!$C$3,C1715&amp;" "&amp;B1715&amp;" "&amp;A1715&amp;" "&amp;D1715))),MAX($K$1:K1714)+1,"")</f>
        <v/>
      </c>
    </row>
    <row r="1716" customFormat="false" ht="15" hidden="false" customHeight="false" outlineLevel="0" collapsed="false">
      <c r="A1716" s="12"/>
      <c r="B1716" s="12"/>
      <c r="C1716" s="17" t="str">
        <f aca="false">IF(B1716="","",IFERROR(INDEX(Produits!$F$2:$F$1001,MATCH(B1716,Produits!$A$2:$A$1001,0)),"⚠ code article inconnu"))</f>
        <v/>
      </c>
      <c r="D1716" s="12"/>
      <c r="E1716" s="23"/>
      <c r="F1716" s="24"/>
      <c r="G1716" s="23"/>
      <c r="H1716" s="21" t="str">
        <f aca="true">IF(E1716="","",ROUND((E1716-TODAY())/30.4,1))</f>
        <v/>
      </c>
      <c r="I1716" s="17" t="str">
        <f aca="false">IF(E1716="","",IF(H1716&lt;0,IF(LEFT(A1716,1)="Q","Périmé (en quarantaine)","PÉRIMÉ → déplacer en zone Q"),IF(H1716&lt;3,"Péremption &lt; 3 mois",IF(H1716&lt;6,"Péremption &lt; 6 mois",""))))</f>
        <v/>
      </c>
      <c r="J1716" s="17" t="str">
        <f aca="false">IF(A1716="","",IF(COUNTIF(Emplacements!$A$2:$A$1001,A1716)=0,"⚠ emplacement inconnu","OK"))</f>
        <v/>
      </c>
      <c r="K1716" s="22" t="str">
        <f aca="false">IF(AND(B1716&lt;&gt;"",ISNUMBER(SEARCH(Recherche!$C$3,C1716&amp;" "&amp;B1716&amp;" "&amp;A1716&amp;" "&amp;D1716))),MAX($K$1:K1715)+1,"")</f>
        <v/>
      </c>
    </row>
    <row r="1717" customFormat="false" ht="15" hidden="false" customHeight="false" outlineLevel="0" collapsed="false">
      <c r="A1717" s="12"/>
      <c r="B1717" s="12"/>
      <c r="C1717" s="17" t="str">
        <f aca="false">IF(B1717="","",IFERROR(INDEX(Produits!$F$2:$F$1001,MATCH(B1717,Produits!$A$2:$A$1001,0)),"⚠ code article inconnu"))</f>
        <v/>
      </c>
      <c r="D1717" s="12"/>
      <c r="E1717" s="23"/>
      <c r="F1717" s="24"/>
      <c r="G1717" s="23"/>
      <c r="H1717" s="21" t="str">
        <f aca="true">IF(E1717="","",ROUND((E1717-TODAY())/30.4,1))</f>
        <v/>
      </c>
      <c r="I1717" s="17" t="str">
        <f aca="false">IF(E1717="","",IF(H1717&lt;0,IF(LEFT(A1717,1)="Q","Périmé (en quarantaine)","PÉRIMÉ → déplacer en zone Q"),IF(H1717&lt;3,"Péremption &lt; 3 mois",IF(H1717&lt;6,"Péremption &lt; 6 mois",""))))</f>
        <v/>
      </c>
      <c r="J1717" s="17" t="str">
        <f aca="false">IF(A1717="","",IF(COUNTIF(Emplacements!$A$2:$A$1001,A1717)=0,"⚠ emplacement inconnu","OK"))</f>
        <v/>
      </c>
      <c r="K1717" s="22" t="str">
        <f aca="false">IF(AND(B1717&lt;&gt;"",ISNUMBER(SEARCH(Recherche!$C$3,C1717&amp;" "&amp;B1717&amp;" "&amp;A1717&amp;" "&amp;D1717))),MAX($K$1:K1716)+1,"")</f>
        <v/>
      </c>
    </row>
    <row r="1718" customFormat="false" ht="15" hidden="false" customHeight="false" outlineLevel="0" collapsed="false">
      <c r="A1718" s="12"/>
      <c r="B1718" s="12"/>
      <c r="C1718" s="17" t="str">
        <f aca="false">IF(B1718="","",IFERROR(INDEX(Produits!$F$2:$F$1001,MATCH(B1718,Produits!$A$2:$A$1001,0)),"⚠ code article inconnu"))</f>
        <v/>
      </c>
      <c r="D1718" s="12"/>
      <c r="E1718" s="23"/>
      <c r="F1718" s="24"/>
      <c r="G1718" s="23"/>
      <c r="H1718" s="21" t="str">
        <f aca="true">IF(E1718="","",ROUND((E1718-TODAY())/30.4,1))</f>
        <v/>
      </c>
      <c r="I1718" s="17" t="str">
        <f aca="false">IF(E1718="","",IF(H1718&lt;0,IF(LEFT(A1718,1)="Q","Périmé (en quarantaine)","PÉRIMÉ → déplacer en zone Q"),IF(H1718&lt;3,"Péremption &lt; 3 mois",IF(H1718&lt;6,"Péremption &lt; 6 mois",""))))</f>
        <v/>
      </c>
      <c r="J1718" s="17" t="str">
        <f aca="false">IF(A1718="","",IF(COUNTIF(Emplacements!$A$2:$A$1001,A1718)=0,"⚠ emplacement inconnu","OK"))</f>
        <v/>
      </c>
      <c r="K1718" s="22" t="str">
        <f aca="false">IF(AND(B1718&lt;&gt;"",ISNUMBER(SEARCH(Recherche!$C$3,C1718&amp;" "&amp;B1718&amp;" "&amp;A1718&amp;" "&amp;D1718))),MAX($K$1:K1717)+1,"")</f>
        <v/>
      </c>
    </row>
    <row r="1719" customFormat="false" ht="15" hidden="false" customHeight="false" outlineLevel="0" collapsed="false">
      <c r="A1719" s="12"/>
      <c r="B1719" s="12"/>
      <c r="C1719" s="17" t="str">
        <f aca="false">IF(B1719="","",IFERROR(INDEX(Produits!$F$2:$F$1001,MATCH(B1719,Produits!$A$2:$A$1001,0)),"⚠ code article inconnu"))</f>
        <v/>
      </c>
      <c r="D1719" s="12"/>
      <c r="E1719" s="23"/>
      <c r="F1719" s="24"/>
      <c r="G1719" s="23"/>
      <c r="H1719" s="21" t="str">
        <f aca="true">IF(E1719="","",ROUND((E1719-TODAY())/30.4,1))</f>
        <v/>
      </c>
      <c r="I1719" s="17" t="str">
        <f aca="false">IF(E1719="","",IF(H1719&lt;0,IF(LEFT(A1719,1)="Q","Périmé (en quarantaine)","PÉRIMÉ → déplacer en zone Q"),IF(H1719&lt;3,"Péremption &lt; 3 mois",IF(H1719&lt;6,"Péremption &lt; 6 mois",""))))</f>
        <v/>
      </c>
      <c r="J1719" s="17" t="str">
        <f aca="false">IF(A1719="","",IF(COUNTIF(Emplacements!$A$2:$A$1001,A1719)=0,"⚠ emplacement inconnu","OK"))</f>
        <v/>
      </c>
      <c r="K1719" s="22" t="str">
        <f aca="false">IF(AND(B1719&lt;&gt;"",ISNUMBER(SEARCH(Recherche!$C$3,C1719&amp;" "&amp;B1719&amp;" "&amp;A1719&amp;" "&amp;D1719))),MAX($K$1:K1718)+1,"")</f>
        <v/>
      </c>
    </row>
    <row r="1720" customFormat="false" ht="15" hidden="false" customHeight="false" outlineLevel="0" collapsed="false">
      <c r="A1720" s="12"/>
      <c r="B1720" s="12"/>
      <c r="C1720" s="17" t="str">
        <f aca="false">IF(B1720="","",IFERROR(INDEX(Produits!$F$2:$F$1001,MATCH(B1720,Produits!$A$2:$A$1001,0)),"⚠ code article inconnu"))</f>
        <v/>
      </c>
      <c r="D1720" s="12"/>
      <c r="E1720" s="23"/>
      <c r="F1720" s="24"/>
      <c r="G1720" s="23"/>
      <c r="H1720" s="21" t="str">
        <f aca="true">IF(E1720="","",ROUND((E1720-TODAY())/30.4,1))</f>
        <v/>
      </c>
      <c r="I1720" s="17" t="str">
        <f aca="false">IF(E1720="","",IF(H1720&lt;0,IF(LEFT(A1720,1)="Q","Périmé (en quarantaine)","PÉRIMÉ → déplacer en zone Q"),IF(H1720&lt;3,"Péremption &lt; 3 mois",IF(H1720&lt;6,"Péremption &lt; 6 mois",""))))</f>
        <v/>
      </c>
      <c r="J1720" s="17" t="str">
        <f aca="false">IF(A1720="","",IF(COUNTIF(Emplacements!$A$2:$A$1001,A1720)=0,"⚠ emplacement inconnu","OK"))</f>
        <v/>
      </c>
      <c r="K1720" s="22" t="str">
        <f aca="false">IF(AND(B1720&lt;&gt;"",ISNUMBER(SEARCH(Recherche!$C$3,C1720&amp;" "&amp;B1720&amp;" "&amp;A1720&amp;" "&amp;D1720))),MAX($K$1:K1719)+1,"")</f>
        <v/>
      </c>
    </row>
    <row r="1721" customFormat="false" ht="15" hidden="false" customHeight="false" outlineLevel="0" collapsed="false">
      <c r="A1721" s="12"/>
      <c r="B1721" s="12"/>
      <c r="C1721" s="17" t="str">
        <f aca="false">IF(B1721="","",IFERROR(INDEX(Produits!$F$2:$F$1001,MATCH(B1721,Produits!$A$2:$A$1001,0)),"⚠ code article inconnu"))</f>
        <v/>
      </c>
      <c r="D1721" s="12"/>
      <c r="E1721" s="23"/>
      <c r="F1721" s="24"/>
      <c r="G1721" s="23"/>
      <c r="H1721" s="21" t="str">
        <f aca="true">IF(E1721="","",ROUND((E1721-TODAY())/30.4,1))</f>
        <v/>
      </c>
      <c r="I1721" s="17" t="str">
        <f aca="false">IF(E1721="","",IF(H1721&lt;0,IF(LEFT(A1721,1)="Q","Périmé (en quarantaine)","PÉRIMÉ → déplacer en zone Q"),IF(H1721&lt;3,"Péremption &lt; 3 mois",IF(H1721&lt;6,"Péremption &lt; 6 mois",""))))</f>
        <v/>
      </c>
      <c r="J1721" s="17" t="str">
        <f aca="false">IF(A1721="","",IF(COUNTIF(Emplacements!$A$2:$A$1001,A1721)=0,"⚠ emplacement inconnu","OK"))</f>
        <v/>
      </c>
      <c r="K1721" s="22" t="str">
        <f aca="false">IF(AND(B1721&lt;&gt;"",ISNUMBER(SEARCH(Recherche!$C$3,C1721&amp;" "&amp;B1721&amp;" "&amp;A1721&amp;" "&amp;D1721))),MAX($K$1:K1720)+1,"")</f>
        <v/>
      </c>
    </row>
    <row r="1722" customFormat="false" ht="15" hidden="false" customHeight="false" outlineLevel="0" collapsed="false">
      <c r="A1722" s="12"/>
      <c r="B1722" s="12"/>
      <c r="C1722" s="17" t="str">
        <f aca="false">IF(B1722="","",IFERROR(INDEX(Produits!$F$2:$F$1001,MATCH(B1722,Produits!$A$2:$A$1001,0)),"⚠ code article inconnu"))</f>
        <v/>
      </c>
      <c r="D1722" s="12"/>
      <c r="E1722" s="23"/>
      <c r="F1722" s="24"/>
      <c r="G1722" s="23"/>
      <c r="H1722" s="21" t="str">
        <f aca="true">IF(E1722="","",ROUND((E1722-TODAY())/30.4,1))</f>
        <v/>
      </c>
      <c r="I1722" s="17" t="str">
        <f aca="false">IF(E1722="","",IF(H1722&lt;0,IF(LEFT(A1722,1)="Q","Périmé (en quarantaine)","PÉRIMÉ → déplacer en zone Q"),IF(H1722&lt;3,"Péremption &lt; 3 mois",IF(H1722&lt;6,"Péremption &lt; 6 mois",""))))</f>
        <v/>
      </c>
      <c r="J1722" s="17" t="str">
        <f aca="false">IF(A1722="","",IF(COUNTIF(Emplacements!$A$2:$A$1001,A1722)=0,"⚠ emplacement inconnu","OK"))</f>
        <v/>
      </c>
      <c r="K1722" s="22" t="str">
        <f aca="false">IF(AND(B1722&lt;&gt;"",ISNUMBER(SEARCH(Recherche!$C$3,C1722&amp;" "&amp;B1722&amp;" "&amp;A1722&amp;" "&amp;D1722))),MAX($K$1:K1721)+1,"")</f>
        <v/>
      </c>
    </row>
    <row r="1723" customFormat="false" ht="15" hidden="false" customHeight="false" outlineLevel="0" collapsed="false">
      <c r="A1723" s="12"/>
      <c r="B1723" s="12"/>
      <c r="C1723" s="17" t="str">
        <f aca="false">IF(B1723="","",IFERROR(INDEX(Produits!$F$2:$F$1001,MATCH(B1723,Produits!$A$2:$A$1001,0)),"⚠ code article inconnu"))</f>
        <v/>
      </c>
      <c r="D1723" s="12"/>
      <c r="E1723" s="23"/>
      <c r="F1723" s="24"/>
      <c r="G1723" s="23"/>
      <c r="H1723" s="21" t="str">
        <f aca="true">IF(E1723="","",ROUND((E1723-TODAY())/30.4,1))</f>
        <v/>
      </c>
      <c r="I1723" s="17" t="str">
        <f aca="false">IF(E1723="","",IF(H1723&lt;0,IF(LEFT(A1723,1)="Q","Périmé (en quarantaine)","PÉRIMÉ → déplacer en zone Q"),IF(H1723&lt;3,"Péremption &lt; 3 mois",IF(H1723&lt;6,"Péremption &lt; 6 mois",""))))</f>
        <v/>
      </c>
      <c r="J1723" s="17" t="str">
        <f aca="false">IF(A1723="","",IF(COUNTIF(Emplacements!$A$2:$A$1001,A1723)=0,"⚠ emplacement inconnu","OK"))</f>
        <v/>
      </c>
      <c r="K1723" s="22" t="str">
        <f aca="false">IF(AND(B1723&lt;&gt;"",ISNUMBER(SEARCH(Recherche!$C$3,C1723&amp;" "&amp;B1723&amp;" "&amp;A1723&amp;" "&amp;D1723))),MAX($K$1:K1722)+1,"")</f>
        <v/>
      </c>
    </row>
    <row r="1724" customFormat="false" ht="15" hidden="false" customHeight="false" outlineLevel="0" collapsed="false">
      <c r="A1724" s="12"/>
      <c r="B1724" s="12"/>
      <c r="C1724" s="17" t="str">
        <f aca="false">IF(B1724="","",IFERROR(INDEX(Produits!$F$2:$F$1001,MATCH(B1724,Produits!$A$2:$A$1001,0)),"⚠ code article inconnu"))</f>
        <v/>
      </c>
      <c r="D1724" s="12"/>
      <c r="E1724" s="23"/>
      <c r="F1724" s="24"/>
      <c r="G1724" s="23"/>
      <c r="H1724" s="21" t="str">
        <f aca="true">IF(E1724="","",ROUND((E1724-TODAY())/30.4,1))</f>
        <v/>
      </c>
      <c r="I1724" s="17" t="str">
        <f aca="false">IF(E1724="","",IF(H1724&lt;0,IF(LEFT(A1724,1)="Q","Périmé (en quarantaine)","PÉRIMÉ → déplacer en zone Q"),IF(H1724&lt;3,"Péremption &lt; 3 mois",IF(H1724&lt;6,"Péremption &lt; 6 mois",""))))</f>
        <v/>
      </c>
      <c r="J1724" s="17" t="str">
        <f aca="false">IF(A1724="","",IF(COUNTIF(Emplacements!$A$2:$A$1001,A1724)=0,"⚠ emplacement inconnu","OK"))</f>
        <v/>
      </c>
      <c r="K1724" s="22" t="str">
        <f aca="false">IF(AND(B1724&lt;&gt;"",ISNUMBER(SEARCH(Recherche!$C$3,C1724&amp;" "&amp;B1724&amp;" "&amp;A1724&amp;" "&amp;D1724))),MAX($K$1:K1723)+1,"")</f>
        <v/>
      </c>
    </row>
    <row r="1725" customFormat="false" ht="15" hidden="false" customHeight="false" outlineLevel="0" collapsed="false">
      <c r="A1725" s="12"/>
      <c r="B1725" s="12"/>
      <c r="C1725" s="17" t="str">
        <f aca="false">IF(B1725="","",IFERROR(INDEX(Produits!$F$2:$F$1001,MATCH(B1725,Produits!$A$2:$A$1001,0)),"⚠ code article inconnu"))</f>
        <v/>
      </c>
      <c r="D1725" s="12"/>
      <c r="E1725" s="23"/>
      <c r="F1725" s="24"/>
      <c r="G1725" s="23"/>
      <c r="H1725" s="21" t="str">
        <f aca="true">IF(E1725="","",ROUND((E1725-TODAY())/30.4,1))</f>
        <v/>
      </c>
      <c r="I1725" s="17" t="str">
        <f aca="false">IF(E1725="","",IF(H1725&lt;0,IF(LEFT(A1725,1)="Q","Périmé (en quarantaine)","PÉRIMÉ → déplacer en zone Q"),IF(H1725&lt;3,"Péremption &lt; 3 mois",IF(H1725&lt;6,"Péremption &lt; 6 mois",""))))</f>
        <v/>
      </c>
      <c r="J1725" s="17" t="str">
        <f aca="false">IF(A1725="","",IF(COUNTIF(Emplacements!$A$2:$A$1001,A1725)=0,"⚠ emplacement inconnu","OK"))</f>
        <v/>
      </c>
      <c r="K1725" s="22" t="str">
        <f aca="false">IF(AND(B1725&lt;&gt;"",ISNUMBER(SEARCH(Recherche!$C$3,C1725&amp;" "&amp;B1725&amp;" "&amp;A1725&amp;" "&amp;D1725))),MAX($K$1:K1724)+1,"")</f>
        <v/>
      </c>
    </row>
    <row r="1726" customFormat="false" ht="15" hidden="false" customHeight="false" outlineLevel="0" collapsed="false">
      <c r="A1726" s="12"/>
      <c r="B1726" s="12"/>
      <c r="C1726" s="17" t="str">
        <f aca="false">IF(B1726="","",IFERROR(INDEX(Produits!$F$2:$F$1001,MATCH(B1726,Produits!$A$2:$A$1001,0)),"⚠ code article inconnu"))</f>
        <v/>
      </c>
      <c r="D1726" s="12"/>
      <c r="E1726" s="23"/>
      <c r="F1726" s="24"/>
      <c r="G1726" s="23"/>
      <c r="H1726" s="21" t="str">
        <f aca="true">IF(E1726="","",ROUND((E1726-TODAY())/30.4,1))</f>
        <v/>
      </c>
      <c r="I1726" s="17" t="str">
        <f aca="false">IF(E1726="","",IF(H1726&lt;0,IF(LEFT(A1726,1)="Q","Périmé (en quarantaine)","PÉRIMÉ → déplacer en zone Q"),IF(H1726&lt;3,"Péremption &lt; 3 mois",IF(H1726&lt;6,"Péremption &lt; 6 mois",""))))</f>
        <v/>
      </c>
      <c r="J1726" s="17" t="str">
        <f aca="false">IF(A1726="","",IF(COUNTIF(Emplacements!$A$2:$A$1001,A1726)=0,"⚠ emplacement inconnu","OK"))</f>
        <v/>
      </c>
      <c r="K1726" s="22" t="str">
        <f aca="false">IF(AND(B1726&lt;&gt;"",ISNUMBER(SEARCH(Recherche!$C$3,C1726&amp;" "&amp;B1726&amp;" "&amp;A1726&amp;" "&amp;D1726))),MAX($K$1:K1725)+1,"")</f>
        <v/>
      </c>
    </row>
    <row r="1727" customFormat="false" ht="15" hidden="false" customHeight="false" outlineLevel="0" collapsed="false">
      <c r="A1727" s="12"/>
      <c r="B1727" s="12"/>
      <c r="C1727" s="17" t="str">
        <f aca="false">IF(B1727="","",IFERROR(INDEX(Produits!$F$2:$F$1001,MATCH(B1727,Produits!$A$2:$A$1001,0)),"⚠ code article inconnu"))</f>
        <v/>
      </c>
      <c r="D1727" s="12"/>
      <c r="E1727" s="23"/>
      <c r="F1727" s="24"/>
      <c r="G1727" s="23"/>
      <c r="H1727" s="21" t="str">
        <f aca="true">IF(E1727="","",ROUND((E1727-TODAY())/30.4,1))</f>
        <v/>
      </c>
      <c r="I1727" s="17" t="str">
        <f aca="false">IF(E1727="","",IF(H1727&lt;0,IF(LEFT(A1727,1)="Q","Périmé (en quarantaine)","PÉRIMÉ → déplacer en zone Q"),IF(H1727&lt;3,"Péremption &lt; 3 mois",IF(H1727&lt;6,"Péremption &lt; 6 mois",""))))</f>
        <v/>
      </c>
      <c r="J1727" s="17" t="str">
        <f aca="false">IF(A1727="","",IF(COUNTIF(Emplacements!$A$2:$A$1001,A1727)=0,"⚠ emplacement inconnu","OK"))</f>
        <v/>
      </c>
      <c r="K1727" s="22" t="str">
        <f aca="false">IF(AND(B1727&lt;&gt;"",ISNUMBER(SEARCH(Recherche!$C$3,C1727&amp;" "&amp;B1727&amp;" "&amp;A1727&amp;" "&amp;D1727))),MAX($K$1:K1726)+1,"")</f>
        <v/>
      </c>
    </row>
    <row r="1728" customFormat="false" ht="15" hidden="false" customHeight="false" outlineLevel="0" collapsed="false">
      <c r="A1728" s="12"/>
      <c r="B1728" s="12"/>
      <c r="C1728" s="17" t="str">
        <f aca="false">IF(B1728="","",IFERROR(INDEX(Produits!$F$2:$F$1001,MATCH(B1728,Produits!$A$2:$A$1001,0)),"⚠ code article inconnu"))</f>
        <v/>
      </c>
      <c r="D1728" s="12"/>
      <c r="E1728" s="23"/>
      <c r="F1728" s="24"/>
      <c r="G1728" s="23"/>
      <c r="H1728" s="21" t="str">
        <f aca="true">IF(E1728="","",ROUND((E1728-TODAY())/30.4,1))</f>
        <v/>
      </c>
      <c r="I1728" s="17" t="str">
        <f aca="false">IF(E1728="","",IF(H1728&lt;0,IF(LEFT(A1728,1)="Q","Périmé (en quarantaine)","PÉRIMÉ → déplacer en zone Q"),IF(H1728&lt;3,"Péremption &lt; 3 mois",IF(H1728&lt;6,"Péremption &lt; 6 mois",""))))</f>
        <v/>
      </c>
      <c r="J1728" s="17" t="str">
        <f aca="false">IF(A1728="","",IF(COUNTIF(Emplacements!$A$2:$A$1001,A1728)=0,"⚠ emplacement inconnu","OK"))</f>
        <v/>
      </c>
      <c r="K1728" s="22" t="str">
        <f aca="false">IF(AND(B1728&lt;&gt;"",ISNUMBER(SEARCH(Recherche!$C$3,C1728&amp;" "&amp;B1728&amp;" "&amp;A1728&amp;" "&amp;D1728))),MAX($K$1:K1727)+1,"")</f>
        <v/>
      </c>
    </row>
    <row r="1729" customFormat="false" ht="15" hidden="false" customHeight="false" outlineLevel="0" collapsed="false">
      <c r="A1729" s="12"/>
      <c r="B1729" s="12"/>
      <c r="C1729" s="17" t="str">
        <f aca="false">IF(B1729="","",IFERROR(INDEX(Produits!$F$2:$F$1001,MATCH(B1729,Produits!$A$2:$A$1001,0)),"⚠ code article inconnu"))</f>
        <v/>
      </c>
      <c r="D1729" s="12"/>
      <c r="E1729" s="23"/>
      <c r="F1729" s="24"/>
      <c r="G1729" s="23"/>
      <c r="H1729" s="21" t="str">
        <f aca="true">IF(E1729="","",ROUND((E1729-TODAY())/30.4,1))</f>
        <v/>
      </c>
      <c r="I1729" s="17" t="str">
        <f aca="false">IF(E1729="","",IF(H1729&lt;0,IF(LEFT(A1729,1)="Q","Périmé (en quarantaine)","PÉRIMÉ → déplacer en zone Q"),IF(H1729&lt;3,"Péremption &lt; 3 mois",IF(H1729&lt;6,"Péremption &lt; 6 mois",""))))</f>
        <v/>
      </c>
      <c r="J1729" s="17" t="str">
        <f aca="false">IF(A1729="","",IF(COUNTIF(Emplacements!$A$2:$A$1001,A1729)=0,"⚠ emplacement inconnu","OK"))</f>
        <v/>
      </c>
      <c r="K1729" s="22" t="str">
        <f aca="false">IF(AND(B1729&lt;&gt;"",ISNUMBER(SEARCH(Recherche!$C$3,C1729&amp;" "&amp;B1729&amp;" "&amp;A1729&amp;" "&amp;D1729))),MAX($K$1:K1728)+1,"")</f>
        <v/>
      </c>
    </row>
    <row r="1730" customFormat="false" ht="15" hidden="false" customHeight="false" outlineLevel="0" collapsed="false">
      <c r="A1730" s="12"/>
      <c r="B1730" s="12"/>
      <c r="C1730" s="17" t="str">
        <f aca="false">IF(B1730="","",IFERROR(INDEX(Produits!$F$2:$F$1001,MATCH(B1730,Produits!$A$2:$A$1001,0)),"⚠ code article inconnu"))</f>
        <v/>
      </c>
      <c r="D1730" s="12"/>
      <c r="E1730" s="23"/>
      <c r="F1730" s="24"/>
      <c r="G1730" s="23"/>
      <c r="H1730" s="21" t="str">
        <f aca="true">IF(E1730="","",ROUND((E1730-TODAY())/30.4,1))</f>
        <v/>
      </c>
      <c r="I1730" s="17" t="str">
        <f aca="false">IF(E1730="","",IF(H1730&lt;0,IF(LEFT(A1730,1)="Q","Périmé (en quarantaine)","PÉRIMÉ → déplacer en zone Q"),IF(H1730&lt;3,"Péremption &lt; 3 mois",IF(H1730&lt;6,"Péremption &lt; 6 mois",""))))</f>
        <v/>
      </c>
      <c r="J1730" s="17" t="str">
        <f aca="false">IF(A1730="","",IF(COUNTIF(Emplacements!$A$2:$A$1001,A1730)=0,"⚠ emplacement inconnu","OK"))</f>
        <v/>
      </c>
      <c r="K1730" s="22" t="str">
        <f aca="false">IF(AND(B1730&lt;&gt;"",ISNUMBER(SEARCH(Recherche!$C$3,C1730&amp;" "&amp;B1730&amp;" "&amp;A1730&amp;" "&amp;D1730))),MAX($K$1:K1729)+1,"")</f>
        <v/>
      </c>
    </row>
    <row r="1731" customFormat="false" ht="15" hidden="false" customHeight="false" outlineLevel="0" collapsed="false">
      <c r="A1731" s="12"/>
      <c r="B1731" s="12"/>
      <c r="C1731" s="17" t="str">
        <f aca="false">IF(B1731="","",IFERROR(INDEX(Produits!$F$2:$F$1001,MATCH(B1731,Produits!$A$2:$A$1001,0)),"⚠ code article inconnu"))</f>
        <v/>
      </c>
      <c r="D1731" s="12"/>
      <c r="E1731" s="23"/>
      <c r="F1731" s="24"/>
      <c r="G1731" s="23"/>
      <c r="H1731" s="21" t="str">
        <f aca="true">IF(E1731="","",ROUND((E1731-TODAY())/30.4,1))</f>
        <v/>
      </c>
      <c r="I1731" s="17" t="str">
        <f aca="false">IF(E1731="","",IF(H1731&lt;0,IF(LEFT(A1731,1)="Q","Périmé (en quarantaine)","PÉRIMÉ → déplacer en zone Q"),IF(H1731&lt;3,"Péremption &lt; 3 mois",IF(H1731&lt;6,"Péremption &lt; 6 mois",""))))</f>
        <v/>
      </c>
      <c r="J1731" s="17" t="str">
        <f aca="false">IF(A1731="","",IF(COUNTIF(Emplacements!$A$2:$A$1001,A1731)=0,"⚠ emplacement inconnu","OK"))</f>
        <v/>
      </c>
      <c r="K1731" s="22" t="str">
        <f aca="false">IF(AND(B1731&lt;&gt;"",ISNUMBER(SEARCH(Recherche!$C$3,C1731&amp;" "&amp;B1731&amp;" "&amp;A1731&amp;" "&amp;D1731))),MAX($K$1:K1730)+1,"")</f>
        <v/>
      </c>
    </row>
    <row r="1732" customFormat="false" ht="15" hidden="false" customHeight="false" outlineLevel="0" collapsed="false">
      <c r="A1732" s="12"/>
      <c r="B1732" s="12"/>
      <c r="C1732" s="17" t="str">
        <f aca="false">IF(B1732="","",IFERROR(INDEX(Produits!$F$2:$F$1001,MATCH(B1732,Produits!$A$2:$A$1001,0)),"⚠ code article inconnu"))</f>
        <v/>
      </c>
      <c r="D1732" s="12"/>
      <c r="E1732" s="23"/>
      <c r="F1732" s="24"/>
      <c r="G1732" s="23"/>
      <c r="H1732" s="21" t="str">
        <f aca="true">IF(E1732="","",ROUND((E1732-TODAY())/30.4,1))</f>
        <v/>
      </c>
      <c r="I1732" s="17" t="str">
        <f aca="false">IF(E1732="","",IF(H1732&lt;0,IF(LEFT(A1732,1)="Q","Périmé (en quarantaine)","PÉRIMÉ → déplacer en zone Q"),IF(H1732&lt;3,"Péremption &lt; 3 mois",IF(H1732&lt;6,"Péremption &lt; 6 mois",""))))</f>
        <v/>
      </c>
      <c r="J1732" s="17" t="str">
        <f aca="false">IF(A1732="","",IF(COUNTIF(Emplacements!$A$2:$A$1001,A1732)=0,"⚠ emplacement inconnu","OK"))</f>
        <v/>
      </c>
      <c r="K1732" s="22" t="str">
        <f aca="false">IF(AND(B1732&lt;&gt;"",ISNUMBER(SEARCH(Recherche!$C$3,C1732&amp;" "&amp;B1732&amp;" "&amp;A1732&amp;" "&amp;D1732))),MAX($K$1:K1731)+1,"")</f>
        <v/>
      </c>
    </row>
    <row r="1733" customFormat="false" ht="15" hidden="false" customHeight="false" outlineLevel="0" collapsed="false">
      <c r="A1733" s="12"/>
      <c r="B1733" s="12"/>
      <c r="C1733" s="17" t="str">
        <f aca="false">IF(B1733="","",IFERROR(INDEX(Produits!$F$2:$F$1001,MATCH(B1733,Produits!$A$2:$A$1001,0)),"⚠ code article inconnu"))</f>
        <v/>
      </c>
      <c r="D1733" s="12"/>
      <c r="E1733" s="23"/>
      <c r="F1733" s="24"/>
      <c r="G1733" s="23"/>
      <c r="H1733" s="21" t="str">
        <f aca="true">IF(E1733="","",ROUND((E1733-TODAY())/30.4,1))</f>
        <v/>
      </c>
      <c r="I1733" s="17" t="str">
        <f aca="false">IF(E1733="","",IF(H1733&lt;0,IF(LEFT(A1733,1)="Q","Périmé (en quarantaine)","PÉRIMÉ → déplacer en zone Q"),IF(H1733&lt;3,"Péremption &lt; 3 mois",IF(H1733&lt;6,"Péremption &lt; 6 mois",""))))</f>
        <v/>
      </c>
      <c r="J1733" s="17" t="str">
        <f aca="false">IF(A1733="","",IF(COUNTIF(Emplacements!$A$2:$A$1001,A1733)=0,"⚠ emplacement inconnu","OK"))</f>
        <v/>
      </c>
      <c r="K1733" s="22" t="str">
        <f aca="false">IF(AND(B1733&lt;&gt;"",ISNUMBER(SEARCH(Recherche!$C$3,C1733&amp;" "&amp;B1733&amp;" "&amp;A1733&amp;" "&amp;D1733))),MAX($K$1:K1732)+1,"")</f>
        <v/>
      </c>
    </row>
    <row r="1734" customFormat="false" ht="15" hidden="false" customHeight="false" outlineLevel="0" collapsed="false">
      <c r="A1734" s="12"/>
      <c r="B1734" s="12"/>
      <c r="C1734" s="17" t="str">
        <f aca="false">IF(B1734="","",IFERROR(INDEX(Produits!$F$2:$F$1001,MATCH(B1734,Produits!$A$2:$A$1001,0)),"⚠ code article inconnu"))</f>
        <v/>
      </c>
      <c r="D1734" s="12"/>
      <c r="E1734" s="23"/>
      <c r="F1734" s="24"/>
      <c r="G1734" s="23"/>
      <c r="H1734" s="21" t="str">
        <f aca="true">IF(E1734="","",ROUND((E1734-TODAY())/30.4,1))</f>
        <v/>
      </c>
      <c r="I1734" s="17" t="str">
        <f aca="false">IF(E1734="","",IF(H1734&lt;0,IF(LEFT(A1734,1)="Q","Périmé (en quarantaine)","PÉRIMÉ → déplacer en zone Q"),IF(H1734&lt;3,"Péremption &lt; 3 mois",IF(H1734&lt;6,"Péremption &lt; 6 mois",""))))</f>
        <v/>
      </c>
      <c r="J1734" s="17" t="str">
        <f aca="false">IF(A1734="","",IF(COUNTIF(Emplacements!$A$2:$A$1001,A1734)=0,"⚠ emplacement inconnu","OK"))</f>
        <v/>
      </c>
      <c r="K1734" s="22" t="str">
        <f aca="false">IF(AND(B1734&lt;&gt;"",ISNUMBER(SEARCH(Recherche!$C$3,C1734&amp;" "&amp;B1734&amp;" "&amp;A1734&amp;" "&amp;D1734))),MAX($K$1:K1733)+1,"")</f>
        <v/>
      </c>
    </row>
    <row r="1735" customFormat="false" ht="15" hidden="false" customHeight="false" outlineLevel="0" collapsed="false">
      <c r="A1735" s="12"/>
      <c r="B1735" s="12"/>
      <c r="C1735" s="17" t="str">
        <f aca="false">IF(B1735="","",IFERROR(INDEX(Produits!$F$2:$F$1001,MATCH(B1735,Produits!$A$2:$A$1001,0)),"⚠ code article inconnu"))</f>
        <v/>
      </c>
      <c r="D1735" s="12"/>
      <c r="E1735" s="23"/>
      <c r="F1735" s="24"/>
      <c r="G1735" s="23"/>
      <c r="H1735" s="21" t="str">
        <f aca="true">IF(E1735="","",ROUND((E1735-TODAY())/30.4,1))</f>
        <v/>
      </c>
      <c r="I1735" s="17" t="str">
        <f aca="false">IF(E1735="","",IF(H1735&lt;0,IF(LEFT(A1735,1)="Q","Périmé (en quarantaine)","PÉRIMÉ → déplacer en zone Q"),IF(H1735&lt;3,"Péremption &lt; 3 mois",IF(H1735&lt;6,"Péremption &lt; 6 mois",""))))</f>
        <v/>
      </c>
      <c r="J1735" s="17" t="str">
        <f aca="false">IF(A1735="","",IF(COUNTIF(Emplacements!$A$2:$A$1001,A1735)=0,"⚠ emplacement inconnu","OK"))</f>
        <v/>
      </c>
      <c r="K1735" s="22" t="str">
        <f aca="false">IF(AND(B1735&lt;&gt;"",ISNUMBER(SEARCH(Recherche!$C$3,C1735&amp;" "&amp;B1735&amp;" "&amp;A1735&amp;" "&amp;D1735))),MAX($K$1:K1734)+1,"")</f>
        <v/>
      </c>
    </row>
    <row r="1736" customFormat="false" ht="15" hidden="false" customHeight="false" outlineLevel="0" collapsed="false">
      <c r="A1736" s="12"/>
      <c r="B1736" s="12"/>
      <c r="C1736" s="17" t="str">
        <f aca="false">IF(B1736="","",IFERROR(INDEX(Produits!$F$2:$F$1001,MATCH(B1736,Produits!$A$2:$A$1001,0)),"⚠ code article inconnu"))</f>
        <v/>
      </c>
      <c r="D1736" s="12"/>
      <c r="E1736" s="23"/>
      <c r="F1736" s="24"/>
      <c r="G1736" s="23"/>
      <c r="H1736" s="21" t="str">
        <f aca="true">IF(E1736="","",ROUND((E1736-TODAY())/30.4,1))</f>
        <v/>
      </c>
      <c r="I1736" s="17" t="str">
        <f aca="false">IF(E1736="","",IF(H1736&lt;0,IF(LEFT(A1736,1)="Q","Périmé (en quarantaine)","PÉRIMÉ → déplacer en zone Q"),IF(H1736&lt;3,"Péremption &lt; 3 mois",IF(H1736&lt;6,"Péremption &lt; 6 mois",""))))</f>
        <v/>
      </c>
      <c r="J1736" s="17" t="str">
        <f aca="false">IF(A1736="","",IF(COUNTIF(Emplacements!$A$2:$A$1001,A1736)=0,"⚠ emplacement inconnu","OK"))</f>
        <v/>
      </c>
      <c r="K1736" s="22" t="str">
        <f aca="false">IF(AND(B1736&lt;&gt;"",ISNUMBER(SEARCH(Recherche!$C$3,C1736&amp;" "&amp;B1736&amp;" "&amp;A1736&amp;" "&amp;D1736))),MAX($K$1:K1735)+1,"")</f>
        <v/>
      </c>
    </row>
    <row r="1737" customFormat="false" ht="15" hidden="false" customHeight="false" outlineLevel="0" collapsed="false">
      <c r="A1737" s="12"/>
      <c r="B1737" s="12"/>
      <c r="C1737" s="17" t="str">
        <f aca="false">IF(B1737="","",IFERROR(INDEX(Produits!$F$2:$F$1001,MATCH(B1737,Produits!$A$2:$A$1001,0)),"⚠ code article inconnu"))</f>
        <v/>
      </c>
      <c r="D1737" s="12"/>
      <c r="E1737" s="23"/>
      <c r="F1737" s="24"/>
      <c r="G1737" s="23"/>
      <c r="H1737" s="21" t="str">
        <f aca="true">IF(E1737="","",ROUND((E1737-TODAY())/30.4,1))</f>
        <v/>
      </c>
      <c r="I1737" s="17" t="str">
        <f aca="false">IF(E1737="","",IF(H1737&lt;0,IF(LEFT(A1737,1)="Q","Périmé (en quarantaine)","PÉRIMÉ → déplacer en zone Q"),IF(H1737&lt;3,"Péremption &lt; 3 mois",IF(H1737&lt;6,"Péremption &lt; 6 mois",""))))</f>
        <v/>
      </c>
      <c r="J1737" s="17" t="str">
        <f aca="false">IF(A1737="","",IF(COUNTIF(Emplacements!$A$2:$A$1001,A1737)=0,"⚠ emplacement inconnu","OK"))</f>
        <v/>
      </c>
      <c r="K1737" s="22" t="str">
        <f aca="false">IF(AND(B1737&lt;&gt;"",ISNUMBER(SEARCH(Recherche!$C$3,C1737&amp;" "&amp;B1737&amp;" "&amp;A1737&amp;" "&amp;D1737))),MAX($K$1:K1736)+1,"")</f>
        <v/>
      </c>
    </row>
    <row r="1738" customFormat="false" ht="15" hidden="false" customHeight="false" outlineLevel="0" collapsed="false">
      <c r="A1738" s="12"/>
      <c r="B1738" s="12"/>
      <c r="C1738" s="17" t="str">
        <f aca="false">IF(B1738="","",IFERROR(INDEX(Produits!$F$2:$F$1001,MATCH(B1738,Produits!$A$2:$A$1001,0)),"⚠ code article inconnu"))</f>
        <v/>
      </c>
      <c r="D1738" s="12"/>
      <c r="E1738" s="23"/>
      <c r="F1738" s="24"/>
      <c r="G1738" s="23"/>
      <c r="H1738" s="21" t="str">
        <f aca="true">IF(E1738="","",ROUND((E1738-TODAY())/30.4,1))</f>
        <v/>
      </c>
      <c r="I1738" s="17" t="str">
        <f aca="false">IF(E1738="","",IF(H1738&lt;0,IF(LEFT(A1738,1)="Q","Périmé (en quarantaine)","PÉRIMÉ → déplacer en zone Q"),IF(H1738&lt;3,"Péremption &lt; 3 mois",IF(H1738&lt;6,"Péremption &lt; 6 mois",""))))</f>
        <v/>
      </c>
      <c r="J1738" s="17" t="str">
        <f aca="false">IF(A1738="","",IF(COUNTIF(Emplacements!$A$2:$A$1001,A1738)=0,"⚠ emplacement inconnu","OK"))</f>
        <v/>
      </c>
      <c r="K1738" s="22" t="str">
        <f aca="false">IF(AND(B1738&lt;&gt;"",ISNUMBER(SEARCH(Recherche!$C$3,C1738&amp;" "&amp;B1738&amp;" "&amp;A1738&amp;" "&amp;D1738))),MAX($K$1:K1737)+1,"")</f>
        <v/>
      </c>
    </row>
    <row r="1739" customFormat="false" ht="15" hidden="false" customHeight="false" outlineLevel="0" collapsed="false">
      <c r="A1739" s="12"/>
      <c r="B1739" s="12"/>
      <c r="C1739" s="17" t="str">
        <f aca="false">IF(B1739="","",IFERROR(INDEX(Produits!$F$2:$F$1001,MATCH(B1739,Produits!$A$2:$A$1001,0)),"⚠ code article inconnu"))</f>
        <v/>
      </c>
      <c r="D1739" s="12"/>
      <c r="E1739" s="23"/>
      <c r="F1739" s="24"/>
      <c r="G1739" s="23"/>
      <c r="H1739" s="21" t="str">
        <f aca="true">IF(E1739="","",ROUND((E1739-TODAY())/30.4,1))</f>
        <v/>
      </c>
      <c r="I1739" s="17" t="str">
        <f aca="false">IF(E1739="","",IF(H1739&lt;0,IF(LEFT(A1739,1)="Q","Périmé (en quarantaine)","PÉRIMÉ → déplacer en zone Q"),IF(H1739&lt;3,"Péremption &lt; 3 mois",IF(H1739&lt;6,"Péremption &lt; 6 mois",""))))</f>
        <v/>
      </c>
      <c r="J1739" s="17" t="str">
        <f aca="false">IF(A1739="","",IF(COUNTIF(Emplacements!$A$2:$A$1001,A1739)=0,"⚠ emplacement inconnu","OK"))</f>
        <v/>
      </c>
      <c r="K1739" s="22" t="str">
        <f aca="false">IF(AND(B1739&lt;&gt;"",ISNUMBER(SEARCH(Recherche!$C$3,C1739&amp;" "&amp;B1739&amp;" "&amp;A1739&amp;" "&amp;D1739))),MAX($K$1:K1738)+1,"")</f>
        <v/>
      </c>
    </row>
    <row r="1740" customFormat="false" ht="15" hidden="false" customHeight="false" outlineLevel="0" collapsed="false">
      <c r="A1740" s="12"/>
      <c r="B1740" s="12"/>
      <c r="C1740" s="17" t="str">
        <f aca="false">IF(B1740="","",IFERROR(INDEX(Produits!$F$2:$F$1001,MATCH(B1740,Produits!$A$2:$A$1001,0)),"⚠ code article inconnu"))</f>
        <v/>
      </c>
      <c r="D1740" s="12"/>
      <c r="E1740" s="23"/>
      <c r="F1740" s="24"/>
      <c r="G1740" s="23"/>
      <c r="H1740" s="21" t="str">
        <f aca="true">IF(E1740="","",ROUND((E1740-TODAY())/30.4,1))</f>
        <v/>
      </c>
      <c r="I1740" s="17" t="str">
        <f aca="false">IF(E1740="","",IF(H1740&lt;0,IF(LEFT(A1740,1)="Q","Périmé (en quarantaine)","PÉRIMÉ → déplacer en zone Q"),IF(H1740&lt;3,"Péremption &lt; 3 mois",IF(H1740&lt;6,"Péremption &lt; 6 mois",""))))</f>
        <v/>
      </c>
      <c r="J1740" s="17" t="str">
        <f aca="false">IF(A1740="","",IF(COUNTIF(Emplacements!$A$2:$A$1001,A1740)=0,"⚠ emplacement inconnu","OK"))</f>
        <v/>
      </c>
      <c r="K1740" s="22" t="str">
        <f aca="false">IF(AND(B1740&lt;&gt;"",ISNUMBER(SEARCH(Recherche!$C$3,C1740&amp;" "&amp;B1740&amp;" "&amp;A1740&amp;" "&amp;D1740))),MAX($K$1:K1739)+1,"")</f>
        <v/>
      </c>
    </row>
    <row r="1741" customFormat="false" ht="15" hidden="false" customHeight="false" outlineLevel="0" collapsed="false">
      <c r="A1741" s="12"/>
      <c r="B1741" s="12"/>
      <c r="C1741" s="17" t="str">
        <f aca="false">IF(B1741="","",IFERROR(INDEX(Produits!$F$2:$F$1001,MATCH(B1741,Produits!$A$2:$A$1001,0)),"⚠ code article inconnu"))</f>
        <v/>
      </c>
      <c r="D1741" s="12"/>
      <c r="E1741" s="23"/>
      <c r="F1741" s="24"/>
      <c r="G1741" s="23"/>
      <c r="H1741" s="21" t="str">
        <f aca="true">IF(E1741="","",ROUND((E1741-TODAY())/30.4,1))</f>
        <v/>
      </c>
      <c r="I1741" s="17" t="str">
        <f aca="false">IF(E1741="","",IF(H1741&lt;0,IF(LEFT(A1741,1)="Q","Périmé (en quarantaine)","PÉRIMÉ → déplacer en zone Q"),IF(H1741&lt;3,"Péremption &lt; 3 mois",IF(H1741&lt;6,"Péremption &lt; 6 mois",""))))</f>
        <v/>
      </c>
      <c r="J1741" s="17" t="str">
        <f aca="false">IF(A1741="","",IF(COUNTIF(Emplacements!$A$2:$A$1001,A1741)=0,"⚠ emplacement inconnu","OK"))</f>
        <v/>
      </c>
      <c r="K1741" s="22" t="str">
        <f aca="false">IF(AND(B1741&lt;&gt;"",ISNUMBER(SEARCH(Recherche!$C$3,C1741&amp;" "&amp;B1741&amp;" "&amp;A1741&amp;" "&amp;D1741))),MAX($K$1:K1740)+1,"")</f>
        <v/>
      </c>
    </row>
    <row r="1742" customFormat="false" ht="15" hidden="false" customHeight="false" outlineLevel="0" collapsed="false">
      <c r="A1742" s="12"/>
      <c r="B1742" s="12"/>
      <c r="C1742" s="17" t="str">
        <f aca="false">IF(B1742="","",IFERROR(INDEX(Produits!$F$2:$F$1001,MATCH(B1742,Produits!$A$2:$A$1001,0)),"⚠ code article inconnu"))</f>
        <v/>
      </c>
      <c r="D1742" s="12"/>
      <c r="E1742" s="23"/>
      <c r="F1742" s="24"/>
      <c r="G1742" s="23"/>
      <c r="H1742" s="21" t="str">
        <f aca="true">IF(E1742="","",ROUND((E1742-TODAY())/30.4,1))</f>
        <v/>
      </c>
      <c r="I1742" s="17" t="str">
        <f aca="false">IF(E1742="","",IF(H1742&lt;0,IF(LEFT(A1742,1)="Q","Périmé (en quarantaine)","PÉRIMÉ → déplacer en zone Q"),IF(H1742&lt;3,"Péremption &lt; 3 mois",IF(H1742&lt;6,"Péremption &lt; 6 mois",""))))</f>
        <v/>
      </c>
      <c r="J1742" s="17" t="str">
        <f aca="false">IF(A1742="","",IF(COUNTIF(Emplacements!$A$2:$A$1001,A1742)=0,"⚠ emplacement inconnu","OK"))</f>
        <v/>
      </c>
      <c r="K1742" s="22" t="str">
        <f aca="false">IF(AND(B1742&lt;&gt;"",ISNUMBER(SEARCH(Recherche!$C$3,C1742&amp;" "&amp;B1742&amp;" "&amp;A1742&amp;" "&amp;D1742))),MAX($K$1:K1741)+1,"")</f>
        <v/>
      </c>
    </row>
    <row r="1743" customFormat="false" ht="15" hidden="false" customHeight="false" outlineLevel="0" collapsed="false">
      <c r="A1743" s="12"/>
      <c r="B1743" s="12"/>
      <c r="C1743" s="17" t="str">
        <f aca="false">IF(B1743="","",IFERROR(INDEX(Produits!$F$2:$F$1001,MATCH(B1743,Produits!$A$2:$A$1001,0)),"⚠ code article inconnu"))</f>
        <v/>
      </c>
      <c r="D1743" s="12"/>
      <c r="E1743" s="23"/>
      <c r="F1743" s="24"/>
      <c r="G1743" s="23"/>
      <c r="H1743" s="21" t="str">
        <f aca="true">IF(E1743="","",ROUND((E1743-TODAY())/30.4,1))</f>
        <v/>
      </c>
      <c r="I1743" s="17" t="str">
        <f aca="false">IF(E1743="","",IF(H1743&lt;0,IF(LEFT(A1743,1)="Q","Périmé (en quarantaine)","PÉRIMÉ → déplacer en zone Q"),IF(H1743&lt;3,"Péremption &lt; 3 mois",IF(H1743&lt;6,"Péremption &lt; 6 mois",""))))</f>
        <v/>
      </c>
      <c r="J1743" s="17" t="str">
        <f aca="false">IF(A1743="","",IF(COUNTIF(Emplacements!$A$2:$A$1001,A1743)=0,"⚠ emplacement inconnu","OK"))</f>
        <v/>
      </c>
      <c r="K1743" s="22" t="str">
        <f aca="false">IF(AND(B1743&lt;&gt;"",ISNUMBER(SEARCH(Recherche!$C$3,C1743&amp;" "&amp;B1743&amp;" "&amp;A1743&amp;" "&amp;D1743))),MAX($K$1:K1742)+1,"")</f>
        <v/>
      </c>
    </row>
    <row r="1744" customFormat="false" ht="15" hidden="false" customHeight="false" outlineLevel="0" collapsed="false">
      <c r="A1744" s="12"/>
      <c r="B1744" s="12"/>
      <c r="C1744" s="17" t="str">
        <f aca="false">IF(B1744="","",IFERROR(INDEX(Produits!$F$2:$F$1001,MATCH(B1744,Produits!$A$2:$A$1001,0)),"⚠ code article inconnu"))</f>
        <v/>
      </c>
      <c r="D1744" s="12"/>
      <c r="E1744" s="23"/>
      <c r="F1744" s="24"/>
      <c r="G1744" s="23"/>
      <c r="H1744" s="21" t="str">
        <f aca="true">IF(E1744="","",ROUND((E1744-TODAY())/30.4,1))</f>
        <v/>
      </c>
      <c r="I1744" s="17" t="str">
        <f aca="false">IF(E1744="","",IF(H1744&lt;0,IF(LEFT(A1744,1)="Q","Périmé (en quarantaine)","PÉRIMÉ → déplacer en zone Q"),IF(H1744&lt;3,"Péremption &lt; 3 mois",IF(H1744&lt;6,"Péremption &lt; 6 mois",""))))</f>
        <v/>
      </c>
      <c r="J1744" s="17" t="str">
        <f aca="false">IF(A1744="","",IF(COUNTIF(Emplacements!$A$2:$A$1001,A1744)=0,"⚠ emplacement inconnu","OK"))</f>
        <v/>
      </c>
      <c r="K1744" s="22" t="str">
        <f aca="false">IF(AND(B1744&lt;&gt;"",ISNUMBER(SEARCH(Recherche!$C$3,C1744&amp;" "&amp;B1744&amp;" "&amp;A1744&amp;" "&amp;D1744))),MAX($K$1:K1743)+1,"")</f>
        <v/>
      </c>
    </row>
    <row r="1745" customFormat="false" ht="15" hidden="false" customHeight="false" outlineLevel="0" collapsed="false">
      <c r="A1745" s="12"/>
      <c r="B1745" s="12"/>
      <c r="C1745" s="17" t="str">
        <f aca="false">IF(B1745="","",IFERROR(INDEX(Produits!$F$2:$F$1001,MATCH(B1745,Produits!$A$2:$A$1001,0)),"⚠ code article inconnu"))</f>
        <v/>
      </c>
      <c r="D1745" s="12"/>
      <c r="E1745" s="23"/>
      <c r="F1745" s="24"/>
      <c r="G1745" s="23"/>
      <c r="H1745" s="21" t="str">
        <f aca="true">IF(E1745="","",ROUND((E1745-TODAY())/30.4,1))</f>
        <v/>
      </c>
      <c r="I1745" s="17" t="str">
        <f aca="false">IF(E1745="","",IF(H1745&lt;0,IF(LEFT(A1745,1)="Q","Périmé (en quarantaine)","PÉRIMÉ → déplacer en zone Q"),IF(H1745&lt;3,"Péremption &lt; 3 mois",IF(H1745&lt;6,"Péremption &lt; 6 mois",""))))</f>
        <v/>
      </c>
      <c r="J1745" s="17" t="str">
        <f aca="false">IF(A1745="","",IF(COUNTIF(Emplacements!$A$2:$A$1001,A1745)=0,"⚠ emplacement inconnu","OK"))</f>
        <v/>
      </c>
      <c r="K1745" s="22" t="str">
        <f aca="false">IF(AND(B1745&lt;&gt;"",ISNUMBER(SEARCH(Recherche!$C$3,C1745&amp;" "&amp;B1745&amp;" "&amp;A1745&amp;" "&amp;D1745))),MAX($K$1:K1744)+1,"")</f>
        <v/>
      </c>
    </row>
    <row r="1746" customFormat="false" ht="15" hidden="false" customHeight="false" outlineLevel="0" collapsed="false">
      <c r="A1746" s="12"/>
      <c r="B1746" s="12"/>
      <c r="C1746" s="17" t="str">
        <f aca="false">IF(B1746="","",IFERROR(INDEX(Produits!$F$2:$F$1001,MATCH(B1746,Produits!$A$2:$A$1001,0)),"⚠ code article inconnu"))</f>
        <v/>
      </c>
      <c r="D1746" s="12"/>
      <c r="E1746" s="23"/>
      <c r="F1746" s="24"/>
      <c r="G1746" s="23"/>
      <c r="H1746" s="21" t="str">
        <f aca="true">IF(E1746="","",ROUND((E1746-TODAY())/30.4,1))</f>
        <v/>
      </c>
      <c r="I1746" s="17" t="str">
        <f aca="false">IF(E1746="","",IF(H1746&lt;0,IF(LEFT(A1746,1)="Q","Périmé (en quarantaine)","PÉRIMÉ → déplacer en zone Q"),IF(H1746&lt;3,"Péremption &lt; 3 mois",IF(H1746&lt;6,"Péremption &lt; 6 mois",""))))</f>
        <v/>
      </c>
      <c r="J1746" s="17" t="str">
        <f aca="false">IF(A1746="","",IF(COUNTIF(Emplacements!$A$2:$A$1001,A1746)=0,"⚠ emplacement inconnu","OK"))</f>
        <v/>
      </c>
      <c r="K1746" s="22" t="str">
        <f aca="false">IF(AND(B1746&lt;&gt;"",ISNUMBER(SEARCH(Recherche!$C$3,C1746&amp;" "&amp;B1746&amp;" "&amp;A1746&amp;" "&amp;D1746))),MAX($K$1:K1745)+1,"")</f>
        <v/>
      </c>
    </row>
    <row r="1747" customFormat="false" ht="15" hidden="false" customHeight="false" outlineLevel="0" collapsed="false">
      <c r="A1747" s="12"/>
      <c r="B1747" s="12"/>
      <c r="C1747" s="17" t="str">
        <f aca="false">IF(B1747="","",IFERROR(INDEX(Produits!$F$2:$F$1001,MATCH(B1747,Produits!$A$2:$A$1001,0)),"⚠ code article inconnu"))</f>
        <v/>
      </c>
      <c r="D1747" s="12"/>
      <c r="E1747" s="23"/>
      <c r="F1747" s="24"/>
      <c r="G1747" s="23"/>
      <c r="H1747" s="21" t="str">
        <f aca="true">IF(E1747="","",ROUND((E1747-TODAY())/30.4,1))</f>
        <v/>
      </c>
      <c r="I1747" s="17" t="str">
        <f aca="false">IF(E1747="","",IF(H1747&lt;0,IF(LEFT(A1747,1)="Q","Périmé (en quarantaine)","PÉRIMÉ → déplacer en zone Q"),IF(H1747&lt;3,"Péremption &lt; 3 mois",IF(H1747&lt;6,"Péremption &lt; 6 mois",""))))</f>
        <v/>
      </c>
      <c r="J1747" s="17" t="str">
        <f aca="false">IF(A1747="","",IF(COUNTIF(Emplacements!$A$2:$A$1001,A1747)=0,"⚠ emplacement inconnu","OK"))</f>
        <v/>
      </c>
      <c r="K1747" s="22" t="str">
        <f aca="false">IF(AND(B1747&lt;&gt;"",ISNUMBER(SEARCH(Recherche!$C$3,C1747&amp;" "&amp;B1747&amp;" "&amp;A1747&amp;" "&amp;D1747))),MAX($K$1:K1746)+1,"")</f>
        <v/>
      </c>
    </row>
    <row r="1748" customFormat="false" ht="15" hidden="false" customHeight="false" outlineLevel="0" collapsed="false">
      <c r="A1748" s="12"/>
      <c r="B1748" s="12"/>
      <c r="C1748" s="17" t="str">
        <f aca="false">IF(B1748="","",IFERROR(INDEX(Produits!$F$2:$F$1001,MATCH(B1748,Produits!$A$2:$A$1001,0)),"⚠ code article inconnu"))</f>
        <v/>
      </c>
      <c r="D1748" s="12"/>
      <c r="E1748" s="23"/>
      <c r="F1748" s="24"/>
      <c r="G1748" s="23"/>
      <c r="H1748" s="21" t="str">
        <f aca="true">IF(E1748="","",ROUND((E1748-TODAY())/30.4,1))</f>
        <v/>
      </c>
      <c r="I1748" s="17" t="str">
        <f aca="false">IF(E1748="","",IF(H1748&lt;0,IF(LEFT(A1748,1)="Q","Périmé (en quarantaine)","PÉRIMÉ → déplacer en zone Q"),IF(H1748&lt;3,"Péremption &lt; 3 mois",IF(H1748&lt;6,"Péremption &lt; 6 mois",""))))</f>
        <v/>
      </c>
      <c r="J1748" s="17" t="str">
        <f aca="false">IF(A1748="","",IF(COUNTIF(Emplacements!$A$2:$A$1001,A1748)=0,"⚠ emplacement inconnu","OK"))</f>
        <v/>
      </c>
      <c r="K1748" s="22" t="str">
        <f aca="false">IF(AND(B1748&lt;&gt;"",ISNUMBER(SEARCH(Recherche!$C$3,C1748&amp;" "&amp;B1748&amp;" "&amp;A1748&amp;" "&amp;D1748))),MAX($K$1:K1747)+1,"")</f>
        <v/>
      </c>
    </row>
    <row r="1749" customFormat="false" ht="15" hidden="false" customHeight="false" outlineLevel="0" collapsed="false">
      <c r="A1749" s="12"/>
      <c r="B1749" s="12"/>
      <c r="C1749" s="17" t="str">
        <f aca="false">IF(B1749="","",IFERROR(INDEX(Produits!$F$2:$F$1001,MATCH(B1749,Produits!$A$2:$A$1001,0)),"⚠ code article inconnu"))</f>
        <v/>
      </c>
      <c r="D1749" s="12"/>
      <c r="E1749" s="23"/>
      <c r="F1749" s="24"/>
      <c r="G1749" s="23"/>
      <c r="H1749" s="21" t="str">
        <f aca="true">IF(E1749="","",ROUND((E1749-TODAY())/30.4,1))</f>
        <v/>
      </c>
      <c r="I1749" s="17" t="str">
        <f aca="false">IF(E1749="","",IF(H1749&lt;0,IF(LEFT(A1749,1)="Q","Périmé (en quarantaine)","PÉRIMÉ → déplacer en zone Q"),IF(H1749&lt;3,"Péremption &lt; 3 mois",IF(H1749&lt;6,"Péremption &lt; 6 mois",""))))</f>
        <v/>
      </c>
      <c r="J1749" s="17" t="str">
        <f aca="false">IF(A1749="","",IF(COUNTIF(Emplacements!$A$2:$A$1001,A1749)=0,"⚠ emplacement inconnu","OK"))</f>
        <v/>
      </c>
      <c r="K1749" s="22" t="str">
        <f aca="false">IF(AND(B1749&lt;&gt;"",ISNUMBER(SEARCH(Recherche!$C$3,C1749&amp;" "&amp;B1749&amp;" "&amp;A1749&amp;" "&amp;D1749))),MAX($K$1:K1748)+1,"")</f>
        <v/>
      </c>
    </row>
    <row r="1750" customFormat="false" ht="15" hidden="false" customHeight="false" outlineLevel="0" collapsed="false">
      <c r="A1750" s="12"/>
      <c r="B1750" s="12"/>
      <c r="C1750" s="17" t="str">
        <f aca="false">IF(B1750="","",IFERROR(INDEX(Produits!$F$2:$F$1001,MATCH(B1750,Produits!$A$2:$A$1001,0)),"⚠ code article inconnu"))</f>
        <v/>
      </c>
      <c r="D1750" s="12"/>
      <c r="E1750" s="23"/>
      <c r="F1750" s="24"/>
      <c r="G1750" s="23"/>
      <c r="H1750" s="21" t="str">
        <f aca="true">IF(E1750="","",ROUND((E1750-TODAY())/30.4,1))</f>
        <v/>
      </c>
      <c r="I1750" s="17" t="str">
        <f aca="false">IF(E1750="","",IF(H1750&lt;0,IF(LEFT(A1750,1)="Q","Périmé (en quarantaine)","PÉRIMÉ → déplacer en zone Q"),IF(H1750&lt;3,"Péremption &lt; 3 mois",IF(H1750&lt;6,"Péremption &lt; 6 mois",""))))</f>
        <v/>
      </c>
      <c r="J1750" s="17" t="str">
        <f aca="false">IF(A1750="","",IF(COUNTIF(Emplacements!$A$2:$A$1001,A1750)=0,"⚠ emplacement inconnu","OK"))</f>
        <v/>
      </c>
      <c r="K1750" s="22" t="str">
        <f aca="false">IF(AND(B1750&lt;&gt;"",ISNUMBER(SEARCH(Recherche!$C$3,C1750&amp;" "&amp;B1750&amp;" "&amp;A1750&amp;" "&amp;D1750))),MAX($K$1:K1749)+1,"")</f>
        <v/>
      </c>
    </row>
    <row r="1751" customFormat="false" ht="15" hidden="false" customHeight="false" outlineLevel="0" collapsed="false">
      <c r="A1751" s="12"/>
      <c r="B1751" s="12"/>
      <c r="C1751" s="17" t="str">
        <f aca="false">IF(B1751="","",IFERROR(INDEX(Produits!$F$2:$F$1001,MATCH(B1751,Produits!$A$2:$A$1001,0)),"⚠ code article inconnu"))</f>
        <v/>
      </c>
      <c r="D1751" s="12"/>
      <c r="E1751" s="23"/>
      <c r="F1751" s="24"/>
      <c r="G1751" s="23"/>
      <c r="H1751" s="21" t="str">
        <f aca="true">IF(E1751="","",ROUND((E1751-TODAY())/30.4,1))</f>
        <v/>
      </c>
      <c r="I1751" s="17" t="str">
        <f aca="false">IF(E1751="","",IF(H1751&lt;0,IF(LEFT(A1751,1)="Q","Périmé (en quarantaine)","PÉRIMÉ → déplacer en zone Q"),IF(H1751&lt;3,"Péremption &lt; 3 mois",IF(H1751&lt;6,"Péremption &lt; 6 mois",""))))</f>
        <v/>
      </c>
      <c r="J1751" s="17" t="str">
        <f aca="false">IF(A1751="","",IF(COUNTIF(Emplacements!$A$2:$A$1001,A1751)=0,"⚠ emplacement inconnu","OK"))</f>
        <v/>
      </c>
      <c r="K1751" s="22" t="str">
        <f aca="false">IF(AND(B1751&lt;&gt;"",ISNUMBER(SEARCH(Recherche!$C$3,C1751&amp;" "&amp;B1751&amp;" "&amp;A1751&amp;" "&amp;D1751))),MAX($K$1:K1750)+1,"")</f>
        <v/>
      </c>
    </row>
    <row r="1752" customFormat="false" ht="15" hidden="false" customHeight="false" outlineLevel="0" collapsed="false">
      <c r="A1752" s="12"/>
      <c r="B1752" s="12"/>
      <c r="C1752" s="17" t="str">
        <f aca="false">IF(B1752="","",IFERROR(INDEX(Produits!$F$2:$F$1001,MATCH(B1752,Produits!$A$2:$A$1001,0)),"⚠ code article inconnu"))</f>
        <v/>
      </c>
      <c r="D1752" s="12"/>
      <c r="E1752" s="23"/>
      <c r="F1752" s="24"/>
      <c r="G1752" s="23"/>
      <c r="H1752" s="21" t="str">
        <f aca="true">IF(E1752="","",ROUND((E1752-TODAY())/30.4,1))</f>
        <v/>
      </c>
      <c r="I1752" s="17" t="str">
        <f aca="false">IF(E1752="","",IF(H1752&lt;0,IF(LEFT(A1752,1)="Q","Périmé (en quarantaine)","PÉRIMÉ → déplacer en zone Q"),IF(H1752&lt;3,"Péremption &lt; 3 mois",IF(H1752&lt;6,"Péremption &lt; 6 mois",""))))</f>
        <v/>
      </c>
      <c r="J1752" s="17" t="str">
        <f aca="false">IF(A1752="","",IF(COUNTIF(Emplacements!$A$2:$A$1001,A1752)=0,"⚠ emplacement inconnu","OK"))</f>
        <v/>
      </c>
      <c r="K1752" s="22" t="str">
        <f aca="false">IF(AND(B1752&lt;&gt;"",ISNUMBER(SEARCH(Recherche!$C$3,C1752&amp;" "&amp;B1752&amp;" "&amp;A1752&amp;" "&amp;D1752))),MAX($K$1:K1751)+1,"")</f>
        <v/>
      </c>
    </row>
    <row r="1753" customFormat="false" ht="15" hidden="false" customHeight="false" outlineLevel="0" collapsed="false">
      <c r="A1753" s="12"/>
      <c r="B1753" s="12"/>
      <c r="C1753" s="17" t="str">
        <f aca="false">IF(B1753="","",IFERROR(INDEX(Produits!$F$2:$F$1001,MATCH(B1753,Produits!$A$2:$A$1001,0)),"⚠ code article inconnu"))</f>
        <v/>
      </c>
      <c r="D1753" s="12"/>
      <c r="E1753" s="23"/>
      <c r="F1753" s="24"/>
      <c r="G1753" s="23"/>
      <c r="H1753" s="21" t="str">
        <f aca="true">IF(E1753="","",ROUND((E1753-TODAY())/30.4,1))</f>
        <v/>
      </c>
      <c r="I1753" s="17" t="str">
        <f aca="false">IF(E1753="","",IF(H1753&lt;0,IF(LEFT(A1753,1)="Q","Périmé (en quarantaine)","PÉRIMÉ → déplacer en zone Q"),IF(H1753&lt;3,"Péremption &lt; 3 mois",IF(H1753&lt;6,"Péremption &lt; 6 mois",""))))</f>
        <v/>
      </c>
      <c r="J1753" s="17" t="str">
        <f aca="false">IF(A1753="","",IF(COUNTIF(Emplacements!$A$2:$A$1001,A1753)=0,"⚠ emplacement inconnu","OK"))</f>
        <v/>
      </c>
      <c r="K1753" s="22" t="str">
        <f aca="false">IF(AND(B1753&lt;&gt;"",ISNUMBER(SEARCH(Recherche!$C$3,C1753&amp;" "&amp;B1753&amp;" "&amp;A1753&amp;" "&amp;D1753))),MAX($K$1:K1752)+1,"")</f>
        <v/>
      </c>
    </row>
    <row r="1754" customFormat="false" ht="15" hidden="false" customHeight="false" outlineLevel="0" collapsed="false">
      <c r="A1754" s="12"/>
      <c r="B1754" s="12"/>
      <c r="C1754" s="17" t="str">
        <f aca="false">IF(B1754="","",IFERROR(INDEX(Produits!$F$2:$F$1001,MATCH(B1754,Produits!$A$2:$A$1001,0)),"⚠ code article inconnu"))</f>
        <v/>
      </c>
      <c r="D1754" s="12"/>
      <c r="E1754" s="23"/>
      <c r="F1754" s="24"/>
      <c r="G1754" s="23"/>
      <c r="H1754" s="21" t="str">
        <f aca="true">IF(E1754="","",ROUND((E1754-TODAY())/30.4,1))</f>
        <v/>
      </c>
      <c r="I1754" s="17" t="str">
        <f aca="false">IF(E1754="","",IF(H1754&lt;0,IF(LEFT(A1754,1)="Q","Périmé (en quarantaine)","PÉRIMÉ → déplacer en zone Q"),IF(H1754&lt;3,"Péremption &lt; 3 mois",IF(H1754&lt;6,"Péremption &lt; 6 mois",""))))</f>
        <v/>
      </c>
      <c r="J1754" s="17" t="str">
        <f aca="false">IF(A1754="","",IF(COUNTIF(Emplacements!$A$2:$A$1001,A1754)=0,"⚠ emplacement inconnu","OK"))</f>
        <v/>
      </c>
      <c r="K1754" s="22" t="str">
        <f aca="false">IF(AND(B1754&lt;&gt;"",ISNUMBER(SEARCH(Recherche!$C$3,C1754&amp;" "&amp;B1754&amp;" "&amp;A1754&amp;" "&amp;D1754))),MAX($K$1:K1753)+1,"")</f>
        <v/>
      </c>
    </row>
    <row r="1755" customFormat="false" ht="15" hidden="false" customHeight="false" outlineLevel="0" collapsed="false">
      <c r="A1755" s="12"/>
      <c r="B1755" s="12"/>
      <c r="C1755" s="17" t="str">
        <f aca="false">IF(B1755="","",IFERROR(INDEX(Produits!$F$2:$F$1001,MATCH(B1755,Produits!$A$2:$A$1001,0)),"⚠ code article inconnu"))</f>
        <v/>
      </c>
      <c r="D1755" s="12"/>
      <c r="E1755" s="23"/>
      <c r="F1755" s="24"/>
      <c r="G1755" s="23"/>
      <c r="H1755" s="21" t="str">
        <f aca="true">IF(E1755="","",ROUND((E1755-TODAY())/30.4,1))</f>
        <v/>
      </c>
      <c r="I1755" s="17" t="str">
        <f aca="false">IF(E1755="","",IF(H1755&lt;0,IF(LEFT(A1755,1)="Q","Périmé (en quarantaine)","PÉRIMÉ → déplacer en zone Q"),IF(H1755&lt;3,"Péremption &lt; 3 mois",IF(H1755&lt;6,"Péremption &lt; 6 mois",""))))</f>
        <v/>
      </c>
      <c r="J1755" s="17" t="str">
        <f aca="false">IF(A1755="","",IF(COUNTIF(Emplacements!$A$2:$A$1001,A1755)=0,"⚠ emplacement inconnu","OK"))</f>
        <v/>
      </c>
      <c r="K1755" s="22" t="str">
        <f aca="false">IF(AND(B1755&lt;&gt;"",ISNUMBER(SEARCH(Recherche!$C$3,C1755&amp;" "&amp;B1755&amp;" "&amp;A1755&amp;" "&amp;D1755))),MAX($K$1:K1754)+1,"")</f>
        <v/>
      </c>
    </row>
    <row r="1756" customFormat="false" ht="15" hidden="false" customHeight="false" outlineLevel="0" collapsed="false">
      <c r="A1756" s="12"/>
      <c r="B1756" s="12"/>
      <c r="C1756" s="17" t="str">
        <f aca="false">IF(B1756="","",IFERROR(INDEX(Produits!$F$2:$F$1001,MATCH(B1756,Produits!$A$2:$A$1001,0)),"⚠ code article inconnu"))</f>
        <v/>
      </c>
      <c r="D1756" s="12"/>
      <c r="E1756" s="23"/>
      <c r="F1756" s="24"/>
      <c r="G1756" s="23"/>
      <c r="H1756" s="21" t="str">
        <f aca="true">IF(E1756="","",ROUND((E1756-TODAY())/30.4,1))</f>
        <v/>
      </c>
      <c r="I1756" s="17" t="str">
        <f aca="false">IF(E1756="","",IF(H1756&lt;0,IF(LEFT(A1756,1)="Q","Périmé (en quarantaine)","PÉRIMÉ → déplacer en zone Q"),IF(H1756&lt;3,"Péremption &lt; 3 mois",IF(H1756&lt;6,"Péremption &lt; 6 mois",""))))</f>
        <v/>
      </c>
      <c r="J1756" s="17" t="str">
        <f aca="false">IF(A1756="","",IF(COUNTIF(Emplacements!$A$2:$A$1001,A1756)=0,"⚠ emplacement inconnu","OK"))</f>
        <v/>
      </c>
      <c r="K1756" s="22" t="str">
        <f aca="false">IF(AND(B1756&lt;&gt;"",ISNUMBER(SEARCH(Recherche!$C$3,C1756&amp;" "&amp;B1756&amp;" "&amp;A1756&amp;" "&amp;D1756))),MAX($K$1:K1755)+1,"")</f>
        <v/>
      </c>
    </row>
    <row r="1757" customFormat="false" ht="15" hidden="false" customHeight="false" outlineLevel="0" collapsed="false">
      <c r="A1757" s="12"/>
      <c r="B1757" s="12"/>
      <c r="C1757" s="17" t="str">
        <f aca="false">IF(B1757="","",IFERROR(INDEX(Produits!$F$2:$F$1001,MATCH(B1757,Produits!$A$2:$A$1001,0)),"⚠ code article inconnu"))</f>
        <v/>
      </c>
      <c r="D1757" s="12"/>
      <c r="E1757" s="23"/>
      <c r="F1757" s="24"/>
      <c r="G1757" s="23"/>
      <c r="H1757" s="21" t="str">
        <f aca="true">IF(E1757="","",ROUND((E1757-TODAY())/30.4,1))</f>
        <v/>
      </c>
      <c r="I1757" s="17" t="str">
        <f aca="false">IF(E1757="","",IF(H1757&lt;0,IF(LEFT(A1757,1)="Q","Périmé (en quarantaine)","PÉRIMÉ → déplacer en zone Q"),IF(H1757&lt;3,"Péremption &lt; 3 mois",IF(H1757&lt;6,"Péremption &lt; 6 mois",""))))</f>
        <v/>
      </c>
      <c r="J1757" s="17" t="str">
        <f aca="false">IF(A1757="","",IF(COUNTIF(Emplacements!$A$2:$A$1001,A1757)=0,"⚠ emplacement inconnu","OK"))</f>
        <v/>
      </c>
      <c r="K1757" s="22" t="str">
        <f aca="false">IF(AND(B1757&lt;&gt;"",ISNUMBER(SEARCH(Recherche!$C$3,C1757&amp;" "&amp;B1757&amp;" "&amp;A1757&amp;" "&amp;D1757))),MAX($K$1:K1756)+1,"")</f>
        <v/>
      </c>
    </row>
    <row r="1758" customFormat="false" ht="15" hidden="false" customHeight="false" outlineLevel="0" collapsed="false">
      <c r="A1758" s="12"/>
      <c r="B1758" s="12"/>
      <c r="C1758" s="17" t="str">
        <f aca="false">IF(B1758="","",IFERROR(INDEX(Produits!$F$2:$F$1001,MATCH(B1758,Produits!$A$2:$A$1001,0)),"⚠ code article inconnu"))</f>
        <v/>
      </c>
      <c r="D1758" s="12"/>
      <c r="E1758" s="23"/>
      <c r="F1758" s="24"/>
      <c r="G1758" s="23"/>
      <c r="H1758" s="21" t="str">
        <f aca="true">IF(E1758="","",ROUND((E1758-TODAY())/30.4,1))</f>
        <v/>
      </c>
      <c r="I1758" s="17" t="str">
        <f aca="false">IF(E1758="","",IF(H1758&lt;0,IF(LEFT(A1758,1)="Q","Périmé (en quarantaine)","PÉRIMÉ → déplacer en zone Q"),IF(H1758&lt;3,"Péremption &lt; 3 mois",IF(H1758&lt;6,"Péremption &lt; 6 mois",""))))</f>
        <v/>
      </c>
      <c r="J1758" s="17" t="str">
        <f aca="false">IF(A1758="","",IF(COUNTIF(Emplacements!$A$2:$A$1001,A1758)=0,"⚠ emplacement inconnu","OK"))</f>
        <v/>
      </c>
      <c r="K1758" s="22" t="str">
        <f aca="false">IF(AND(B1758&lt;&gt;"",ISNUMBER(SEARCH(Recherche!$C$3,C1758&amp;" "&amp;B1758&amp;" "&amp;A1758&amp;" "&amp;D1758))),MAX($K$1:K1757)+1,"")</f>
        <v/>
      </c>
    </row>
    <row r="1759" customFormat="false" ht="15" hidden="false" customHeight="false" outlineLevel="0" collapsed="false">
      <c r="A1759" s="12"/>
      <c r="B1759" s="12"/>
      <c r="C1759" s="17" t="str">
        <f aca="false">IF(B1759="","",IFERROR(INDEX(Produits!$F$2:$F$1001,MATCH(B1759,Produits!$A$2:$A$1001,0)),"⚠ code article inconnu"))</f>
        <v/>
      </c>
      <c r="D1759" s="12"/>
      <c r="E1759" s="23"/>
      <c r="F1759" s="24"/>
      <c r="G1759" s="23"/>
      <c r="H1759" s="21" t="str">
        <f aca="true">IF(E1759="","",ROUND((E1759-TODAY())/30.4,1))</f>
        <v/>
      </c>
      <c r="I1759" s="17" t="str">
        <f aca="false">IF(E1759="","",IF(H1759&lt;0,IF(LEFT(A1759,1)="Q","Périmé (en quarantaine)","PÉRIMÉ → déplacer en zone Q"),IF(H1759&lt;3,"Péremption &lt; 3 mois",IF(H1759&lt;6,"Péremption &lt; 6 mois",""))))</f>
        <v/>
      </c>
      <c r="J1759" s="17" t="str">
        <f aca="false">IF(A1759="","",IF(COUNTIF(Emplacements!$A$2:$A$1001,A1759)=0,"⚠ emplacement inconnu","OK"))</f>
        <v/>
      </c>
      <c r="K1759" s="22" t="str">
        <f aca="false">IF(AND(B1759&lt;&gt;"",ISNUMBER(SEARCH(Recherche!$C$3,C1759&amp;" "&amp;B1759&amp;" "&amp;A1759&amp;" "&amp;D1759))),MAX($K$1:K1758)+1,"")</f>
        <v/>
      </c>
    </row>
    <row r="1760" customFormat="false" ht="15" hidden="false" customHeight="false" outlineLevel="0" collapsed="false">
      <c r="A1760" s="12"/>
      <c r="B1760" s="12"/>
      <c r="C1760" s="17" t="str">
        <f aca="false">IF(B1760="","",IFERROR(INDEX(Produits!$F$2:$F$1001,MATCH(B1760,Produits!$A$2:$A$1001,0)),"⚠ code article inconnu"))</f>
        <v/>
      </c>
      <c r="D1760" s="12"/>
      <c r="E1760" s="23"/>
      <c r="F1760" s="24"/>
      <c r="G1760" s="23"/>
      <c r="H1760" s="21" t="str">
        <f aca="true">IF(E1760="","",ROUND((E1760-TODAY())/30.4,1))</f>
        <v/>
      </c>
      <c r="I1760" s="17" t="str">
        <f aca="false">IF(E1760="","",IF(H1760&lt;0,IF(LEFT(A1760,1)="Q","Périmé (en quarantaine)","PÉRIMÉ → déplacer en zone Q"),IF(H1760&lt;3,"Péremption &lt; 3 mois",IF(H1760&lt;6,"Péremption &lt; 6 mois",""))))</f>
        <v/>
      </c>
      <c r="J1760" s="17" t="str">
        <f aca="false">IF(A1760="","",IF(COUNTIF(Emplacements!$A$2:$A$1001,A1760)=0,"⚠ emplacement inconnu","OK"))</f>
        <v/>
      </c>
      <c r="K1760" s="22" t="str">
        <f aca="false">IF(AND(B1760&lt;&gt;"",ISNUMBER(SEARCH(Recherche!$C$3,C1760&amp;" "&amp;B1760&amp;" "&amp;A1760&amp;" "&amp;D1760))),MAX($K$1:K1759)+1,"")</f>
        <v/>
      </c>
    </row>
    <row r="1761" customFormat="false" ht="15" hidden="false" customHeight="false" outlineLevel="0" collapsed="false">
      <c r="A1761" s="12"/>
      <c r="B1761" s="12"/>
      <c r="C1761" s="17" t="str">
        <f aca="false">IF(B1761="","",IFERROR(INDEX(Produits!$F$2:$F$1001,MATCH(B1761,Produits!$A$2:$A$1001,0)),"⚠ code article inconnu"))</f>
        <v/>
      </c>
      <c r="D1761" s="12"/>
      <c r="E1761" s="23"/>
      <c r="F1761" s="24"/>
      <c r="G1761" s="23"/>
      <c r="H1761" s="21" t="str">
        <f aca="true">IF(E1761="","",ROUND((E1761-TODAY())/30.4,1))</f>
        <v/>
      </c>
      <c r="I1761" s="17" t="str">
        <f aca="false">IF(E1761="","",IF(H1761&lt;0,IF(LEFT(A1761,1)="Q","Périmé (en quarantaine)","PÉRIMÉ → déplacer en zone Q"),IF(H1761&lt;3,"Péremption &lt; 3 mois",IF(H1761&lt;6,"Péremption &lt; 6 mois",""))))</f>
        <v/>
      </c>
      <c r="J1761" s="17" t="str">
        <f aca="false">IF(A1761="","",IF(COUNTIF(Emplacements!$A$2:$A$1001,A1761)=0,"⚠ emplacement inconnu","OK"))</f>
        <v/>
      </c>
      <c r="K1761" s="22" t="str">
        <f aca="false">IF(AND(B1761&lt;&gt;"",ISNUMBER(SEARCH(Recherche!$C$3,C1761&amp;" "&amp;B1761&amp;" "&amp;A1761&amp;" "&amp;D1761))),MAX($K$1:K1760)+1,"")</f>
        <v/>
      </c>
    </row>
    <row r="1762" customFormat="false" ht="15" hidden="false" customHeight="false" outlineLevel="0" collapsed="false">
      <c r="A1762" s="12"/>
      <c r="B1762" s="12"/>
      <c r="C1762" s="17" t="str">
        <f aca="false">IF(B1762="","",IFERROR(INDEX(Produits!$F$2:$F$1001,MATCH(B1762,Produits!$A$2:$A$1001,0)),"⚠ code article inconnu"))</f>
        <v/>
      </c>
      <c r="D1762" s="12"/>
      <c r="E1762" s="23"/>
      <c r="F1762" s="24"/>
      <c r="G1762" s="23"/>
      <c r="H1762" s="21" t="str">
        <f aca="true">IF(E1762="","",ROUND((E1762-TODAY())/30.4,1))</f>
        <v/>
      </c>
      <c r="I1762" s="17" t="str">
        <f aca="false">IF(E1762="","",IF(H1762&lt;0,IF(LEFT(A1762,1)="Q","Périmé (en quarantaine)","PÉRIMÉ → déplacer en zone Q"),IF(H1762&lt;3,"Péremption &lt; 3 mois",IF(H1762&lt;6,"Péremption &lt; 6 mois",""))))</f>
        <v/>
      </c>
      <c r="J1762" s="17" t="str">
        <f aca="false">IF(A1762="","",IF(COUNTIF(Emplacements!$A$2:$A$1001,A1762)=0,"⚠ emplacement inconnu","OK"))</f>
        <v/>
      </c>
      <c r="K1762" s="22" t="str">
        <f aca="false">IF(AND(B1762&lt;&gt;"",ISNUMBER(SEARCH(Recherche!$C$3,C1762&amp;" "&amp;B1762&amp;" "&amp;A1762&amp;" "&amp;D1762))),MAX($K$1:K1761)+1,"")</f>
        <v/>
      </c>
    </row>
    <row r="1763" customFormat="false" ht="15" hidden="false" customHeight="false" outlineLevel="0" collapsed="false">
      <c r="A1763" s="12"/>
      <c r="B1763" s="12"/>
      <c r="C1763" s="17" t="str">
        <f aca="false">IF(B1763="","",IFERROR(INDEX(Produits!$F$2:$F$1001,MATCH(B1763,Produits!$A$2:$A$1001,0)),"⚠ code article inconnu"))</f>
        <v/>
      </c>
      <c r="D1763" s="12"/>
      <c r="E1763" s="23"/>
      <c r="F1763" s="24"/>
      <c r="G1763" s="23"/>
      <c r="H1763" s="21" t="str">
        <f aca="true">IF(E1763="","",ROUND((E1763-TODAY())/30.4,1))</f>
        <v/>
      </c>
      <c r="I1763" s="17" t="str">
        <f aca="false">IF(E1763="","",IF(H1763&lt;0,IF(LEFT(A1763,1)="Q","Périmé (en quarantaine)","PÉRIMÉ → déplacer en zone Q"),IF(H1763&lt;3,"Péremption &lt; 3 mois",IF(H1763&lt;6,"Péremption &lt; 6 mois",""))))</f>
        <v/>
      </c>
      <c r="J1763" s="17" t="str">
        <f aca="false">IF(A1763="","",IF(COUNTIF(Emplacements!$A$2:$A$1001,A1763)=0,"⚠ emplacement inconnu","OK"))</f>
        <v/>
      </c>
      <c r="K1763" s="22" t="str">
        <f aca="false">IF(AND(B1763&lt;&gt;"",ISNUMBER(SEARCH(Recherche!$C$3,C1763&amp;" "&amp;B1763&amp;" "&amp;A1763&amp;" "&amp;D1763))),MAX($K$1:K1762)+1,"")</f>
        <v/>
      </c>
    </row>
    <row r="1764" customFormat="false" ht="15" hidden="false" customHeight="false" outlineLevel="0" collapsed="false">
      <c r="A1764" s="12"/>
      <c r="B1764" s="12"/>
      <c r="C1764" s="17" t="str">
        <f aca="false">IF(B1764="","",IFERROR(INDEX(Produits!$F$2:$F$1001,MATCH(B1764,Produits!$A$2:$A$1001,0)),"⚠ code article inconnu"))</f>
        <v/>
      </c>
      <c r="D1764" s="12"/>
      <c r="E1764" s="23"/>
      <c r="F1764" s="24"/>
      <c r="G1764" s="23"/>
      <c r="H1764" s="21" t="str">
        <f aca="true">IF(E1764="","",ROUND((E1764-TODAY())/30.4,1))</f>
        <v/>
      </c>
      <c r="I1764" s="17" t="str">
        <f aca="false">IF(E1764="","",IF(H1764&lt;0,IF(LEFT(A1764,1)="Q","Périmé (en quarantaine)","PÉRIMÉ → déplacer en zone Q"),IF(H1764&lt;3,"Péremption &lt; 3 mois",IF(H1764&lt;6,"Péremption &lt; 6 mois",""))))</f>
        <v/>
      </c>
      <c r="J1764" s="17" t="str">
        <f aca="false">IF(A1764="","",IF(COUNTIF(Emplacements!$A$2:$A$1001,A1764)=0,"⚠ emplacement inconnu","OK"))</f>
        <v/>
      </c>
      <c r="K1764" s="22" t="str">
        <f aca="false">IF(AND(B1764&lt;&gt;"",ISNUMBER(SEARCH(Recherche!$C$3,C1764&amp;" "&amp;B1764&amp;" "&amp;A1764&amp;" "&amp;D1764))),MAX($K$1:K1763)+1,"")</f>
        <v/>
      </c>
    </row>
    <row r="1765" customFormat="false" ht="15" hidden="false" customHeight="false" outlineLevel="0" collapsed="false">
      <c r="A1765" s="12"/>
      <c r="B1765" s="12"/>
      <c r="C1765" s="17" t="str">
        <f aca="false">IF(B1765="","",IFERROR(INDEX(Produits!$F$2:$F$1001,MATCH(B1765,Produits!$A$2:$A$1001,0)),"⚠ code article inconnu"))</f>
        <v/>
      </c>
      <c r="D1765" s="12"/>
      <c r="E1765" s="23"/>
      <c r="F1765" s="24"/>
      <c r="G1765" s="23"/>
      <c r="H1765" s="21" t="str">
        <f aca="true">IF(E1765="","",ROUND((E1765-TODAY())/30.4,1))</f>
        <v/>
      </c>
      <c r="I1765" s="17" t="str">
        <f aca="false">IF(E1765="","",IF(H1765&lt;0,IF(LEFT(A1765,1)="Q","Périmé (en quarantaine)","PÉRIMÉ → déplacer en zone Q"),IF(H1765&lt;3,"Péremption &lt; 3 mois",IF(H1765&lt;6,"Péremption &lt; 6 mois",""))))</f>
        <v/>
      </c>
      <c r="J1765" s="17" t="str">
        <f aca="false">IF(A1765="","",IF(COUNTIF(Emplacements!$A$2:$A$1001,A1765)=0,"⚠ emplacement inconnu","OK"))</f>
        <v/>
      </c>
      <c r="K1765" s="22" t="str">
        <f aca="false">IF(AND(B1765&lt;&gt;"",ISNUMBER(SEARCH(Recherche!$C$3,C1765&amp;" "&amp;B1765&amp;" "&amp;A1765&amp;" "&amp;D1765))),MAX($K$1:K1764)+1,"")</f>
        <v/>
      </c>
    </row>
    <row r="1766" customFormat="false" ht="15" hidden="false" customHeight="false" outlineLevel="0" collapsed="false">
      <c r="A1766" s="12"/>
      <c r="B1766" s="12"/>
      <c r="C1766" s="17" t="str">
        <f aca="false">IF(B1766="","",IFERROR(INDEX(Produits!$F$2:$F$1001,MATCH(B1766,Produits!$A$2:$A$1001,0)),"⚠ code article inconnu"))</f>
        <v/>
      </c>
      <c r="D1766" s="12"/>
      <c r="E1766" s="23"/>
      <c r="F1766" s="24"/>
      <c r="G1766" s="23"/>
      <c r="H1766" s="21" t="str">
        <f aca="true">IF(E1766="","",ROUND((E1766-TODAY())/30.4,1))</f>
        <v/>
      </c>
      <c r="I1766" s="17" t="str">
        <f aca="false">IF(E1766="","",IF(H1766&lt;0,IF(LEFT(A1766,1)="Q","Périmé (en quarantaine)","PÉRIMÉ → déplacer en zone Q"),IF(H1766&lt;3,"Péremption &lt; 3 mois",IF(H1766&lt;6,"Péremption &lt; 6 mois",""))))</f>
        <v/>
      </c>
      <c r="J1766" s="17" t="str">
        <f aca="false">IF(A1766="","",IF(COUNTIF(Emplacements!$A$2:$A$1001,A1766)=0,"⚠ emplacement inconnu","OK"))</f>
        <v/>
      </c>
      <c r="K1766" s="22" t="str">
        <f aca="false">IF(AND(B1766&lt;&gt;"",ISNUMBER(SEARCH(Recherche!$C$3,C1766&amp;" "&amp;B1766&amp;" "&amp;A1766&amp;" "&amp;D1766))),MAX($K$1:K1765)+1,"")</f>
        <v/>
      </c>
    </row>
    <row r="1767" customFormat="false" ht="15" hidden="false" customHeight="false" outlineLevel="0" collapsed="false">
      <c r="A1767" s="12"/>
      <c r="B1767" s="12"/>
      <c r="C1767" s="17" t="str">
        <f aca="false">IF(B1767="","",IFERROR(INDEX(Produits!$F$2:$F$1001,MATCH(B1767,Produits!$A$2:$A$1001,0)),"⚠ code article inconnu"))</f>
        <v/>
      </c>
      <c r="D1767" s="12"/>
      <c r="E1767" s="23"/>
      <c r="F1767" s="24"/>
      <c r="G1767" s="23"/>
      <c r="H1767" s="21" t="str">
        <f aca="true">IF(E1767="","",ROUND((E1767-TODAY())/30.4,1))</f>
        <v/>
      </c>
      <c r="I1767" s="17" t="str">
        <f aca="false">IF(E1767="","",IF(H1767&lt;0,IF(LEFT(A1767,1)="Q","Périmé (en quarantaine)","PÉRIMÉ → déplacer en zone Q"),IF(H1767&lt;3,"Péremption &lt; 3 mois",IF(H1767&lt;6,"Péremption &lt; 6 mois",""))))</f>
        <v/>
      </c>
      <c r="J1767" s="17" t="str">
        <f aca="false">IF(A1767="","",IF(COUNTIF(Emplacements!$A$2:$A$1001,A1767)=0,"⚠ emplacement inconnu","OK"))</f>
        <v/>
      </c>
      <c r="K1767" s="22" t="str">
        <f aca="false">IF(AND(B1767&lt;&gt;"",ISNUMBER(SEARCH(Recherche!$C$3,C1767&amp;" "&amp;B1767&amp;" "&amp;A1767&amp;" "&amp;D1767))),MAX($K$1:K1766)+1,"")</f>
        <v/>
      </c>
    </row>
    <row r="1768" customFormat="false" ht="15" hidden="false" customHeight="false" outlineLevel="0" collapsed="false">
      <c r="A1768" s="12"/>
      <c r="B1768" s="12"/>
      <c r="C1768" s="17" t="str">
        <f aca="false">IF(B1768="","",IFERROR(INDEX(Produits!$F$2:$F$1001,MATCH(B1768,Produits!$A$2:$A$1001,0)),"⚠ code article inconnu"))</f>
        <v/>
      </c>
      <c r="D1768" s="12"/>
      <c r="E1768" s="23"/>
      <c r="F1768" s="24"/>
      <c r="G1768" s="23"/>
      <c r="H1768" s="21" t="str">
        <f aca="true">IF(E1768="","",ROUND((E1768-TODAY())/30.4,1))</f>
        <v/>
      </c>
      <c r="I1768" s="17" t="str">
        <f aca="false">IF(E1768="","",IF(H1768&lt;0,IF(LEFT(A1768,1)="Q","Périmé (en quarantaine)","PÉRIMÉ → déplacer en zone Q"),IF(H1768&lt;3,"Péremption &lt; 3 mois",IF(H1768&lt;6,"Péremption &lt; 6 mois",""))))</f>
        <v/>
      </c>
      <c r="J1768" s="17" t="str">
        <f aca="false">IF(A1768="","",IF(COUNTIF(Emplacements!$A$2:$A$1001,A1768)=0,"⚠ emplacement inconnu","OK"))</f>
        <v/>
      </c>
      <c r="K1768" s="22" t="str">
        <f aca="false">IF(AND(B1768&lt;&gt;"",ISNUMBER(SEARCH(Recherche!$C$3,C1768&amp;" "&amp;B1768&amp;" "&amp;A1768&amp;" "&amp;D1768))),MAX($K$1:K1767)+1,"")</f>
        <v/>
      </c>
    </row>
    <row r="1769" customFormat="false" ht="15" hidden="false" customHeight="false" outlineLevel="0" collapsed="false">
      <c r="A1769" s="12"/>
      <c r="B1769" s="12"/>
      <c r="C1769" s="17" t="str">
        <f aca="false">IF(B1769="","",IFERROR(INDEX(Produits!$F$2:$F$1001,MATCH(B1769,Produits!$A$2:$A$1001,0)),"⚠ code article inconnu"))</f>
        <v/>
      </c>
      <c r="D1769" s="12"/>
      <c r="E1769" s="23"/>
      <c r="F1769" s="24"/>
      <c r="G1769" s="23"/>
      <c r="H1769" s="21" t="str">
        <f aca="true">IF(E1769="","",ROUND((E1769-TODAY())/30.4,1))</f>
        <v/>
      </c>
      <c r="I1769" s="17" t="str">
        <f aca="false">IF(E1769="","",IF(H1769&lt;0,IF(LEFT(A1769,1)="Q","Périmé (en quarantaine)","PÉRIMÉ → déplacer en zone Q"),IF(H1769&lt;3,"Péremption &lt; 3 mois",IF(H1769&lt;6,"Péremption &lt; 6 mois",""))))</f>
        <v/>
      </c>
      <c r="J1769" s="17" t="str">
        <f aca="false">IF(A1769="","",IF(COUNTIF(Emplacements!$A$2:$A$1001,A1769)=0,"⚠ emplacement inconnu","OK"))</f>
        <v/>
      </c>
      <c r="K1769" s="22" t="str">
        <f aca="false">IF(AND(B1769&lt;&gt;"",ISNUMBER(SEARCH(Recherche!$C$3,C1769&amp;" "&amp;B1769&amp;" "&amp;A1769&amp;" "&amp;D1769))),MAX($K$1:K1768)+1,"")</f>
        <v/>
      </c>
    </row>
    <row r="1770" customFormat="false" ht="15" hidden="false" customHeight="false" outlineLevel="0" collapsed="false">
      <c r="A1770" s="12"/>
      <c r="B1770" s="12"/>
      <c r="C1770" s="17" t="str">
        <f aca="false">IF(B1770="","",IFERROR(INDEX(Produits!$F$2:$F$1001,MATCH(B1770,Produits!$A$2:$A$1001,0)),"⚠ code article inconnu"))</f>
        <v/>
      </c>
      <c r="D1770" s="12"/>
      <c r="E1770" s="23"/>
      <c r="F1770" s="24"/>
      <c r="G1770" s="23"/>
      <c r="H1770" s="21" t="str">
        <f aca="true">IF(E1770="","",ROUND((E1770-TODAY())/30.4,1))</f>
        <v/>
      </c>
      <c r="I1770" s="17" t="str">
        <f aca="false">IF(E1770="","",IF(H1770&lt;0,IF(LEFT(A1770,1)="Q","Périmé (en quarantaine)","PÉRIMÉ → déplacer en zone Q"),IF(H1770&lt;3,"Péremption &lt; 3 mois",IF(H1770&lt;6,"Péremption &lt; 6 mois",""))))</f>
        <v/>
      </c>
      <c r="J1770" s="17" t="str">
        <f aca="false">IF(A1770="","",IF(COUNTIF(Emplacements!$A$2:$A$1001,A1770)=0,"⚠ emplacement inconnu","OK"))</f>
        <v/>
      </c>
      <c r="K1770" s="22" t="str">
        <f aca="false">IF(AND(B1770&lt;&gt;"",ISNUMBER(SEARCH(Recherche!$C$3,C1770&amp;" "&amp;B1770&amp;" "&amp;A1770&amp;" "&amp;D1770))),MAX($K$1:K1769)+1,"")</f>
        <v/>
      </c>
    </row>
    <row r="1771" customFormat="false" ht="15" hidden="false" customHeight="false" outlineLevel="0" collapsed="false">
      <c r="A1771" s="12"/>
      <c r="B1771" s="12"/>
      <c r="C1771" s="17" t="str">
        <f aca="false">IF(B1771="","",IFERROR(INDEX(Produits!$F$2:$F$1001,MATCH(B1771,Produits!$A$2:$A$1001,0)),"⚠ code article inconnu"))</f>
        <v/>
      </c>
      <c r="D1771" s="12"/>
      <c r="E1771" s="23"/>
      <c r="F1771" s="24"/>
      <c r="G1771" s="23"/>
      <c r="H1771" s="21" t="str">
        <f aca="true">IF(E1771="","",ROUND((E1771-TODAY())/30.4,1))</f>
        <v/>
      </c>
      <c r="I1771" s="17" t="str">
        <f aca="false">IF(E1771="","",IF(H1771&lt;0,IF(LEFT(A1771,1)="Q","Périmé (en quarantaine)","PÉRIMÉ → déplacer en zone Q"),IF(H1771&lt;3,"Péremption &lt; 3 mois",IF(H1771&lt;6,"Péremption &lt; 6 mois",""))))</f>
        <v/>
      </c>
      <c r="J1771" s="17" t="str">
        <f aca="false">IF(A1771="","",IF(COUNTIF(Emplacements!$A$2:$A$1001,A1771)=0,"⚠ emplacement inconnu","OK"))</f>
        <v/>
      </c>
      <c r="K1771" s="22" t="str">
        <f aca="false">IF(AND(B1771&lt;&gt;"",ISNUMBER(SEARCH(Recherche!$C$3,C1771&amp;" "&amp;B1771&amp;" "&amp;A1771&amp;" "&amp;D1771))),MAX($K$1:K1770)+1,"")</f>
        <v/>
      </c>
    </row>
    <row r="1772" customFormat="false" ht="15" hidden="false" customHeight="false" outlineLevel="0" collapsed="false">
      <c r="A1772" s="12"/>
      <c r="B1772" s="12"/>
      <c r="C1772" s="17" t="str">
        <f aca="false">IF(B1772="","",IFERROR(INDEX(Produits!$F$2:$F$1001,MATCH(B1772,Produits!$A$2:$A$1001,0)),"⚠ code article inconnu"))</f>
        <v/>
      </c>
      <c r="D1772" s="12"/>
      <c r="E1772" s="23"/>
      <c r="F1772" s="24"/>
      <c r="G1772" s="23"/>
      <c r="H1772" s="21" t="str">
        <f aca="true">IF(E1772="","",ROUND((E1772-TODAY())/30.4,1))</f>
        <v/>
      </c>
      <c r="I1772" s="17" t="str">
        <f aca="false">IF(E1772="","",IF(H1772&lt;0,IF(LEFT(A1772,1)="Q","Périmé (en quarantaine)","PÉRIMÉ → déplacer en zone Q"),IF(H1772&lt;3,"Péremption &lt; 3 mois",IF(H1772&lt;6,"Péremption &lt; 6 mois",""))))</f>
        <v/>
      </c>
      <c r="J1772" s="17" t="str">
        <f aca="false">IF(A1772="","",IF(COUNTIF(Emplacements!$A$2:$A$1001,A1772)=0,"⚠ emplacement inconnu","OK"))</f>
        <v/>
      </c>
      <c r="K1772" s="22" t="str">
        <f aca="false">IF(AND(B1772&lt;&gt;"",ISNUMBER(SEARCH(Recherche!$C$3,C1772&amp;" "&amp;B1772&amp;" "&amp;A1772&amp;" "&amp;D1772))),MAX($K$1:K1771)+1,"")</f>
        <v/>
      </c>
    </row>
    <row r="1773" customFormat="false" ht="15" hidden="false" customHeight="false" outlineLevel="0" collapsed="false">
      <c r="A1773" s="12"/>
      <c r="B1773" s="12"/>
      <c r="C1773" s="17" t="str">
        <f aca="false">IF(B1773="","",IFERROR(INDEX(Produits!$F$2:$F$1001,MATCH(B1773,Produits!$A$2:$A$1001,0)),"⚠ code article inconnu"))</f>
        <v/>
      </c>
      <c r="D1773" s="12"/>
      <c r="E1773" s="23"/>
      <c r="F1773" s="24"/>
      <c r="G1773" s="23"/>
      <c r="H1773" s="21" t="str">
        <f aca="true">IF(E1773="","",ROUND((E1773-TODAY())/30.4,1))</f>
        <v/>
      </c>
      <c r="I1773" s="17" t="str">
        <f aca="false">IF(E1773="","",IF(H1773&lt;0,IF(LEFT(A1773,1)="Q","Périmé (en quarantaine)","PÉRIMÉ → déplacer en zone Q"),IF(H1773&lt;3,"Péremption &lt; 3 mois",IF(H1773&lt;6,"Péremption &lt; 6 mois",""))))</f>
        <v/>
      </c>
      <c r="J1773" s="17" t="str">
        <f aca="false">IF(A1773="","",IF(COUNTIF(Emplacements!$A$2:$A$1001,A1773)=0,"⚠ emplacement inconnu","OK"))</f>
        <v/>
      </c>
      <c r="K1773" s="22" t="str">
        <f aca="false">IF(AND(B1773&lt;&gt;"",ISNUMBER(SEARCH(Recherche!$C$3,C1773&amp;" "&amp;B1773&amp;" "&amp;A1773&amp;" "&amp;D1773))),MAX($K$1:K1772)+1,"")</f>
        <v/>
      </c>
    </row>
    <row r="1774" customFormat="false" ht="15" hidden="false" customHeight="false" outlineLevel="0" collapsed="false">
      <c r="A1774" s="12"/>
      <c r="B1774" s="12"/>
      <c r="C1774" s="17" t="str">
        <f aca="false">IF(B1774="","",IFERROR(INDEX(Produits!$F$2:$F$1001,MATCH(B1774,Produits!$A$2:$A$1001,0)),"⚠ code article inconnu"))</f>
        <v/>
      </c>
      <c r="D1774" s="12"/>
      <c r="E1774" s="23"/>
      <c r="F1774" s="24"/>
      <c r="G1774" s="23"/>
      <c r="H1774" s="21" t="str">
        <f aca="true">IF(E1774="","",ROUND((E1774-TODAY())/30.4,1))</f>
        <v/>
      </c>
      <c r="I1774" s="17" t="str">
        <f aca="false">IF(E1774="","",IF(H1774&lt;0,IF(LEFT(A1774,1)="Q","Périmé (en quarantaine)","PÉRIMÉ → déplacer en zone Q"),IF(H1774&lt;3,"Péremption &lt; 3 mois",IF(H1774&lt;6,"Péremption &lt; 6 mois",""))))</f>
        <v/>
      </c>
      <c r="J1774" s="17" t="str">
        <f aca="false">IF(A1774="","",IF(COUNTIF(Emplacements!$A$2:$A$1001,A1774)=0,"⚠ emplacement inconnu","OK"))</f>
        <v/>
      </c>
      <c r="K1774" s="22" t="str">
        <f aca="false">IF(AND(B1774&lt;&gt;"",ISNUMBER(SEARCH(Recherche!$C$3,C1774&amp;" "&amp;B1774&amp;" "&amp;A1774&amp;" "&amp;D1774))),MAX($K$1:K1773)+1,"")</f>
        <v/>
      </c>
    </row>
    <row r="1775" customFormat="false" ht="15" hidden="false" customHeight="false" outlineLevel="0" collapsed="false">
      <c r="A1775" s="12"/>
      <c r="B1775" s="12"/>
      <c r="C1775" s="17" t="str">
        <f aca="false">IF(B1775="","",IFERROR(INDEX(Produits!$F$2:$F$1001,MATCH(B1775,Produits!$A$2:$A$1001,0)),"⚠ code article inconnu"))</f>
        <v/>
      </c>
      <c r="D1775" s="12"/>
      <c r="E1775" s="23"/>
      <c r="F1775" s="24"/>
      <c r="G1775" s="23"/>
      <c r="H1775" s="21" t="str">
        <f aca="true">IF(E1775="","",ROUND((E1775-TODAY())/30.4,1))</f>
        <v/>
      </c>
      <c r="I1775" s="17" t="str">
        <f aca="false">IF(E1775="","",IF(H1775&lt;0,IF(LEFT(A1775,1)="Q","Périmé (en quarantaine)","PÉRIMÉ → déplacer en zone Q"),IF(H1775&lt;3,"Péremption &lt; 3 mois",IF(H1775&lt;6,"Péremption &lt; 6 mois",""))))</f>
        <v/>
      </c>
      <c r="J1775" s="17" t="str">
        <f aca="false">IF(A1775="","",IF(COUNTIF(Emplacements!$A$2:$A$1001,A1775)=0,"⚠ emplacement inconnu","OK"))</f>
        <v/>
      </c>
      <c r="K1775" s="22" t="str">
        <f aca="false">IF(AND(B1775&lt;&gt;"",ISNUMBER(SEARCH(Recherche!$C$3,C1775&amp;" "&amp;B1775&amp;" "&amp;A1775&amp;" "&amp;D1775))),MAX($K$1:K1774)+1,"")</f>
        <v/>
      </c>
    </row>
    <row r="1776" customFormat="false" ht="15" hidden="false" customHeight="false" outlineLevel="0" collapsed="false">
      <c r="A1776" s="12"/>
      <c r="B1776" s="12"/>
      <c r="C1776" s="17" t="str">
        <f aca="false">IF(B1776="","",IFERROR(INDEX(Produits!$F$2:$F$1001,MATCH(B1776,Produits!$A$2:$A$1001,0)),"⚠ code article inconnu"))</f>
        <v/>
      </c>
      <c r="D1776" s="12"/>
      <c r="E1776" s="23"/>
      <c r="F1776" s="24"/>
      <c r="G1776" s="23"/>
      <c r="H1776" s="21" t="str">
        <f aca="true">IF(E1776="","",ROUND((E1776-TODAY())/30.4,1))</f>
        <v/>
      </c>
      <c r="I1776" s="17" t="str">
        <f aca="false">IF(E1776="","",IF(H1776&lt;0,IF(LEFT(A1776,1)="Q","Périmé (en quarantaine)","PÉRIMÉ → déplacer en zone Q"),IF(H1776&lt;3,"Péremption &lt; 3 mois",IF(H1776&lt;6,"Péremption &lt; 6 mois",""))))</f>
        <v/>
      </c>
      <c r="J1776" s="17" t="str">
        <f aca="false">IF(A1776="","",IF(COUNTIF(Emplacements!$A$2:$A$1001,A1776)=0,"⚠ emplacement inconnu","OK"))</f>
        <v/>
      </c>
      <c r="K1776" s="22" t="str">
        <f aca="false">IF(AND(B1776&lt;&gt;"",ISNUMBER(SEARCH(Recherche!$C$3,C1776&amp;" "&amp;B1776&amp;" "&amp;A1776&amp;" "&amp;D1776))),MAX($K$1:K1775)+1,"")</f>
        <v/>
      </c>
    </row>
    <row r="1777" customFormat="false" ht="15" hidden="false" customHeight="false" outlineLevel="0" collapsed="false">
      <c r="A1777" s="12"/>
      <c r="B1777" s="12"/>
      <c r="C1777" s="17" t="str">
        <f aca="false">IF(B1777="","",IFERROR(INDEX(Produits!$F$2:$F$1001,MATCH(B1777,Produits!$A$2:$A$1001,0)),"⚠ code article inconnu"))</f>
        <v/>
      </c>
      <c r="D1777" s="12"/>
      <c r="E1777" s="23"/>
      <c r="F1777" s="24"/>
      <c r="G1777" s="23"/>
      <c r="H1777" s="21" t="str">
        <f aca="true">IF(E1777="","",ROUND((E1777-TODAY())/30.4,1))</f>
        <v/>
      </c>
      <c r="I1777" s="17" t="str">
        <f aca="false">IF(E1777="","",IF(H1777&lt;0,IF(LEFT(A1777,1)="Q","Périmé (en quarantaine)","PÉRIMÉ → déplacer en zone Q"),IF(H1777&lt;3,"Péremption &lt; 3 mois",IF(H1777&lt;6,"Péremption &lt; 6 mois",""))))</f>
        <v/>
      </c>
      <c r="J1777" s="17" t="str">
        <f aca="false">IF(A1777="","",IF(COUNTIF(Emplacements!$A$2:$A$1001,A1777)=0,"⚠ emplacement inconnu","OK"))</f>
        <v/>
      </c>
      <c r="K1777" s="22" t="str">
        <f aca="false">IF(AND(B1777&lt;&gt;"",ISNUMBER(SEARCH(Recherche!$C$3,C1777&amp;" "&amp;B1777&amp;" "&amp;A1777&amp;" "&amp;D1777))),MAX($K$1:K1776)+1,"")</f>
        <v/>
      </c>
    </row>
    <row r="1778" customFormat="false" ht="15" hidden="false" customHeight="false" outlineLevel="0" collapsed="false">
      <c r="A1778" s="12"/>
      <c r="B1778" s="12"/>
      <c r="C1778" s="17" t="str">
        <f aca="false">IF(B1778="","",IFERROR(INDEX(Produits!$F$2:$F$1001,MATCH(B1778,Produits!$A$2:$A$1001,0)),"⚠ code article inconnu"))</f>
        <v/>
      </c>
      <c r="D1778" s="12"/>
      <c r="E1778" s="23"/>
      <c r="F1778" s="24"/>
      <c r="G1778" s="23"/>
      <c r="H1778" s="21" t="str">
        <f aca="true">IF(E1778="","",ROUND((E1778-TODAY())/30.4,1))</f>
        <v/>
      </c>
      <c r="I1778" s="17" t="str">
        <f aca="false">IF(E1778="","",IF(H1778&lt;0,IF(LEFT(A1778,1)="Q","Périmé (en quarantaine)","PÉRIMÉ → déplacer en zone Q"),IF(H1778&lt;3,"Péremption &lt; 3 mois",IF(H1778&lt;6,"Péremption &lt; 6 mois",""))))</f>
        <v/>
      </c>
      <c r="J1778" s="17" t="str">
        <f aca="false">IF(A1778="","",IF(COUNTIF(Emplacements!$A$2:$A$1001,A1778)=0,"⚠ emplacement inconnu","OK"))</f>
        <v/>
      </c>
      <c r="K1778" s="22" t="str">
        <f aca="false">IF(AND(B1778&lt;&gt;"",ISNUMBER(SEARCH(Recherche!$C$3,C1778&amp;" "&amp;B1778&amp;" "&amp;A1778&amp;" "&amp;D1778))),MAX($K$1:K1777)+1,"")</f>
        <v/>
      </c>
    </row>
    <row r="1779" customFormat="false" ht="15" hidden="false" customHeight="false" outlineLevel="0" collapsed="false">
      <c r="A1779" s="12"/>
      <c r="B1779" s="12"/>
      <c r="C1779" s="17" t="str">
        <f aca="false">IF(B1779="","",IFERROR(INDEX(Produits!$F$2:$F$1001,MATCH(B1779,Produits!$A$2:$A$1001,0)),"⚠ code article inconnu"))</f>
        <v/>
      </c>
      <c r="D1779" s="12"/>
      <c r="E1779" s="23"/>
      <c r="F1779" s="24"/>
      <c r="G1779" s="23"/>
      <c r="H1779" s="21" t="str">
        <f aca="true">IF(E1779="","",ROUND((E1779-TODAY())/30.4,1))</f>
        <v/>
      </c>
      <c r="I1779" s="17" t="str">
        <f aca="false">IF(E1779="","",IF(H1779&lt;0,IF(LEFT(A1779,1)="Q","Périmé (en quarantaine)","PÉRIMÉ → déplacer en zone Q"),IF(H1779&lt;3,"Péremption &lt; 3 mois",IF(H1779&lt;6,"Péremption &lt; 6 mois",""))))</f>
        <v/>
      </c>
      <c r="J1779" s="17" t="str">
        <f aca="false">IF(A1779="","",IF(COUNTIF(Emplacements!$A$2:$A$1001,A1779)=0,"⚠ emplacement inconnu","OK"))</f>
        <v/>
      </c>
      <c r="K1779" s="22" t="str">
        <f aca="false">IF(AND(B1779&lt;&gt;"",ISNUMBER(SEARCH(Recherche!$C$3,C1779&amp;" "&amp;B1779&amp;" "&amp;A1779&amp;" "&amp;D1779))),MAX($K$1:K1778)+1,"")</f>
        <v/>
      </c>
    </row>
    <row r="1780" customFormat="false" ht="15" hidden="false" customHeight="false" outlineLevel="0" collapsed="false">
      <c r="A1780" s="12"/>
      <c r="B1780" s="12"/>
      <c r="C1780" s="17" t="str">
        <f aca="false">IF(B1780="","",IFERROR(INDEX(Produits!$F$2:$F$1001,MATCH(B1780,Produits!$A$2:$A$1001,0)),"⚠ code article inconnu"))</f>
        <v/>
      </c>
      <c r="D1780" s="12"/>
      <c r="E1780" s="23"/>
      <c r="F1780" s="24"/>
      <c r="G1780" s="23"/>
      <c r="H1780" s="21" t="str">
        <f aca="true">IF(E1780="","",ROUND((E1780-TODAY())/30.4,1))</f>
        <v/>
      </c>
      <c r="I1780" s="17" t="str">
        <f aca="false">IF(E1780="","",IF(H1780&lt;0,IF(LEFT(A1780,1)="Q","Périmé (en quarantaine)","PÉRIMÉ → déplacer en zone Q"),IF(H1780&lt;3,"Péremption &lt; 3 mois",IF(H1780&lt;6,"Péremption &lt; 6 mois",""))))</f>
        <v/>
      </c>
      <c r="J1780" s="17" t="str">
        <f aca="false">IF(A1780="","",IF(COUNTIF(Emplacements!$A$2:$A$1001,A1780)=0,"⚠ emplacement inconnu","OK"))</f>
        <v/>
      </c>
      <c r="K1780" s="22" t="str">
        <f aca="false">IF(AND(B1780&lt;&gt;"",ISNUMBER(SEARCH(Recherche!$C$3,C1780&amp;" "&amp;B1780&amp;" "&amp;A1780&amp;" "&amp;D1780))),MAX($K$1:K1779)+1,"")</f>
        <v/>
      </c>
    </row>
    <row r="1781" customFormat="false" ht="15" hidden="false" customHeight="false" outlineLevel="0" collapsed="false">
      <c r="A1781" s="12"/>
      <c r="B1781" s="12"/>
      <c r="C1781" s="17" t="str">
        <f aca="false">IF(B1781="","",IFERROR(INDEX(Produits!$F$2:$F$1001,MATCH(B1781,Produits!$A$2:$A$1001,0)),"⚠ code article inconnu"))</f>
        <v/>
      </c>
      <c r="D1781" s="12"/>
      <c r="E1781" s="23"/>
      <c r="F1781" s="24"/>
      <c r="G1781" s="23"/>
      <c r="H1781" s="21" t="str">
        <f aca="true">IF(E1781="","",ROUND((E1781-TODAY())/30.4,1))</f>
        <v/>
      </c>
      <c r="I1781" s="17" t="str">
        <f aca="false">IF(E1781="","",IF(H1781&lt;0,IF(LEFT(A1781,1)="Q","Périmé (en quarantaine)","PÉRIMÉ → déplacer en zone Q"),IF(H1781&lt;3,"Péremption &lt; 3 mois",IF(H1781&lt;6,"Péremption &lt; 6 mois",""))))</f>
        <v/>
      </c>
      <c r="J1781" s="17" t="str">
        <f aca="false">IF(A1781="","",IF(COUNTIF(Emplacements!$A$2:$A$1001,A1781)=0,"⚠ emplacement inconnu","OK"))</f>
        <v/>
      </c>
      <c r="K1781" s="22" t="str">
        <f aca="false">IF(AND(B1781&lt;&gt;"",ISNUMBER(SEARCH(Recherche!$C$3,C1781&amp;" "&amp;B1781&amp;" "&amp;A1781&amp;" "&amp;D1781))),MAX($K$1:K1780)+1,"")</f>
        <v/>
      </c>
    </row>
    <row r="1782" customFormat="false" ht="15" hidden="false" customHeight="false" outlineLevel="0" collapsed="false">
      <c r="A1782" s="12"/>
      <c r="B1782" s="12"/>
      <c r="C1782" s="17" t="str">
        <f aca="false">IF(B1782="","",IFERROR(INDEX(Produits!$F$2:$F$1001,MATCH(B1782,Produits!$A$2:$A$1001,0)),"⚠ code article inconnu"))</f>
        <v/>
      </c>
      <c r="D1782" s="12"/>
      <c r="E1782" s="23"/>
      <c r="F1782" s="24"/>
      <c r="G1782" s="23"/>
      <c r="H1782" s="21" t="str">
        <f aca="true">IF(E1782="","",ROUND((E1782-TODAY())/30.4,1))</f>
        <v/>
      </c>
      <c r="I1782" s="17" t="str">
        <f aca="false">IF(E1782="","",IF(H1782&lt;0,IF(LEFT(A1782,1)="Q","Périmé (en quarantaine)","PÉRIMÉ → déplacer en zone Q"),IF(H1782&lt;3,"Péremption &lt; 3 mois",IF(H1782&lt;6,"Péremption &lt; 6 mois",""))))</f>
        <v/>
      </c>
      <c r="J1782" s="17" t="str">
        <f aca="false">IF(A1782="","",IF(COUNTIF(Emplacements!$A$2:$A$1001,A1782)=0,"⚠ emplacement inconnu","OK"))</f>
        <v/>
      </c>
      <c r="K1782" s="22" t="str">
        <f aca="false">IF(AND(B1782&lt;&gt;"",ISNUMBER(SEARCH(Recherche!$C$3,C1782&amp;" "&amp;B1782&amp;" "&amp;A1782&amp;" "&amp;D1782))),MAX($K$1:K1781)+1,"")</f>
        <v/>
      </c>
    </row>
    <row r="1783" customFormat="false" ht="15" hidden="false" customHeight="false" outlineLevel="0" collapsed="false">
      <c r="A1783" s="12"/>
      <c r="B1783" s="12"/>
      <c r="C1783" s="17" t="str">
        <f aca="false">IF(B1783="","",IFERROR(INDEX(Produits!$F$2:$F$1001,MATCH(B1783,Produits!$A$2:$A$1001,0)),"⚠ code article inconnu"))</f>
        <v/>
      </c>
      <c r="D1783" s="12"/>
      <c r="E1783" s="23"/>
      <c r="F1783" s="24"/>
      <c r="G1783" s="23"/>
      <c r="H1783" s="21" t="str">
        <f aca="true">IF(E1783="","",ROUND((E1783-TODAY())/30.4,1))</f>
        <v/>
      </c>
      <c r="I1783" s="17" t="str">
        <f aca="false">IF(E1783="","",IF(H1783&lt;0,IF(LEFT(A1783,1)="Q","Périmé (en quarantaine)","PÉRIMÉ → déplacer en zone Q"),IF(H1783&lt;3,"Péremption &lt; 3 mois",IF(H1783&lt;6,"Péremption &lt; 6 mois",""))))</f>
        <v/>
      </c>
      <c r="J1783" s="17" t="str">
        <f aca="false">IF(A1783="","",IF(COUNTIF(Emplacements!$A$2:$A$1001,A1783)=0,"⚠ emplacement inconnu","OK"))</f>
        <v/>
      </c>
      <c r="K1783" s="22" t="str">
        <f aca="false">IF(AND(B1783&lt;&gt;"",ISNUMBER(SEARCH(Recherche!$C$3,C1783&amp;" "&amp;B1783&amp;" "&amp;A1783&amp;" "&amp;D1783))),MAX($K$1:K1782)+1,"")</f>
        <v/>
      </c>
    </row>
    <row r="1784" customFormat="false" ht="15" hidden="false" customHeight="false" outlineLevel="0" collapsed="false">
      <c r="A1784" s="12"/>
      <c r="B1784" s="12"/>
      <c r="C1784" s="17" t="str">
        <f aca="false">IF(B1784="","",IFERROR(INDEX(Produits!$F$2:$F$1001,MATCH(B1784,Produits!$A$2:$A$1001,0)),"⚠ code article inconnu"))</f>
        <v/>
      </c>
      <c r="D1784" s="12"/>
      <c r="E1784" s="23"/>
      <c r="F1784" s="24"/>
      <c r="G1784" s="23"/>
      <c r="H1784" s="21" t="str">
        <f aca="true">IF(E1784="","",ROUND((E1784-TODAY())/30.4,1))</f>
        <v/>
      </c>
      <c r="I1784" s="17" t="str">
        <f aca="false">IF(E1784="","",IF(H1784&lt;0,IF(LEFT(A1784,1)="Q","Périmé (en quarantaine)","PÉRIMÉ → déplacer en zone Q"),IF(H1784&lt;3,"Péremption &lt; 3 mois",IF(H1784&lt;6,"Péremption &lt; 6 mois",""))))</f>
        <v/>
      </c>
      <c r="J1784" s="17" t="str">
        <f aca="false">IF(A1784="","",IF(COUNTIF(Emplacements!$A$2:$A$1001,A1784)=0,"⚠ emplacement inconnu","OK"))</f>
        <v/>
      </c>
      <c r="K1784" s="22" t="str">
        <f aca="false">IF(AND(B1784&lt;&gt;"",ISNUMBER(SEARCH(Recherche!$C$3,C1784&amp;" "&amp;B1784&amp;" "&amp;A1784&amp;" "&amp;D1784))),MAX($K$1:K1783)+1,"")</f>
        <v/>
      </c>
    </row>
    <row r="1785" customFormat="false" ht="15" hidden="false" customHeight="false" outlineLevel="0" collapsed="false">
      <c r="A1785" s="12"/>
      <c r="B1785" s="12"/>
      <c r="C1785" s="17" t="str">
        <f aca="false">IF(B1785="","",IFERROR(INDEX(Produits!$F$2:$F$1001,MATCH(B1785,Produits!$A$2:$A$1001,0)),"⚠ code article inconnu"))</f>
        <v/>
      </c>
      <c r="D1785" s="12"/>
      <c r="E1785" s="23"/>
      <c r="F1785" s="24"/>
      <c r="G1785" s="23"/>
      <c r="H1785" s="21" t="str">
        <f aca="true">IF(E1785="","",ROUND((E1785-TODAY())/30.4,1))</f>
        <v/>
      </c>
      <c r="I1785" s="17" t="str">
        <f aca="false">IF(E1785="","",IF(H1785&lt;0,IF(LEFT(A1785,1)="Q","Périmé (en quarantaine)","PÉRIMÉ → déplacer en zone Q"),IF(H1785&lt;3,"Péremption &lt; 3 mois",IF(H1785&lt;6,"Péremption &lt; 6 mois",""))))</f>
        <v/>
      </c>
      <c r="J1785" s="17" t="str">
        <f aca="false">IF(A1785="","",IF(COUNTIF(Emplacements!$A$2:$A$1001,A1785)=0,"⚠ emplacement inconnu","OK"))</f>
        <v/>
      </c>
      <c r="K1785" s="22" t="str">
        <f aca="false">IF(AND(B1785&lt;&gt;"",ISNUMBER(SEARCH(Recherche!$C$3,C1785&amp;" "&amp;B1785&amp;" "&amp;A1785&amp;" "&amp;D1785))),MAX($K$1:K1784)+1,"")</f>
        <v/>
      </c>
    </row>
    <row r="1786" customFormat="false" ht="15" hidden="false" customHeight="false" outlineLevel="0" collapsed="false">
      <c r="A1786" s="12"/>
      <c r="B1786" s="12"/>
      <c r="C1786" s="17" t="str">
        <f aca="false">IF(B1786="","",IFERROR(INDEX(Produits!$F$2:$F$1001,MATCH(B1786,Produits!$A$2:$A$1001,0)),"⚠ code article inconnu"))</f>
        <v/>
      </c>
      <c r="D1786" s="12"/>
      <c r="E1786" s="23"/>
      <c r="F1786" s="24"/>
      <c r="G1786" s="23"/>
      <c r="H1786" s="21" t="str">
        <f aca="true">IF(E1786="","",ROUND((E1786-TODAY())/30.4,1))</f>
        <v/>
      </c>
      <c r="I1786" s="17" t="str">
        <f aca="false">IF(E1786="","",IF(H1786&lt;0,IF(LEFT(A1786,1)="Q","Périmé (en quarantaine)","PÉRIMÉ → déplacer en zone Q"),IF(H1786&lt;3,"Péremption &lt; 3 mois",IF(H1786&lt;6,"Péremption &lt; 6 mois",""))))</f>
        <v/>
      </c>
      <c r="J1786" s="17" t="str">
        <f aca="false">IF(A1786="","",IF(COUNTIF(Emplacements!$A$2:$A$1001,A1786)=0,"⚠ emplacement inconnu","OK"))</f>
        <v/>
      </c>
      <c r="K1786" s="22" t="str">
        <f aca="false">IF(AND(B1786&lt;&gt;"",ISNUMBER(SEARCH(Recherche!$C$3,C1786&amp;" "&amp;B1786&amp;" "&amp;A1786&amp;" "&amp;D1786))),MAX($K$1:K1785)+1,"")</f>
        <v/>
      </c>
    </row>
    <row r="1787" customFormat="false" ht="15" hidden="false" customHeight="false" outlineLevel="0" collapsed="false">
      <c r="A1787" s="12"/>
      <c r="B1787" s="12"/>
      <c r="C1787" s="17" t="str">
        <f aca="false">IF(B1787="","",IFERROR(INDEX(Produits!$F$2:$F$1001,MATCH(B1787,Produits!$A$2:$A$1001,0)),"⚠ code article inconnu"))</f>
        <v/>
      </c>
      <c r="D1787" s="12"/>
      <c r="E1787" s="23"/>
      <c r="F1787" s="24"/>
      <c r="G1787" s="23"/>
      <c r="H1787" s="21" t="str">
        <f aca="true">IF(E1787="","",ROUND((E1787-TODAY())/30.4,1))</f>
        <v/>
      </c>
      <c r="I1787" s="17" t="str">
        <f aca="false">IF(E1787="","",IF(H1787&lt;0,IF(LEFT(A1787,1)="Q","Périmé (en quarantaine)","PÉRIMÉ → déplacer en zone Q"),IF(H1787&lt;3,"Péremption &lt; 3 mois",IF(H1787&lt;6,"Péremption &lt; 6 mois",""))))</f>
        <v/>
      </c>
      <c r="J1787" s="17" t="str">
        <f aca="false">IF(A1787="","",IF(COUNTIF(Emplacements!$A$2:$A$1001,A1787)=0,"⚠ emplacement inconnu","OK"))</f>
        <v/>
      </c>
      <c r="K1787" s="22" t="str">
        <f aca="false">IF(AND(B1787&lt;&gt;"",ISNUMBER(SEARCH(Recherche!$C$3,C1787&amp;" "&amp;B1787&amp;" "&amp;A1787&amp;" "&amp;D1787))),MAX($K$1:K1786)+1,"")</f>
        <v/>
      </c>
    </row>
    <row r="1788" customFormat="false" ht="15" hidden="false" customHeight="false" outlineLevel="0" collapsed="false">
      <c r="A1788" s="12"/>
      <c r="B1788" s="12"/>
      <c r="C1788" s="17" t="str">
        <f aca="false">IF(B1788="","",IFERROR(INDEX(Produits!$F$2:$F$1001,MATCH(B1788,Produits!$A$2:$A$1001,0)),"⚠ code article inconnu"))</f>
        <v/>
      </c>
      <c r="D1788" s="12"/>
      <c r="E1788" s="23"/>
      <c r="F1788" s="24"/>
      <c r="G1788" s="23"/>
      <c r="H1788" s="21" t="str">
        <f aca="true">IF(E1788="","",ROUND((E1788-TODAY())/30.4,1))</f>
        <v/>
      </c>
      <c r="I1788" s="17" t="str">
        <f aca="false">IF(E1788="","",IF(H1788&lt;0,IF(LEFT(A1788,1)="Q","Périmé (en quarantaine)","PÉRIMÉ → déplacer en zone Q"),IF(H1788&lt;3,"Péremption &lt; 3 mois",IF(H1788&lt;6,"Péremption &lt; 6 mois",""))))</f>
        <v/>
      </c>
      <c r="J1788" s="17" t="str">
        <f aca="false">IF(A1788="","",IF(COUNTIF(Emplacements!$A$2:$A$1001,A1788)=0,"⚠ emplacement inconnu","OK"))</f>
        <v/>
      </c>
      <c r="K1788" s="22" t="str">
        <f aca="false">IF(AND(B1788&lt;&gt;"",ISNUMBER(SEARCH(Recherche!$C$3,C1788&amp;" "&amp;B1788&amp;" "&amp;A1788&amp;" "&amp;D1788))),MAX($K$1:K1787)+1,"")</f>
        <v/>
      </c>
    </row>
    <row r="1789" customFormat="false" ht="15" hidden="false" customHeight="false" outlineLevel="0" collapsed="false">
      <c r="A1789" s="12"/>
      <c r="B1789" s="12"/>
      <c r="C1789" s="17" t="str">
        <f aca="false">IF(B1789="","",IFERROR(INDEX(Produits!$F$2:$F$1001,MATCH(B1789,Produits!$A$2:$A$1001,0)),"⚠ code article inconnu"))</f>
        <v/>
      </c>
      <c r="D1789" s="12"/>
      <c r="E1789" s="23"/>
      <c r="F1789" s="24"/>
      <c r="G1789" s="23"/>
      <c r="H1789" s="21" t="str">
        <f aca="true">IF(E1789="","",ROUND((E1789-TODAY())/30.4,1))</f>
        <v/>
      </c>
      <c r="I1789" s="17" t="str">
        <f aca="false">IF(E1789="","",IF(H1789&lt;0,IF(LEFT(A1789,1)="Q","Périmé (en quarantaine)","PÉRIMÉ → déplacer en zone Q"),IF(H1789&lt;3,"Péremption &lt; 3 mois",IF(H1789&lt;6,"Péremption &lt; 6 mois",""))))</f>
        <v/>
      </c>
      <c r="J1789" s="17" t="str">
        <f aca="false">IF(A1789="","",IF(COUNTIF(Emplacements!$A$2:$A$1001,A1789)=0,"⚠ emplacement inconnu","OK"))</f>
        <v/>
      </c>
      <c r="K1789" s="22" t="str">
        <f aca="false">IF(AND(B1789&lt;&gt;"",ISNUMBER(SEARCH(Recherche!$C$3,C1789&amp;" "&amp;B1789&amp;" "&amp;A1789&amp;" "&amp;D1789))),MAX($K$1:K1788)+1,"")</f>
        <v/>
      </c>
    </row>
    <row r="1790" customFormat="false" ht="15" hidden="false" customHeight="false" outlineLevel="0" collapsed="false">
      <c r="A1790" s="12"/>
      <c r="B1790" s="12"/>
      <c r="C1790" s="17" t="str">
        <f aca="false">IF(B1790="","",IFERROR(INDEX(Produits!$F$2:$F$1001,MATCH(B1790,Produits!$A$2:$A$1001,0)),"⚠ code article inconnu"))</f>
        <v/>
      </c>
      <c r="D1790" s="12"/>
      <c r="E1790" s="23"/>
      <c r="F1790" s="24"/>
      <c r="G1790" s="23"/>
      <c r="H1790" s="21" t="str">
        <f aca="true">IF(E1790="","",ROUND((E1790-TODAY())/30.4,1))</f>
        <v/>
      </c>
      <c r="I1790" s="17" t="str">
        <f aca="false">IF(E1790="","",IF(H1790&lt;0,IF(LEFT(A1790,1)="Q","Périmé (en quarantaine)","PÉRIMÉ → déplacer en zone Q"),IF(H1790&lt;3,"Péremption &lt; 3 mois",IF(H1790&lt;6,"Péremption &lt; 6 mois",""))))</f>
        <v/>
      </c>
      <c r="J1790" s="17" t="str">
        <f aca="false">IF(A1790="","",IF(COUNTIF(Emplacements!$A$2:$A$1001,A1790)=0,"⚠ emplacement inconnu","OK"))</f>
        <v/>
      </c>
      <c r="K1790" s="22" t="str">
        <f aca="false">IF(AND(B1790&lt;&gt;"",ISNUMBER(SEARCH(Recherche!$C$3,C1790&amp;" "&amp;B1790&amp;" "&amp;A1790&amp;" "&amp;D1790))),MAX($K$1:K1789)+1,"")</f>
        <v/>
      </c>
    </row>
    <row r="1791" customFormat="false" ht="15" hidden="false" customHeight="false" outlineLevel="0" collapsed="false">
      <c r="A1791" s="12"/>
      <c r="B1791" s="12"/>
      <c r="C1791" s="17" t="str">
        <f aca="false">IF(B1791="","",IFERROR(INDEX(Produits!$F$2:$F$1001,MATCH(B1791,Produits!$A$2:$A$1001,0)),"⚠ code article inconnu"))</f>
        <v/>
      </c>
      <c r="D1791" s="12"/>
      <c r="E1791" s="23"/>
      <c r="F1791" s="24"/>
      <c r="G1791" s="23"/>
      <c r="H1791" s="21" t="str">
        <f aca="true">IF(E1791="","",ROUND((E1791-TODAY())/30.4,1))</f>
        <v/>
      </c>
      <c r="I1791" s="17" t="str">
        <f aca="false">IF(E1791="","",IF(H1791&lt;0,IF(LEFT(A1791,1)="Q","Périmé (en quarantaine)","PÉRIMÉ → déplacer en zone Q"),IF(H1791&lt;3,"Péremption &lt; 3 mois",IF(H1791&lt;6,"Péremption &lt; 6 mois",""))))</f>
        <v/>
      </c>
      <c r="J1791" s="17" t="str">
        <f aca="false">IF(A1791="","",IF(COUNTIF(Emplacements!$A$2:$A$1001,A1791)=0,"⚠ emplacement inconnu","OK"))</f>
        <v/>
      </c>
      <c r="K1791" s="22" t="str">
        <f aca="false">IF(AND(B1791&lt;&gt;"",ISNUMBER(SEARCH(Recherche!$C$3,C1791&amp;" "&amp;B1791&amp;" "&amp;A1791&amp;" "&amp;D1791))),MAX($K$1:K1790)+1,"")</f>
        <v/>
      </c>
    </row>
    <row r="1792" customFormat="false" ht="15" hidden="false" customHeight="false" outlineLevel="0" collapsed="false">
      <c r="A1792" s="12"/>
      <c r="B1792" s="12"/>
      <c r="C1792" s="17" t="str">
        <f aca="false">IF(B1792="","",IFERROR(INDEX(Produits!$F$2:$F$1001,MATCH(B1792,Produits!$A$2:$A$1001,0)),"⚠ code article inconnu"))</f>
        <v/>
      </c>
      <c r="D1792" s="12"/>
      <c r="E1792" s="23"/>
      <c r="F1792" s="24"/>
      <c r="G1792" s="23"/>
      <c r="H1792" s="21" t="str">
        <f aca="true">IF(E1792="","",ROUND((E1792-TODAY())/30.4,1))</f>
        <v/>
      </c>
      <c r="I1792" s="17" t="str">
        <f aca="false">IF(E1792="","",IF(H1792&lt;0,IF(LEFT(A1792,1)="Q","Périmé (en quarantaine)","PÉRIMÉ → déplacer en zone Q"),IF(H1792&lt;3,"Péremption &lt; 3 mois",IF(H1792&lt;6,"Péremption &lt; 6 mois",""))))</f>
        <v/>
      </c>
      <c r="J1792" s="17" t="str">
        <f aca="false">IF(A1792="","",IF(COUNTIF(Emplacements!$A$2:$A$1001,A1792)=0,"⚠ emplacement inconnu","OK"))</f>
        <v/>
      </c>
      <c r="K1792" s="22" t="str">
        <f aca="false">IF(AND(B1792&lt;&gt;"",ISNUMBER(SEARCH(Recherche!$C$3,C1792&amp;" "&amp;B1792&amp;" "&amp;A1792&amp;" "&amp;D1792))),MAX($K$1:K1791)+1,"")</f>
        <v/>
      </c>
    </row>
    <row r="1793" customFormat="false" ht="15" hidden="false" customHeight="false" outlineLevel="0" collapsed="false">
      <c r="A1793" s="12"/>
      <c r="B1793" s="12"/>
      <c r="C1793" s="17" t="str">
        <f aca="false">IF(B1793="","",IFERROR(INDEX(Produits!$F$2:$F$1001,MATCH(B1793,Produits!$A$2:$A$1001,0)),"⚠ code article inconnu"))</f>
        <v/>
      </c>
      <c r="D1793" s="12"/>
      <c r="E1793" s="23"/>
      <c r="F1793" s="24"/>
      <c r="G1793" s="23"/>
      <c r="H1793" s="21" t="str">
        <f aca="true">IF(E1793="","",ROUND((E1793-TODAY())/30.4,1))</f>
        <v/>
      </c>
      <c r="I1793" s="17" t="str">
        <f aca="false">IF(E1793="","",IF(H1793&lt;0,IF(LEFT(A1793,1)="Q","Périmé (en quarantaine)","PÉRIMÉ → déplacer en zone Q"),IF(H1793&lt;3,"Péremption &lt; 3 mois",IF(H1793&lt;6,"Péremption &lt; 6 mois",""))))</f>
        <v/>
      </c>
      <c r="J1793" s="17" t="str">
        <f aca="false">IF(A1793="","",IF(COUNTIF(Emplacements!$A$2:$A$1001,A1793)=0,"⚠ emplacement inconnu","OK"))</f>
        <v/>
      </c>
      <c r="K1793" s="22" t="str">
        <f aca="false">IF(AND(B1793&lt;&gt;"",ISNUMBER(SEARCH(Recherche!$C$3,C1793&amp;" "&amp;B1793&amp;" "&amp;A1793&amp;" "&amp;D1793))),MAX($K$1:K1792)+1,"")</f>
        <v/>
      </c>
    </row>
    <row r="1794" customFormat="false" ht="15" hidden="false" customHeight="false" outlineLevel="0" collapsed="false">
      <c r="A1794" s="12"/>
      <c r="B1794" s="12"/>
      <c r="C1794" s="17" t="str">
        <f aca="false">IF(B1794="","",IFERROR(INDEX(Produits!$F$2:$F$1001,MATCH(B1794,Produits!$A$2:$A$1001,0)),"⚠ code article inconnu"))</f>
        <v/>
      </c>
      <c r="D1794" s="12"/>
      <c r="E1794" s="23"/>
      <c r="F1794" s="24"/>
      <c r="G1794" s="23"/>
      <c r="H1794" s="21" t="str">
        <f aca="true">IF(E1794="","",ROUND((E1794-TODAY())/30.4,1))</f>
        <v/>
      </c>
      <c r="I1794" s="17" t="str">
        <f aca="false">IF(E1794="","",IF(H1794&lt;0,IF(LEFT(A1794,1)="Q","Périmé (en quarantaine)","PÉRIMÉ → déplacer en zone Q"),IF(H1794&lt;3,"Péremption &lt; 3 mois",IF(H1794&lt;6,"Péremption &lt; 6 mois",""))))</f>
        <v/>
      </c>
      <c r="J1794" s="17" t="str">
        <f aca="false">IF(A1794="","",IF(COUNTIF(Emplacements!$A$2:$A$1001,A1794)=0,"⚠ emplacement inconnu","OK"))</f>
        <v/>
      </c>
      <c r="K1794" s="22" t="str">
        <f aca="false">IF(AND(B1794&lt;&gt;"",ISNUMBER(SEARCH(Recherche!$C$3,C1794&amp;" "&amp;B1794&amp;" "&amp;A1794&amp;" "&amp;D1794))),MAX($K$1:K1793)+1,"")</f>
        <v/>
      </c>
    </row>
    <row r="1795" customFormat="false" ht="15" hidden="false" customHeight="false" outlineLevel="0" collapsed="false">
      <c r="A1795" s="12"/>
      <c r="B1795" s="12"/>
      <c r="C1795" s="17" t="str">
        <f aca="false">IF(B1795="","",IFERROR(INDEX(Produits!$F$2:$F$1001,MATCH(B1795,Produits!$A$2:$A$1001,0)),"⚠ code article inconnu"))</f>
        <v/>
      </c>
      <c r="D1795" s="12"/>
      <c r="E1795" s="23"/>
      <c r="F1795" s="24"/>
      <c r="G1795" s="23"/>
      <c r="H1795" s="21" t="str">
        <f aca="true">IF(E1795="","",ROUND((E1795-TODAY())/30.4,1))</f>
        <v/>
      </c>
      <c r="I1795" s="17" t="str">
        <f aca="false">IF(E1795="","",IF(H1795&lt;0,IF(LEFT(A1795,1)="Q","Périmé (en quarantaine)","PÉRIMÉ → déplacer en zone Q"),IF(H1795&lt;3,"Péremption &lt; 3 mois",IF(H1795&lt;6,"Péremption &lt; 6 mois",""))))</f>
        <v/>
      </c>
      <c r="J1795" s="17" t="str">
        <f aca="false">IF(A1795="","",IF(COUNTIF(Emplacements!$A$2:$A$1001,A1795)=0,"⚠ emplacement inconnu","OK"))</f>
        <v/>
      </c>
      <c r="K1795" s="22" t="str">
        <f aca="false">IF(AND(B1795&lt;&gt;"",ISNUMBER(SEARCH(Recherche!$C$3,C1795&amp;" "&amp;B1795&amp;" "&amp;A1795&amp;" "&amp;D1795))),MAX($K$1:K1794)+1,"")</f>
        <v/>
      </c>
    </row>
    <row r="1796" customFormat="false" ht="15" hidden="false" customHeight="false" outlineLevel="0" collapsed="false">
      <c r="A1796" s="12"/>
      <c r="B1796" s="12"/>
      <c r="C1796" s="17" t="str">
        <f aca="false">IF(B1796="","",IFERROR(INDEX(Produits!$F$2:$F$1001,MATCH(B1796,Produits!$A$2:$A$1001,0)),"⚠ code article inconnu"))</f>
        <v/>
      </c>
      <c r="D1796" s="12"/>
      <c r="E1796" s="23"/>
      <c r="F1796" s="24"/>
      <c r="G1796" s="23"/>
      <c r="H1796" s="21" t="str">
        <f aca="true">IF(E1796="","",ROUND((E1796-TODAY())/30.4,1))</f>
        <v/>
      </c>
      <c r="I1796" s="17" t="str">
        <f aca="false">IF(E1796="","",IF(H1796&lt;0,IF(LEFT(A1796,1)="Q","Périmé (en quarantaine)","PÉRIMÉ → déplacer en zone Q"),IF(H1796&lt;3,"Péremption &lt; 3 mois",IF(H1796&lt;6,"Péremption &lt; 6 mois",""))))</f>
        <v/>
      </c>
      <c r="J1796" s="17" t="str">
        <f aca="false">IF(A1796="","",IF(COUNTIF(Emplacements!$A$2:$A$1001,A1796)=0,"⚠ emplacement inconnu","OK"))</f>
        <v/>
      </c>
      <c r="K1796" s="22" t="str">
        <f aca="false">IF(AND(B1796&lt;&gt;"",ISNUMBER(SEARCH(Recherche!$C$3,C1796&amp;" "&amp;B1796&amp;" "&amp;A1796&amp;" "&amp;D1796))),MAX($K$1:K1795)+1,"")</f>
        <v/>
      </c>
    </row>
    <row r="1797" customFormat="false" ht="15" hidden="false" customHeight="false" outlineLevel="0" collapsed="false">
      <c r="A1797" s="12"/>
      <c r="B1797" s="12"/>
      <c r="C1797" s="17" t="str">
        <f aca="false">IF(B1797="","",IFERROR(INDEX(Produits!$F$2:$F$1001,MATCH(B1797,Produits!$A$2:$A$1001,0)),"⚠ code article inconnu"))</f>
        <v/>
      </c>
      <c r="D1797" s="12"/>
      <c r="E1797" s="23"/>
      <c r="F1797" s="24"/>
      <c r="G1797" s="23"/>
      <c r="H1797" s="21" t="str">
        <f aca="true">IF(E1797="","",ROUND((E1797-TODAY())/30.4,1))</f>
        <v/>
      </c>
      <c r="I1797" s="17" t="str">
        <f aca="false">IF(E1797="","",IF(H1797&lt;0,IF(LEFT(A1797,1)="Q","Périmé (en quarantaine)","PÉRIMÉ → déplacer en zone Q"),IF(H1797&lt;3,"Péremption &lt; 3 mois",IF(H1797&lt;6,"Péremption &lt; 6 mois",""))))</f>
        <v/>
      </c>
      <c r="J1797" s="17" t="str">
        <f aca="false">IF(A1797="","",IF(COUNTIF(Emplacements!$A$2:$A$1001,A1797)=0,"⚠ emplacement inconnu","OK"))</f>
        <v/>
      </c>
      <c r="K1797" s="22" t="str">
        <f aca="false">IF(AND(B1797&lt;&gt;"",ISNUMBER(SEARCH(Recherche!$C$3,C1797&amp;" "&amp;B1797&amp;" "&amp;A1797&amp;" "&amp;D1797))),MAX($K$1:K1796)+1,"")</f>
        <v/>
      </c>
    </row>
    <row r="1798" customFormat="false" ht="15" hidden="false" customHeight="false" outlineLevel="0" collapsed="false">
      <c r="A1798" s="12"/>
      <c r="B1798" s="12"/>
      <c r="C1798" s="17" t="str">
        <f aca="false">IF(B1798="","",IFERROR(INDEX(Produits!$F$2:$F$1001,MATCH(B1798,Produits!$A$2:$A$1001,0)),"⚠ code article inconnu"))</f>
        <v/>
      </c>
      <c r="D1798" s="12"/>
      <c r="E1798" s="23"/>
      <c r="F1798" s="24"/>
      <c r="G1798" s="23"/>
      <c r="H1798" s="21" t="str">
        <f aca="true">IF(E1798="","",ROUND((E1798-TODAY())/30.4,1))</f>
        <v/>
      </c>
      <c r="I1798" s="17" t="str">
        <f aca="false">IF(E1798="","",IF(H1798&lt;0,IF(LEFT(A1798,1)="Q","Périmé (en quarantaine)","PÉRIMÉ → déplacer en zone Q"),IF(H1798&lt;3,"Péremption &lt; 3 mois",IF(H1798&lt;6,"Péremption &lt; 6 mois",""))))</f>
        <v/>
      </c>
      <c r="J1798" s="17" t="str">
        <f aca="false">IF(A1798="","",IF(COUNTIF(Emplacements!$A$2:$A$1001,A1798)=0,"⚠ emplacement inconnu","OK"))</f>
        <v/>
      </c>
      <c r="K1798" s="22" t="str">
        <f aca="false">IF(AND(B1798&lt;&gt;"",ISNUMBER(SEARCH(Recherche!$C$3,C1798&amp;" "&amp;B1798&amp;" "&amp;A1798&amp;" "&amp;D1798))),MAX($K$1:K1797)+1,"")</f>
        <v/>
      </c>
    </row>
    <row r="1799" customFormat="false" ht="15" hidden="false" customHeight="false" outlineLevel="0" collapsed="false">
      <c r="A1799" s="12"/>
      <c r="B1799" s="12"/>
      <c r="C1799" s="17" t="str">
        <f aca="false">IF(B1799="","",IFERROR(INDEX(Produits!$F$2:$F$1001,MATCH(B1799,Produits!$A$2:$A$1001,0)),"⚠ code article inconnu"))</f>
        <v/>
      </c>
      <c r="D1799" s="12"/>
      <c r="E1799" s="23"/>
      <c r="F1799" s="24"/>
      <c r="G1799" s="23"/>
      <c r="H1799" s="21" t="str">
        <f aca="true">IF(E1799="","",ROUND((E1799-TODAY())/30.4,1))</f>
        <v/>
      </c>
      <c r="I1799" s="17" t="str">
        <f aca="false">IF(E1799="","",IF(H1799&lt;0,IF(LEFT(A1799,1)="Q","Périmé (en quarantaine)","PÉRIMÉ → déplacer en zone Q"),IF(H1799&lt;3,"Péremption &lt; 3 mois",IF(H1799&lt;6,"Péremption &lt; 6 mois",""))))</f>
        <v/>
      </c>
      <c r="J1799" s="17" t="str">
        <f aca="false">IF(A1799="","",IF(COUNTIF(Emplacements!$A$2:$A$1001,A1799)=0,"⚠ emplacement inconnu","OK"))</f>
        <v/>
      </c>
      <c r="K1799" s="22" t="str">
        <f aca="false">IF(AND(B1799&lt;&gt;"",ISNUMBER(SEARCH(Recherche!$C$3,C1799&amp;" "&amp;B1799&amp;" "&amp;A1799&amp;" "&amp;D1799))),MAX($K$1:K1798)+1,"")</f>
        <v/>
      </c>
    </row>
    <row r="1800" customFormat="false" ht="15" hidden="false" customHeight="false" outlineLevel="0" collapsed="false">
      <c r="A1800" s="12"/>
      <c r="B1800" s="12"/>
      <c r="C1800" s="17" t="str">
        <f aca="false">IF(B1800="","",IFERROR(INDEX(Produits!$F$2:$F$1001,MATCH(B1800,Produits!$A$2:$A$1001,0)),"⚠ code article inconnu"))</f>
        <v/>
      </c>
      <c r="D1800" s="12"/>
      <c r="E1800" s="23"/>
      <c r="F1800" s="24"/>
      <c r="G1800" s="23"/>
      <c r="H1800" s="21" t="str">
        <f aca="true">IF(E1800="","",ROUND((E1800-TODAY())/30.4,1))</f>
        <v/>
      </c>
      <c r="I1800" s="17" t="str">
        <f aca="false">IF(E1800="","",IF(H1800&lt;0,IF(LEFT(A1800,1)="Q","Périmé (en quarantaine)","PÉRIMÉ → déplacer en zone Q"),IF(H1800&lt;3,"Péremption &lt; 3 mois",IF(H1800&lt;6,"Péremption &lt; 6 mois",""))))</f>
        <v/>
      </c>
      <c r="J1800" s="17" t="str">
        <f aca="false">IF(A1800="","",IF(COUNTIF(Emplacements!$A$2:$A$1001,A1800)=0,"⚠ emplacement inconnu","OK"))</f>
        <v/>
      </c>
      <c r="K1800" s="22" t="str">
        <f aca="false">IF(AND(B1800&lt;&gt;"",ISNUMBER(SEARCH(Recherche!$C$3,C1800&amp;" "&amp;B1800&amp;" "&amp;A1800&amp;" "&amp;D1800))),MAX($K$1:K1799)+1,"")</f>
        <v/>
      </c>
    </row>
    <row r="1801" customFormat="false" ht="15" hidden="false" customHeight="false" outlineLevel="0" collapsed="false">
      <c r="A1801" s="12"/>
      <c r="B1801" s="12"/>
      <c r="C1801" s="17" t="str">
        <f aca="false">IF(B1801="","",IFERROR(INDEX(Produits!$F$2:$F$1001,MATCH(B1801,Produits!$A$2:$A$1001,0)),"⚠ code article inconnu"))</f>
        <v/>
      </c>
      <c r="D1801" s="12"/>
      <c r="E1801" s="23"/>
      <c r="F1801" s="24"/>
      <c r="G1801" s="23"/>
      <c r="H1801" s="21" t="str">
        <f aca="true">IF(E1801="","",ROUND((E1801-TODAY())/30.4,1))</f>
        <v/>
      </c>
      <c r="I1801" s="17" t="str">
        <f aca="false">IF(E1801="","",IF(H1801&lt;0,IF(LEFT(A1801,1)="Q","Périmé (en quarantaine)","PÉRIMÉ → déplacer en zone Q"),IF(H1801&lt;3,"Péremption &lt; 3 mois",IF(H1801&lt;6,"Péremption &lt; 6 mois",""))))</f>
        <v/>
      </c>
      <c r="J1801" s="17" t="str">
        <f aca="false">IF(A1801="","",IF(COUNTIF(Emplacements!$A$2:$A$1001,A1801)=0,"⚠ emplacement inconnu","OK"))</f>
        <v/>
      </c>
      <c r="K1801" s="22" t="str">
        <f aca="false">IF(AND(B1801&lt;&gt;"",ISNUMBER(SEARCH(Recherche!$C$3,C1801&amp;" "&amp;B1801&amp;" "&amp;A1801&amp;" "&amp;D1801))),MAX($K$1:K1800)+1,"")</f>
        <v/>
      </c>
    </row>
    <row r="1802" customFormat="false" ht="15" hidden="false" customHeight="false" outlineLevel="0" collapsed="false">
      <c r="A1802" s="12"/>
      <c r="B1802" s="12"/>
      <c r="C1802" s="17" t="str">
        <f aca="false">IF(B1802="","",IFERROR(INDEX(Produits!$F$2:$F$1001,MATCH(B1802,Produits!$A$2:$A$1001,0)),"⚠ code article inconnu"))</f>
        <v/>
      </c>
      <c r="D1802" s="12"/>
      <c r="E1802" s="23"/>
      <c r="F1802" s="24"/>
      <c r="G1802" s="23"/>
      <c r="H1802" s="21" t="str">
        <f aca="true">IF(E1802="","",ROUND((E1802-TODAY())/30.4,1))</f>
        <v/>
      </c>
      <c r="I1802" s="17" t="str">
        <f aca="false">IF(E1802="","",IF(H1802&lt;0,IF(LEFT(A1802,1)="Q","Périmé (en quarantaine)","PÉRIMÉ → déplacer en zone Q"),IF(H1802&lt;3,"Péremption &lt; 3 mois",IF(H1802&lt;6,"Péremption &lt; 6 mois",""))))</f>
        <v/>
      </c>
      <c r="J1802" s="17" t="str">
        <f aca="false">IF(A1802="","",IF(COUNTIF(Emplacements!$A$2:$A$1001,A1802)=0,"⚠ emplacement inconnu","OK"))</f>
        <v/>
      </c>
      <c r="K1802" s="22" t="str">
        <f aca="false">IF(AND(B1802&lt;&gt;"",ISNUMBER(SEARCH(Recherche!$C$3,C1802&amp;" "&amp;B1802&amp;" "&amp;A1802&amp;" "&amp;D1802))),MAX($K$1:K1801)+1,"")</f>
        <v/>
      </c>
    </row>
    <row r="1803" customFormat="false" ht="15" hidden="false" customHeight="false" outlineLevel="0" collapsed="false">
      <c r="A1803" s="12"/>
      <c r="B1803" s="12"/>
      <c r="C1803" s="17" t="str">
        <f aca="false">IF(B1803="","",IFERROR(INDEX(Produits!$F$2:$F$1001,MATCH(B1803,Produits!$A$2:$A$1001,0)),"⚠ code article inconnu"))</f>
        <v/>
      </c>
      <c r="D1803" s="12"/>
      <c r="E1803" s="23"/>
      <c r="F1803" s="24"/>
      <c r="G1803" s="23"/>
      <c r="H1803" s="21" t="str">
        <f aca="true">IF(E1803="","",ROUND((E1803-TODAY())/30.4,1))</f>
        <v/>
      </c>
      <c r="I1803" s="17" t="str">
        <f aca="false">IF(E1803="","",IF(H1803&lt;0,IF(LEFT(A1803,1)="Q","Périmé (en quarantaine)","PÉRIMÉ → déplacer en zone Q"),IF(H1803&lt;3,"Péremption &lt; 3 mois",IF(H1803&lt;6,"Péremption &lt; 6 mois",""))))</f>
        <v/>
      </c>
      <c r="J1803" s="17" t="str">
        <f aca="false">IF(A1803="","",IF(COUNTIF(Emplacements!$A$2:$A$1001,A1803)=0,"⚠ emplacement inconnu","OK"))</f>
        <v/>
      </c>
      <c r="K1803" s="22" t="str">
        <f aca="false">IF(AND(B1803&lt;&gt;"",ISNUMBER(SEARCH(Recherche!$C$3,C1803&amp;" "&amp;B1803&amp;" "&amp;A1803&amp;" "&amp;D1803))),MAX($K$1:K1802)+1,"")</f>
        <v/>
      </c>
    </row>
    <row r="1804" customFormat="false" ht="15" hidden="false" customHeight="false" outlineLevel="0" collapsed="false">
      <c r="A1804" s="12"/>
      <c r="B1804" s="12"/>
      <c r="C1804" s="17" t="str">
        <f aca="false">IF(B1804="","",IFERROR(INDEX(Produits!$F$2:$F$1001,MATCH(B1804,Produits!$A$2:$A$1001,0)),"⚠ code article inconnu"))</f>
        <v/>
      </c>
      <c r="D1804" s="12"/>
      <c r="E1804" s="23"/>
      <c r="F1804" s="24"/>
      <c r="G1804" s="23"/>
      <c r="H1804" s="21" t="str">
        <f aca="true">IF(E1804="","",ROUND((E1804-TODAY())/30.4,1))</f>
        <v/>
      </c>
      <c r="I1804" s="17" t="str">
        <f aca="false">IF(E1804="","",IF(H1804&lt;0,IF(LEFT(A1804,1)="Q","Périmé (en quarantaine)","PÉRIMÉ → déplacer en zone Q"),IF(H1804&lt;3,"Péremption &lt; 3 mois",IF(H1804&lt;6,"Péremption &lt; 6 mois",""))))</f>
        <v/>
      </c>
      <c r="J1804" s="17" t="str">
        <f aca="false">IF(A1804="","",IF(COUNTIF(Emplacements!$A$2:$A$1001,A1804)=0,"⚠ emplacement inconnu","OK"))</f>
        <v/>
      </c>
      <c r="K1804" s="22" t="str">
        <f aca="false">IF(AND(B1804&lt;&gt;"",ISNUMBER(SEARCH(Recherche!$C$3,C1804&amp;" "&amp;B1804&amp;" "&amp;A1804&amp;" "&amp;D1804))),MAX($K$1:K1803)+1,"")</f>
        <v/>
      </c>
    </row>
    <row r="1805" customFormat="false" ht="15" hidden="false" customHeight="false" outlineLevel="0" collapsed="false">
      <c r="A1805" s="12"/>
      <c r="B1805" s="12"/>
      <c r="C1805" s="17" t="str">
        <f aca="false">IF(B1805="","",IFERROR(INDEX(Produits!$F$2:$F$1001,MATCH(B1805,Produits!$A$2:$A$1001,0)),"⚠ code article inconnu"))</f>
        <v/>
      </c>
      <c r="D1805" s="12"/>
      <c r="E1805" s="23"/>
      <c r="F1805" s="24"/>
      <c r="G1805" s="23"/>
      <c r="H1805" s="21" t="str">
        <f aca="true">IF(E1805="","",ROUND((E1805-TODAY())/30.4,1))</f>
        <v/>
      </c>
      <c r="I1805" s="17" t="str">
        <f aca="false">IF(E1805="","",IF(H1805&lt;0,IF(LEFT(A1805,1)="Q","Périmé (en quarantaine)","PÉRIMÉ → déplacer en zone Q"),IF(H1805&lt;3,"Péremption &lt; 3 mois",IF(H1805&lt;6,"Péremption &lt; 6 mois",""))))</f>
        <v/>
      </c>
      <c r="J1805" s="17" t="str">
        <f aca="false">IF(A1805="","",IF(COUNTIF(Emplacements!$A$2:$A$1001,A1805)=0,"⚠ emplacement inconnu","OK"))</f>
        <v/>
      </c>
      <c r="K1805" s="22" t="str">
        <f aca="false">IF(AND(B1805&lt;&gt;"",ISNUMBER(SEARCH(Recherche!$C$3,C1805&amp;" "&amp;B1805&amp;" "&amp;A1805&amp;" "&amp;D1805))),MAX($K$1:K1804)+1,"")</f>
        <v/>
      </c>
    </row>
    <row r="1806" customFormat="false" ht="15" hidden="false" customHeight="false" outlineLevel="0" collapsed="false">
      <c r="A1806" s="12"/>
      <c r="B1806" s="12"/>
      <c r="C1806" s="17" t="str">
        <f aca="false">IF(B1806="","",IFERROR(INDEX(Produits!$F$2:$F$1001,MATCH(B1806,Produits!$A$2:$A$1001,0)),"⚠ code article inconnu"))</f>
        <v/>
      </c>
      <c r="D1806" s="12"/>
      <c r="E1806" s="23"/>
      <c r="F1806" s="24"/>
      <c r="G1806" s="23"/>
      <c r="H1806" s="21" t="str">
        <f aca="true">IF(E1806="","",ROUND((E1806-TODAY())/30.4,1))</f>
        <v/>
      </c>
      <c r="I1806" s="17" t="str">
        <f aca="false">IF(E1806="","",IF(H1806&lt;0,IF(LEFT(A1806,1)="Q","Périmé (en quarantaine)","PÉRIMÉ → déplacer en zone Q"),IF(H1806&lt;3,"Péremption &lt; 3 mois",IF(H1806&lt;6,"Péremption &lt; 6 mois",""))))</f>
        <v/>
      </c>
      <c r="J1806" s="17" t="str">
        <f aca="false">IF(A1806="","",IF(COUNTIF(Emplacements!$A$2:$A$1001,A1806)=0,"⚠ emplacement inconnu","OK"))</f>
        <v/>
      </c>
      <c r="K1806" s="22" t="str">
        <f aca="false">IF(AND(B1806&lt;&gt;"",ISNUMBER(SEARCH(Recherche!$C$3,C1806&amp;" "&amp;B1806&amp;" "&amp;A1806&amp;" "&amp;D1806))),MAX($K$1:K1805)+1,"")</f>
        <v/>
      </c>
    </row>
    <row r="1807" customFormat="false" ht="15" hidden="false" customHeight="false" outlineLevel="0" collapsed="false">
      <c r="A1807" s="12"/>
      <c r="B1807" s="12"/>
      <c r="C1807" s="17" t="str">
        <f aca="false">IF(B1807="","",IFERROR(INDEX(Produits!$F$2:$F$1001,MATCH(B1807,Produits!$A$2:$A$1001,0)),"⚠ code article inconnu"))</f>
        <v/>
      </c>
      <c r="D1807" s="12"/>
      <c r="E1807" s="23"/>
      <c r="F1807" s="24"/>
      <c r="G1807" s="23"/>
      <c r="H1807" s="21" t="str">
        <f aca="true">IF(E1807="","",ROUND((E1807-TODAY())/30.4,1))</f>
        <v/>
      </c>
      <c r="I1807" s="17" t="str">
        <f aca="false">IF(E1807="","",IF(H1807&lt;0,IF(LEFT(A1807,1)="Q","Périmé (en quarantaine)","PÉRIMÉ → déplacer en zone Q"),IF(H1807&lt;3,"Péremption &lt; 3 mois",IF(H1807&lt;6,"Péremption &lt; 6 mois",""))))</f>
        <v/>
      </c>
      <c r="J1807" s="17" t="str">
        <f aca="false">IF(A1807="","",IF(COUNTIF(Emplacements!$A$2:$A$1001,A1807)=0,"⚠ emplacement inconnu","OK"))</f>
        <v/>
      </c>
      <c r="K1807" s="22" t="str">
        <f aca="false">IF(AND(B1807&lt;&gt;"",ISNUMBER(SEARCH(Recherche!$C$3,C1807&amp;" "&amp;B1807&amp;" "&amp;A1807&amp;" "&amp;D1807))),MAX($K$1:K1806)+1,"")</f>
        <v/>
      </c>
    </row>
    <row r="1808" customFormat="false" ht="15" hidden="false" customHeight="false" outlineLevel="0" collapsed="false">
      <c r="A1808" s="12"/>
      <c r="B1808" s="12"/>
      <c r="C1808" s="17" t="str">
        <f aca="false">IF(B1808="","",IFERROR(INDEX(Produits!$F$2:$F$1001,MATCH(B1808,Produits!$A$2:$A$1001,0)),"⚠ code article inconnu"))</f>
        <v/>
      </c>
      <c r="D1808" s="12"/>
      <c r="E1808" s="23"/>
      <c r="F1808" s="24"/>
      <c r="G1808" s="23"/>
      <c r="H1808" s="21" t="str">
        <f aca="true">IF(E1808="","",ROUND((E1808-TODAY())/30.4,1))</f>
        <v/>
      </c>
      <c r="I1808" s="17" t="str">
        <f aca="false">IF(E1808="","",IF(H1808&lt;0,IF(LEFT(A1808,1)="Q","Périmé (en quarantaine)","PÉRIMÉ → déplacer en zone Q"),IF(H1808&lt;3,"Péremption &lt; 3 mois",IF(H1808&lt;6,"Péremption &lt; 6 mois",""))))</f>
        <v/>
      </c>
      <c r="J1808" s="17" t="str">
        <f aca="false">IF(A1808="","",IF(COUNTIF(Emplacements!$A$2:$A$1001,A1808)=0,"⚠ emplacement inconnu","OK"))</f>
        <v/>
      </c>
      <c r="K1808" s="22" t="str">
        <f aca="false">IF(AND(B1808&lt;&gt;"",ISNUMBER(SEARCH(Recherche!$C$3,C1808&amp;" "&amp;B1808&amp;" "&amp;A1808&amp;" "&amp;D1808))),MAX($K$1:K1807)+1,"")</f>
        <v/>
      </c>
    </row>
    <row r="1809" customFormat="false" ht="15" hidden="false" customHeight="false" outlineLevel="0" collapsed="false">
      <c r="A1809" s="12"/>
      <c r="B1809" s="12"/>
      <c r="C1809" s="17" t="str">
        <f aca="false">IF(B1809="","",IFERROR(INDEX(Produits!$F$2:$F$1001,MATCH(B1809,Produits!$A$2:$A$1001,0)),"⚠ code article inconnu"))</f>
        <v/>
      </c>
      <c r="D1809" s="12"/>
      <c r="E1809" s="23"/>
      <c r="F1809" s="24"/>
      <c r="G1809" s="23"/>
      <c r="H1809" s="21" t="str">
        <f aca="true">IF(E1809="","",ROUND((E1809-TODAY())/30.4,1))</f>
        <v/>
      </c>
      <c r="I1809" s="17" t="str">
        <f aca="false">IF(E1809="","",IF(H1809&lt;0,IF(LEFT(A1809,1)="Q","Périmé (en quarantaine)","PÉRIMÉ → déplacer en zone Q"),IF(H1809&lt;3,"Péremption &lt; 3 mois",IF(H1809&lt;6,"Péremption &lt; 6 mois",""))))</f>
        <v/>
      </c>
      <c r="J1809" s="17" t="str">
        <f aca="false">IF(A1809="","",IF(COUNTIF(Emplacements!$A$2:$A$1001,A1809)=0,"⚠ emplacement inconnu","OK"))</f>
        <v/>
      </c>
      <c r="K1809" s="22" t="str">
        <f aca="false">IF(AND(B1809&lt;&gt;"",ISNUMBER(SEARCH(Recherche!$C$3,C1809&amp;" "&amp;B1809&amp;" "&amp;A1809&amp;" "&amp;D1809))),MAX($K$1:K1808)+1,"")</f>
        <v/>
      </c>
    </row>
    <row r="1810" customFormat="false" ht="15" hidden="false" customHeight="false" outlineLevel="0" collapsed="false">
      <c r="A1810" s="12"/>
      <c r="B1810" s="12"/>
      <c r="C1810" s="17" t="str">
        <f aca="false">IF(B1810="","",IFERROR(INDEX(Produits!$F$2:$F$1001,MATCH(B1810,Produits!$A$2:$A$1001,0)),"⚠ code article inconnu"))</f>
        <v/>
      </c>
      <c r="D1810" s="12"/>
      <c r="E1810" s="23"/>
      <c r="F1810" s="24"/>
      <c r="G1810" s="23"/>
      <c r="H1810" s="21" t="str">
        <f aca="true">IF(E1810="","",ROUND((E1810-TODAY())/30.4,1))</f>
        <v/>
      </c>
      <c r="I1810" s="17" t="str">
        <f aca="false">IF(E1810="","",IF(H1810&lt;0,IF(LEFT(A1810,1)="Q","Périmé (en quarantaine)","PÉRIMÉ → déplacer en zone Q"),IF(H1810&lt;3,"Péremption &lt; 3 mois",IF(H1810&lt;6,"Péremption &lt; 6 mois",""))))</f>
        <v/>
      </c>
      <c r="J1810" s="17" t="str">
        <f aca="false">IF(A1810="","",IF(COUNTIF(Emplacements!$A$2:$A$1001,A1810)=0,"⚠ emplacement inconnu","OK"))</f>
        <v/>
      </c>
      <c r="K1810" s="22" t="str">
        <f aca="false">IF(AND(B1810&lt;&gt;"",ISNUMBER(SEARCH(Recherche!$C$3,C1810&amp;" "&amp;B1810&amp;" "&amp;A1810&amp;" "&amp;D1810))),MAX($K$1:K1809)+1,"")</f>
        <v/>
      </c>
    </row>
    <row r="1811" customFormat="false" ht="15" hidden="false" customHeight="false" outlineLevel="0" collapsed="false">
      <c r="A1811" s="12"/>
      <c r="B1811" s="12"/>
      <c r="C1811" s="17" t="str">
        <f aca="false">IF(B1811="","",IFERROR(INDEX(Produits!$F$2:$F$1001,MATCH(B1811,Produits!$A$2:$A$1001,0)),"⚠ code article inconnu"))</f>
        <v/>
      </c>
      <c r="D1811" s="12"/>
      <c r="E1811" s="23"/>
      <c r="F1811" s="24"/>
      <c r="G1811" s="23"/>
      <c r="H1811" s="21" t="str">
        <f aca="true">IF(E1811="","",ROUND((E1811-TODAY())/30.4,1))</f>
        <v/>
      </c>
      <c r="I1811" s="17" t="str">
        <f aca="false">IF(E1811="","",IF(H1811&lt;0,IF(LEFT(A1811,1)="Q","Périmé (en quarantaine)","PÉRIMÉ → déplacer en zone Q"),IF(H1811&lt;3,"Péremption &lt; 3 mois",IF(H1811&lt;6,"Péremption &lt; 6 mois",""))))</f>
        <v/>
      </c>
      <c r="J1811" s="17" t="str">
        <f aca="false">IF(A1811="","",IF(COUNTIF(Emplacements!$A$2:$A$1001,A1811)=0,"⚠ emplacement inconnu","OK"))</f>
        <v/>
      </c>
      <c r="K1811" s="22" t="str">
        <f aca="false">IF(AND(B1811&lt;&gt;"",ISNUMBER(SEARCH(Recherche!$C$3,C1811&amp;" "&amp;B1811&amp;" "&amp;A1811&amp;" "&amp;D1811))),MAX($K$1:K1810)+1,"")</f>
        <v/>
      </c>
    </row>
    <row r="1812" customFormat="false" ht="15" hidden="false" customHeight="false" outlineLevel="0" collapsed="false">
      <c r="A1812" s="12"/>
      <c r="B1812" s="12"/>
      <c r="C1812" s="17" t="str">
        <f aca="false">IF(B1812="","",IFERROR(INDEX(Produits!$F$2:$F$1001,MATCH(B1812,Produits!$A$2:$A$1001,0)),"⚠ code article inconnu"))</f>
        <v/>
      </c>
      <c r="D1812" s="12"/>
      <c r="E1812" s="23"/>
      <c r="F1812" s="24"/>
      <c r="G1812" s="23"/>
      <c r="H1812" s="21" t="str">
        <f aca="true">IF(E1812="","",ROUND((E1812-TODAY())/30.4,1))</f>
        <v/>
      </c>
      <c r="I1812" s="17" t="str">
        <f aca="false">IF(E1812="","",IF(H1812&lt;0,IF(LEFT(A1812,1)="Q","Périmé (en quarantaine)","PÉRIMÉ → déplacer en zone Q"),IF(H1812&lt;3,"Péremption &lt; 3 mois",IF(H1812&lt;6,"Péremption &lt; 6 mois",""))))</f>
        <v/>
      </c>
      <c r="J1812" s="17" t="str">
        <f aca="false">IF(A1812="","",IF(COUNTIF(Emplacements!$A$2:$A$1001,A1812)=0,"⚠ emplacement inconnu","OK"))</f>
        <v/>
      </c>
      <c r="K1812" s="22" t="str">
        <f aca="false">IF(AND(B1812&lt;&gt;"",ISNUMBER(SEARCH(Recherche!$C$3,C1812&amp;" "&amp;B1812&amp;" "&amp;A1812&amp;" "&amp;D1812))),MAX($K$1:K1811)+1,"")</f>
        <v/>
      </c>
    </row>
    <row r="1813" customFormat="false" ht="15" hidden="false" customHeight="false" outlineLevel="0" collapsed="false">
      <c r="A1813" s="12"/>
      <c r="B1813" s="12"/>
      <c r="C1813" s="17" t="str">
        <f aca="false">IF(B1813="","",IFERROR(INDEX(Produits!$F$2:$F$1001,MATCH(B1813,Produits!$A$2:$A$1001,0)),"⚠ code article inconnu"))</f>
        <v/>
      </c>
      <c r="D1813" s="12"/>
      <c r="E1813" s="23"/>
      <c r="F1813" s="24"/>
      <c r="G1813" s="23"/>
      <c r="H1813" s="21" t="str">
        <f aca="true">IF(E1813="","",ROUND((E1813-TODAY())/30.4,1))</f>
        <v/>
      </c>
      <c r="I1813" s="17" t="str">
        <f aca="false">IF(E1813="","",IF(H1813&lt;0,IF(LEFT(A1813,1)="Q","Périmé (en quarantaine)","PÉRIMÉ → déplacer en zone Q"),IF(H1813&lt;3,"Péremption &lt; 3 mois",IF(H1813&lt;6,"Péremption &lt; 6 mois",""))))</f>
        <v/>
      </c>
      <c r="J1813" s="17" t="str">
        <f aca="false">IF(A1813="","",IF(COUNTIF(Emplacements!$A$2:$A$1001,A1813)=0,"⚠ emplacement inconnu","OK"))</f>
        <v/>
      </c>
      <c r="K1813" s="22" t="str">
        <f aca="false">IF(AND(B1813&lt;&gt;"",ISNUMBER(SEARCH(Recherche!$C$3,C1813&amp;" "&amp;B1813&amp;" "&amp;A1813&amp;" "&amp;D1813))),MAX($K$1:K1812)+1,"")</f>
        <v/>
      </c>
    </row>
    <row r="1814" customFormat="false" ht="15" hidden="false" customHeight="false" outlineLevel="0" collapsed="false">
      <c r="A1814" s="12"/>
      <c r="B1814" s="12"/>
      <c r="C1814" s="17" t="str">
        <f aca="false">IF(B1814="","",IFERROR(INDEX(Produits!$F$2:$F$1001,MATCH(B1814,Produits!$A$2:$A$1001,0)),"⚠ code article inconnu"))</f>
        <v/>
      </c>
      <c r="D1814" s="12"/>
      <c r="E1814" s="23"/>
      <c r="F1814" s="24"/>
      <c r="G1814" s="23"/>
      <c r="H1814" s="21" t="str">
        <f aca="true">IF(E1814="","",ROUND((E1814-TODAY())/30.4,1))</f>
        <v/>
      </c>
      <c r="I1814" s="17" t="str">
        <f aca="false">IF(E1814="","",IF(H1814&lt;0,IF(LEFT(A1814,1)="Q","Périmé (en quarantaine)","PÉRIMÉ → déplacer en zone Q"),IF(H1814&lt;3,"Péremption &lt; 3 mois",IF(H1814&lt;6,"Péremption &lt; 6 mois",""))))</f>
        <v/>
      </c>
      <c r="J1814" s="17" t="str">
        <f aca="false">IF(A1814="","",IF(COUNTIF(Emplacements!$A$2:$A$1001,A1814)=0,"⚠ emplacement inconnu","OK"))</f>
        <v/>
      </c>
      <c r="K1814" s="22" t="str">
        <f aca="false">IF(AND(B1814&lt;&gt;"",ISNUMBER(SEARCH(Recherche!$C$3,C1814&amp;" "&amp;B1814&amp;" "&amp;A1814&amp;" "&amp;D1814))),MAX($K$1:K1813)+1,"")</f>
        <v/>
      </c>
    </row>
    <row r="1815" customFormat="false" ht="15" hidden="false" customHeight="false" outlineLevel="0" collapsed="false">
      <c r="A1815" s="12"/>
      <c r="B1815" s="12"/>
      <c r="C1815" s="17" t="str">
        <f aca="false">IF(B1815="","",IFERROR(INDEX(Produits!$F$2:$F$1001,MATCH(B1815,Produits!$A$2:$A$1001,0)),"⚠ code article inconnu"))</f>
        <v/>
      </c>
      <c r="D1815" s="12"/>
      <c r="E1815" s="23"/>
      <c r="F1815" s="24"/>
      <c r="G1815" s="23"/>
      <c r="H1815" s="21" t="str">
        <f aca="true">IF(E1815="","",ROUND((E1815-TODAY())/30.4,1))</f>
        <v/>
      </c>
      <c r="I1815" s="17" t="str">
        <f aca="false">IF(E1815="","",IF(H1815&lt;0,IF(LEFT(A1815,1)="Q","Périmé (en quarantaine)","PÉRIMÉ → déplacer en zone Q"),IF(H1815&lt;3,"Péremption &lt; 3 mois",IF(H1815&lt;6,"Péremption &lt; 6 mois",""))))</f>
        <v/>
      </c>
      <c r="J1815" s="17" t="str">
        <f aca="false">IF(A1815="","",IF(COUNTIF(Emplacements!$A$2:$A$1001,A1815)=0,"⚠ emplacement inconnu","OK"))</f>
        <v/>
      </c>
      <c r="K1815" s="22" t="str">
        <f aca="false">IF(AND(B1815&lt;&gt;"",ISNUMBER(SEARCH(Recherche!$C$3,C1815&amp;" "&amp;B1815&amp;" "&amp;A1815&amp;" "&amp;D1815))),MAX($K$1:K1814)+1,"")</f>
        <v/>
      </c>
    </row>
    <row r="1816" customFormat="false" ht="15" hidden="false" customHeight="false" outlineLevel="0" collapsed="false">
      <c r="A1816" s="12"/>
      <c r="B1816" s="12"/>
      <c r="C1816" s="17" t="str">
        <f aca="false">IF(B1816="","",IFERROR(INDEX(Produits!$F$2:$F$1001,MATCH(B1816,Produits!$A$2:$A$1001,0)),"⚠ code article inconnu"))</f>
        <v/>
      </c>
      <c r="D1816" s="12"/>
      <c r="E1816" s="23"/>
      <c r="F1816" s="24"/>
      <c r="G1816" s="23"/>
      <c r="H1816" s="21" t="str">
        <f aca="true">IF(E1816="","",ROUND((E1816-TODAY())/30.4,1))</f>
        <v/>
      </c>
      <c r="I1816" s="17" t="str">
        <f aca="false">IF(E1816="","",IF(H1816&lt;0,IF(LEFT(A1816,1)="Q","Périmé (en quarantaine)","PÉRIMÉ → déplacer en zone Q"),IF(H1816&lt;3,"Péremption &lt; 3 mois",IF(H1816&lt;6,"Péremption &lt; 6 mois",""))))</f>
        <v/>
      </c>
      <c r="J1816" s="17" t="str">
        <f aca="false">IF(A1816="","",IF(COUNTIF(Emplacements!$A$2:$A$1001,A1816)=0,"⚠ emplacement inconnu","OK"))</f>
        <v/>
      </c>
      <c r="K1816" s="22" t="str">
        <f aca="false">IF(AND(B1816&lt;&gt;"",ISNUMBER(SEARCH(Recherche!$C$3,C1816&amp;" "&amp;B1816&amp;" "&amp;A1816&amp;" "&amp;D1816))),MAX($K$1:K1815)+1,"")</f>
        <v/>
      </c>
    </row>
    <row r="1817" customFormat="false" ht="15" hidden="false" customHeight="false" outlineLevel="0" collapsed="false">
      <c r="A1817" s="12"/>
      <c r="B1817" s="12"/>
      <c r="C1817" s="17" t="str">
        <f aca="false">IF(B1817="","",IFERROR(INDEX(Produits!$F$2:$F$1001,MATCH(B1817,Produits!$A$2:$A$1001,0)),"⚠ code article inconnu"))</f>
        <v/>
      </c>
      <c r="D1817" s="12"/>
      <c r="E1817" s="23"/>
      <c r="F1817" s="24"/>
      <c r="G1817" s="23"/>
      <c r="H1817" s="21" t="str">
        <f aca="true">IF(E1817="","",ROUND((E1817-TODAY())/30.4,1))</f>
        <v/>
      </c>
      <c r="I1817" s="17" t="str">
        <f aca="false">IF(E1817="","",IF(H1817&lt;0,IF(LEFT(A1817,1)="Q","Périmé (en quarantaine)","PÉRIMÉ → déplacer en zone Q"),IF(H1817&lt;3,"Péremption &lt; 3 mois",IF(H1817&lt;6,"Péremption &lt; 6 mois",""))))</f>
        <v/>
      </c>
      <c r="J1817" s="17" t="str">
        <f aca="false">IF(A1817="","",IF(COUNTIF(Emplacements!$A$2:$A$1001,A1817)=0,"⚠ emplacement inconnu","OK"))</f>
        <v/>
      </c>
      <c r="K1817" s="22" t="str">
        <f aca="false">IF(AND(B1817&lt;&gt;"",ISNUMBER(SEARCH(Recherche!$C$3,C1817&amp;" "&amp;B1817&amp;" "&amp;A1817&amp;" "&amp;D1817))),MAX($K$1:K1816)+1,"")</f>
        <v/>
      </c>
    </row>
    <row r="1818" customFormat="false" ht="15" hidden="false" customHeight="false" outlineLevel="0" collapsed="false">
      <c r="A1818" s="12"/>
      <c r="B1818" s="12"/>
      <c r="C1818" s="17" t="str">
        <f aca="false">IF(B1818="","",IFERROR(INDEX(Produits!$F$2:$F$1001,MATCH(B1818,Produits!$A$2:$A$1001,0)),"⚠ code article inconnu"))</f>
        <v/>
      </c>
      <c r="D1818" s="12"/>
      <c r="E1818" s="23"/>
      <c r="F1818" s="24"/>
      <c r="G1818" s="23"/>
      <c r="H1818" s="21" t="str">
        <f aca="true">IF(E1818="","",ROUND((E1818-TODAY())/30.4,1))</f>
        <v/>
      </c>
      <c r="I1818" s="17" t="str">
        <f aca="false">IF(E1818="","",IF(H1818&lt;0,IF(LEFT(A1818,1)="Q","Périmé (en quarantaine)","PÉRIMÉ → déplacer en zone Q"),IF(H1818&lt;3,"Péremption &lt; 3 mois",IF(H1818&lt;6,"Péremption &lt; 6 mois",""))))</f>
        <v/>
      </c>
      <c r="J1818" s="17" t="str">
        <f aca="false">IF(A1818="","",IF(COUNTIF(Emplacements!$A$2:$A$1001,A1818)=0,"⚠ emplacement inconnu","OK"))</f>
        <v/>
      </c>
      <c r="K1818" s="22" t="str">
        <f aca="false">IF(AND(B1818&lt;&gt;"",ISNUMBER(SEARCH(Recherche!$C$3,C1818&amp;" "&amp;B1818&amp;" "&amp;A1818&amp;" "&amp;D1818))),MAX($K$1:K1817)+1,"")</f>
        <v/>
      </c>
    </row>
    <row r="1819" customFormat="false" ht="15" hidden="false" customHeight="false" outlineLevel="0" collapsed="false">
      <c r="A1819" s="12"/>
      <c r="B1819" s="12"/>
      <c r="C1819" s="17" t="str">
        <f aca="false">IF(B1819="","",IFERROR(INDEX(Produits!$F$2:$F$1001,MATCH(B1819,Produits!$A$2:$A$1001,0)),"⚠ code article inconnu"))</f>
        <v/>
      </c>
      <c r="D1819" s="12"/>
      <c r="E1819" s="23"/>
      <c r="F1819" s="24"/>
      <c r="G1819" s="23"/>
      <c r="H1819" s="21" t="str">
        <f aca="true">IF(E1819="","",ROUND((E1819-TODAY())/30.4,1))</f>
        <v/>
      </c>
      <c r="I1819" s="17" t="str">
        <f aca="false">IF(E1819="","",IF(H1819&lt;0,IF(LEFT(A1819,1)="Q","Périmé (en quarantaine)","PÉRIMÉ → déplacer en zone Q"),IF(H1819&lt;3,"Péremption &lt; 3 mois",IF(H1819&lt;6,"Péremption &lt; 6 mois",""))))</f>
        <v/>
      </c>
      <c r="J1819" s="17" t="str">
        <f aca="false">IF(A1819="","",IF(COUNTIF(Emplacements!$A$2:$A$1001,A1819)=0,"⚠ emplacement inconnu","OK"))</f>
        <v/>
      </c>
      <c r="K1819" s="22" t="str">
        <f aca="false">IF(AND(B1819&lt;&gt;"",ISNUMBER(SEARCH(Recherche!$C$3,C1819&amp;" "&amp;B1819&amp;" "&amp;A1819&amp;" "&amp;D1819))),MAX($K$1:K1818)+1,"")</f>
        <v/>
      </c>
    </row>
    <row r="1820" customFormat="false" ht="15" hidden="false" customHeight="false" outlineLevel="0" collapsed="false">
      <c r="A1820" s="12"/>
      <c r="B1820" s="12"/>
      <c r="C1820" s="17" t="str">
        <f aca="false">IF(B1820="","",IFERROR(INDEX(Produits!$F$2:$F$1001,MATCH(B1820,Produits!$A$2:$A$1001,0)),"⚠ code article inconnu"))</f>
        <v/>
      </c>
      <c r="D1820" s="12"/>
      <c r="E1820" s="23"/>
      <c r="F1820" s="24"/>
      <c r="G1820" s="23"/>
      <c r="H1820" s="21" t="str">
        <f aca="true">IF(E1820="","",ROUND((E1820-TODAY())/30.4,1))</f>
        <v/>
      </c>
      <c r="I1820" s="17" t="str">
        <f aca="false">IF(E1820="","",IF(H1820&lt;0,IF(LEFT(A1820,1)="Q","Périmé (en quarantaine)","PÉRIMÉ → déplacer en zone Q"),IF(H1820&lt;3,"Péremption &lt; 3 mois",IF(H1820&lt;6,"Péremption &lt; 6 mois",""))))</f>
        <v/>
      </c>
      <c r="J1820" s="17" t="str">
        <f aca="false">IF(A1820="","",IF(COUNTIF(Emplacements!$A$2:$A$1001,A1820)=0,"⚠ emplacement inconnu","OK"))</f>
        <v/>
      </c>
      <c r="K1820" s="22" t="str">
        <f aca="false">IF(AND(B1820&lt;&gt;"",ISNUMBER(SEARCH(Recherche!$C$3,C1820&amp;" "&amp;B1820&amp;" "&amp;A1820&amp;" "&amp;D1820))),MAX($K$1:K1819)+1,"")</f>
        <v/>
      </c>
    </row>
    <row r="1821" customFormat="false" ht="15" hidden="false" customHeight="false" outlineLevel="0" collapsed="false">
      <c r="A1821" s="12"/>
      <c r="B1821" s="12"/>
      <c r="C1821" s="17" t="str">
        <f aca="false">IF(B1821="","",IFERROR(INDEX(Produits!$F$2:$F$1001,MATCH(B1821,Produits!$A$2:$A$1001,0)),"⚠ code article inconnu"))</f>
        <v/>
      </c>
      <c r="D1821" s="12"/>
      <c r="E1821" s="23"/>
      <c r="F1821" s="24"/>
      <c r="G1821" s="23"/>
      <c r="H1821" s="21" t="str">
        <f aca="true">IF(E1821="","",ROUND((E1821-TODAY())/30.4,1))</f>
        <v/>
      </c>
      <c r="I1821" s="17" t="str">
        <f aca="false">IF(E1821="","",IF(H1821&lt;0,IF(LEFT(A1821,1)="Q","Périmé (en quarantaine)","PÉRIMÉ → déplacer en zone Q"),IF(H1821&lt;3,"Péremption &lt; 3 mois",IF(H1821&lt;6,"Péremption &lt; 6 mois",""))))</f>
        <v/>
      </c>
      <c r="J1821" s="17" t="str">
        <f aca="false">IF(A1821="","",IF(COUNTIF(Emplacements!$A$2:$A$1001,A1821)=0,"⚠ emplacement inconnu","OK"))</f>
        <v/>
      </c>
      <c r="K1821" s="22" t="str">
        <f aca="false">IF(AND(B1821&lt;&gt;"",ISNUMBER(SEARCH(Recherche!$C$3,C1821&amp;" "&amp;B1821&amp;" "&amp;A1821&amp;" "&amp;D1821))),MAX($K$1:K1820)+1,"")</f>
        <v/>
      </c>
    </row>
    <row r="1822" customFormat="false" ht="15" hidden="false" customHeight="false" outlineLevel="0" collapsed="false">
      <c r="A1822" s="12"/>
      <c r="B1822" s="12"/>
      <c r="C1822" s="17" t="str">
        <f aca="false">IF(B1822="","",IFERROR(INDEX(Produits!$F$2:$F$1001,MATCH(B1822,Produits!$A$2:$A$1001,0)),"⚠ code article inconnu"))</f>
        <v/>
      </c>
      <c r="D1822" s="12"/>
      <c r="E1822" s="23"/>
      <c r="F1822" s="24"/>
      <c r="G1822" s="23"/>
      <c r="H1822" s="21" t="str">
        <f aca="true">IF(E1822="","",ROUND((E1822-TODAY())/30.4,1))</f>
        <v/>
      </c>
      <c r="I1822" s="17" t="str">
        <f aca="false">IF(E1822="","",IF(H1822&lt;0,IF(LEFT(A1822,1)="Q","Périmé (en quarantaine)","PÉRIMÉ → déplacer en zone Q"),IF(H1822&lt;3,"Péremption &lt; 3 mois",IF(H1822&lt;6,"Péremption &lt; 6 mois",""))))</f>
        <v/>
      </c>
      <c r="J1822" s="17" t="str">
        <f aca="false">IF(A1822="","",IF(COUNTIF(Emplacements!$A$2:$A$1001,A1822)=0,"⚠ emplacement inconnu","OK"))</f>
        <v/>
      </c>
      <c r="K1822" s="22" t="str">
        <f aca="false">IF(AND(B1822&lt;&gt;"",ISNUMBER(SEARCH(Recherche!$C$3,C1822&amp;" "&amp;B1822&amp;" "&amp;A1822&amp;" "&amp;D1822))),MAX($K$1:K1821)+1,"")</f>
        <v/>
      </c>
    </row>
    <row r="1823" customFormat="false" ht="15" hidden="false" customHeight="false" outlineLevel="0" collapsed="false">
      <c r="A1823" s="12"/>
      <c r="B1823" s="12"/>
      <c r="C1823" s="17" t="str">
        <f aca="false">IF(B1823="","",IFERROR(INDEX(Produits!$F$2:$F$1001,MATCH(B1823,Produits!$A$2:$A$1001,0)),"⚠ code article inconnu"))</f>
        <v/>
      </c>
      <c r="D1823" s="12"/>
      <c r="E1823" s="23"/>
      <c r="F1823" s="24"/>
      <c r="G1823" s="23"/>
      <c r="H1823" s="21" t="str">
        <f aca="true">IF(E1823="","",ROUND((E1823-TODAY())/30.4,1))</f>
        <v/>
      </c>
      <c r="I1823" s="17" t="str">
        <f aca="false">IF(E1823="","",IF(H1823&lt;0,IF(LEFT(A1823,1)="Q","Périmé (en quarantaine)","PÉRIMÉ → déplacer en zone Q"),IF(H1823&lt;3,"Péremption &lt; 3 mois",IF(H1823&lt;6,"Péremption &lt; 6 mois",""))))</f>
        <v/>
      </c>
      <c r="J1823" s="17" t="str">
        <f aca="false">IF(A1823="","",IF(COUNTIF(Emplacements!$A$2:$A$1001,A1823)=0,"⚠ emplacement inconnu","OK"))</f>
        <v/>
      </c>
      <c r="K1823" s="22" t="str">
        <f aca="false">IF(AND(B1823&lt;&gt;"",ISNUMBER(SEARCH(Recherche!$C$3,C1823&amp;" "&amp;B1823&amp;" "&amp;A1823&amp;" "&amp;D1823))),MAX($K$1:K1822)+1,"")</f>
        <v/>
      </c>
    </row>
    <row r="1824" customFormat="false" ht="15" hidden="false" customHeight="false" outlineLevel="0" collapsed="false">
      <c r="A1824" s="12"/>
      <c r="B1824" s="12"/>
      <c r="C1824" s="17" t="str">
        <f aca="false">IF(B1824="","",IFERROR(INDEX(Produits!$F$2:$F$1001,MATCH(B1824,Produits!$A$2:$A$1001,0)),"⚠ code article inconnu"))</f>
        <v/>
      </c>
      <c r="D1824" s="12"/>
      <c r="E1824" s="23"/>
      <c r="F1824" s="24"/>
      <c r="G1824" s="23"/>
      <c r="H1824" s="21" t="str">
        <f aca="true">IF(E1824="","",ROUND((E1824-TODAY())/30.4,1))</f>
        <v/>
      </c>
      <c r="I1824" s="17" t="str">
        <f aca="false">IF(E1824="","",IF(H1824&lt;0,IF(LEFT(A1824,1)="Q","Périmé (en quarantaine)","PÉRIMÉ → déplacer en zone Q"),IF(H1824&lt;3,"Péremption &lt; 3 mois",IF(H1824&lt;6,"Péremption &lt; 6 mois",""))))</f>
        <v/>
      </c>
      <c r="J1824" s="17" t="str">
        <f aca="false">IF(A1824="","",IF(COUNTIF(Emplacements!$A$2:$A$1001,A1824)=0,"⚠ emplacement inconnu","OK"))</f>
        <v/>
      </c>
      <c r="K1824" s="22" t="str">
        <f aca="false">IF(AND(B1824&lt;&gt;"",ISNUMBER(SEARCH(Recherche!$C$3,C1824&amp;" "&amp;B1824&amp;" "&amp;A1824&amp;" "&amp;D1824))),MAX($K$1:K1823)+1,"")</f>
        <v/>
      </c>
    </row>
    <row r="1825" customFormat="false" ht="15" hidden="false" customHeight="false" outlineLevel="0" collapsed="false">
      <c r="A1825" s="12"/>
      <c r="B1825" s="12"/>
      <c r="C1825" s="17" t="str">
        <f aca="false">IF(B1825="","",IFERROR(INDEX(Produits!$F$2:$F$1001,MATCH(B1825,Produits!$A$2:$A$1001,0)),"⚠ code article inconnu"))</f>
        <v/>
      </c>
      <c r="D1825" s="12"/>
      <c r="E1825" s="23"/>
      <c r="F1825" s="24"/>
      <c r="G1825" s="23"/>
      <c r="H1825" s="21" t="str">
        <f aca="true">IF(E1825="","",ROUND((E1825-TODAY())/30.4,1))</f>
        <v/>
      </c>
      <c r="I1825" s="17" t="str">
        <f aca="false">IF(E1825="","",IF(H1825&lt;0,IF(LEFT(A1825,1)="Q","Périmé (en quarantaine)","PÉRIMÉ → déplacer en zone Q"),IF(H1825&lt;3,"Péremption &lt; 3 mois",IF(H1825&lt;6,"Péremption &lt; 6 mois",""))))</f>
        <v/>
      </c>
      <c r="J1825" s="17" t="str">
        <f aca="false">IF(A1825="","",IF(COUNTIF(Emplacements!$A$2:$A$1001,A1825)=0,"⚠ emplacement inconnu","OK"))</f>
        <v/>
      </c>
      <c r="K1825" s="22" t="str">
        <f aca="false">IF(AND(B1825&lt;&gt;"",ISNUMBER(SEARCH(Recherche!$C$3,C1825&amp;" "&amp;B1825&amp;" "&amp;A1825&amp;" "&amp;D1825))),MAX($K$1:K1824)+1,"")</f>
        <v/>
      </c>
    </row>
    <row r="1826" customFormat="false" ht="15" hidden="false" customHeight="false" outlineLevel="0" collapsed="false">
      <c r="A1826" s="12"/>
      <c r="B1826" s="12"/>
      <c r="C1826" s="17" t="str">
        <f aca="false">IF(B1826="","",IFERROR(INDEX(Produits!$F$2:$F$1001,MATCH(B1826,Produits!$A$2:$A$1001,0)),"⚠ code article inconnu"))</f>
        <v/>
      </c>
      <c r="D1826" s="12"/>
      <c r="E1826" s="23"/>
      <c r="F1826" s="24"/>
      <c r="G1826" s="23"/>
      <c r="H1826" s="21" t="str">
        <f aca="true">IF(E1826="","",ROUND((E1826-TODAY())/30.4,1))</f>
        <v/>
      </c>
      <c r="I1826" s="17" t="str">
        <f aca="false">IF(E1826="","",IF(H1826&lt;0,IF(LEFT(A1826,1)="Q","Périmé (en quarantaine)","PÉRIMÉ → déplacer en zone Q"),IF(H1826&lt;3,"Péremption &lt; 3 mois",IF(H1826&lt;6,"Péremption &lt; 6 mois",""))))</f>
        <v/>
      </c>
      <c r="J1826" s="17" t="str">
        <f aca="false">IF(A1826="","",IF(COUNTIF(Emplacements!$A$2:$A$1001,A1826)=0,"⚠ emplacement inconnu","OK"))</f>
        <v/>
      </c>
      <c r="K1826" s="22" t="str">
        <f aca="false">IF(AND(B1826&lt;&gt;"",ISNUMBER(SEARCH(Recherche!$C$3,C1826&amp;" "&amp;B1826&amp;" "&amp;A1826&amp;" "&amp;D1826))),MAX($K$1:K1825)+1,"")</f>
        <v/>
      </c>
    </row>
    <row r="1827" customFormat="false" ht="15" hidden="false" customHeight="false" outlineLevel="0" collapsed="false">
      <c r="A1827" s="12"/>
      <c r="B1827" s="12"/>
      <c r="C1827" s="17" t="str">
        <f aca="false">IF(B1827="","",IFERROR(INDEX(Produits!$F$2:$F$1001,MATCH(B1827,Produits!$A$2:$A$1001,0)),"⚠ code article inconnu"))</f>
        <v/>
      </c>
      <c r="D1827" s="12"/>
      <c r="E1827" s="23"/>
      <c r="F1827" s="24"/>
      <c r="G1827" s="23"/>
      <c r="H1827" s="21" t="str">
        <f aca="true">IF(E1827="","",ROUND((E1827-TODAY())/30.4,1))</f>
        <v/>
      </c>
      <c r="I1827" s="17" t="str">
        <f aca="false">IF(E1827="","",IF(H1827&lt;0,IF(LEFT(A1827,1)="Q","Périmé (en quarantaine)","PÉRIMÉ → déplacer en zone Q"),IF(H1827&lt;3,"Péremption &lt; 3 mois",IF(H1827&lt;6,"Péremption &lt; 6 mois",""))))</f>
        <v/>
      </c>
      <c r="J1827" s="17" t="str">
        <f aca="false">IF(A1827="","",IF(COUNTIF(Emplacements!$A$2:$A$1001,A1827)=0,"⚠ emplacement inconnu","OK"))</f>
        <v/>
      </c>
      <c r="K1827" s="22" t="str">
        <f aca="false">IF(AND(B1827&lt;&gt;"",ISNUMBER(SEARCH(Recherche!$C$3,C1827&amp;" "&amp;B1827&amp;" "&amp;A1827&amp;" "&amp;D1827))),MAX($K$1:K1826)+1,"")</f>
        <v/>
      </c>
    </row>
    <row r="1828" customFormat="false" ht="15" hidden="false" customHeight="false" outlineLevel="0" collapsed="false">
      <c r="A1828" s="12"/>
      <c r="B1828" s="12"/>
      <c r="C1828" s="17" t="str">
        <f aca="false">IF(B1828="","",IFERROR(INDEX(Produits!$F$2:$F$1001,MATCH(B1828,Produits!$A$2:$A$1001,0)),"⚠ code article inconnu"))</f>
        <v/>
      </c>
      <c r="D1828" s="12"/>
      <c r="E1828" s="23"/>
      <c r="F1828" s="24"/>
      <c r="G1828" s="23"/>
      <c r="H1828" s="21" t="str">
        <f aca="true">IF(E1828="","",ROUND((E1828-TODAY())/30.4,1))</f>
        <v/>
      </c>
      <c r="I1828" s="17" t="str">
        <f aca="false">IF(E1828="","",IF(H1828&lt;0,IF(LEFT(A1828,1)="Q","Périmé (en quarantaine)","PÉRIMÉ → déplacer en zone Q"),IF(H1828&lt;3,"Péremption &lt; 3 mois",IF(H1828&lt;6,"Péremption &lt; 6 mois",""))))</f>
        <v/>
      </c>
      <c r="J1828" s="17" t="str">
        <f aca="false">IF(A1828="","",IF(COUNTIF(Emplacements!$A$2:$A$1001,A1828)=0,"⚠ emplacement inconnu","OK"))</f>
        <v/>
      </c>
      <c r="K1828" s="22" t="str">
        <f aca="false">IF(AND(B1828&lt;&gt;"",ISNUMBER(SEARCH(Recherche!$C$3,C1828&amp;" "&amp;B1828&amp;" "&amp;A1828&amp;" "&amp;D1828))),MAX($K$1:K1827)+1,"")</f>
        <v/>
      </c>
    </row>
    <row r="1829" customFormat="false" ht="15" hidden="false" customHeight="false" outlineLevel="0" collapsed="false">
      <c r="A1829" s="12"/>
      <c r="B1829" s="12"/>
      <c r="C1829" s="17" t="str">
        <f aca="false">IF(B1829="","",IFERROR(INDEX(Produits!$F$2:$F$1001,MATCH(B1829,Produits!$A$2:$A$1001,0)),"⚠ code article inconnu"))</f>
        <v/>
      </c>
      <c r="D1829" s="12"/>
      <c r="E1829" s="23"/>
      <c r="F1829" s="24"/>
      <c r="G1829" s="23"/>
      <c r="H1829" s="21" t="str">
        <f aca="true">IF(E1829="","",ROUND((E1829-TODAY())/30.4,1))</f>
        <v/>
      </c>
      <c r="I1829" s="17" t="str">
        <f aca="false">IF(E1829="","",IF(H1829&lt;0,IF(LEFT(A1829,1)="Q","Périmé (en quarantaine)","PÉRIMÉ → déplacer en zone Q"),IF(H1829&lt;3,"Péremption &lt; 3 mois",IF(H1829&lt;6,"Péremption &lt; 6 mois",""))))</f>
        <v/>
      </c>
      <c r="J1829" s="17" t="str">
        <f aca="false">IF(A1829="","",IF(COUNTIF(Emplacements!$A$2:$A$1001,A1829)=0,"⚠ emplacement inconnu","OK"))</f>
        <v/>
      </c>
      <c r="K1829" s="22" t="str">
        <f aca="false">IF(AND(B1829&lt;&gt;"",ISNUMBER(SEARCH(Recherche!$C$3,C1829&amp;" "&amp;B1829&amp;" "&amp;A1829&amp;" "&amp;D1829))),MAX($K$1:K1828)+1,"")</f>
        <v/>
      </c>
    </row>
    <row r="1830" customFormat="false" ht="15" hidden="false" customHeight="false" outlineLevel="0" collapsed="false">
      <c r="A1830" s="12"/>
      <c r="B1830" s="12"/>
      <c r="C1830" s="17" t="str">
        <f aca="false">IF(B1830="","",IFERROR(INDEX(Produits!$F$2:$F$1001,MATCH(B1830,Produits!$A$2:$A$1001,0)),"⚠ code article inconnu"))</f>
        <v/>
      </c>
      <c r="D1830" s="12"/>
      <c r="E1830" s="23"/>
      <c r="F1830" s="24"/>
      <c r="G1830" s="23"/>
      <c r="H1830" s="21" t="str">
        <f aca="true">IF(E1830="","",ROUND((E1830-TODAY())/30.4,1))</f>
        <v/>
      </c>
      <c r="I1830" s="17" t="str">
        <f aca="false">IF(E1830="","",IF(H1830&lt;0,IF(LEFT(A1830,1)="Q","Périmé (en quarantaine)","PÉRIMÉ → déplacer en zone Q"),IF(H1830&lt;3,"Péremption &lt; 3 mois",IF(H1830&lt;6,"Péremption &lt; 6 mois",""))))</f>
        <v/>
      </c>
      <c r="J1830" s="17" t="str">
        <f aca="false">IF(A1830="","",IF(COUNTIF(Emplacements!$A$2:$A$1001,A1830)=0,"⚠ emplacement inconnu","OK"))</f>
        <v/>
      </c>
      <c r="K1830" s="22" t="str">
        <f aca="false">IF(AND(B1830&lt;&gt;"",ISNUMBER(SEARCH(Recherche!$C$3,C1830&amp;" "&amp;B1830&amp;" "&amp;A1830&amp;" "&amp;D1830))),MAX($K$1:K1829)+1,"")</f>
        <v/>
      </c>
    </row>
    <row r="1831" customFormat="false" ht="15" hidden="false" customHeight="false" outlineLevel="0" collapsed="false">
      <c r="A1831" s="12"/>
      <c r="B1831" s="12"/>
      <c r="C1831" s="17" t="str">
        <f aca="false">IF(B1831="","",IFERROR(INDEX(Produits!$F$2:$F$1001,MATCH(B1831,Produits!$A$2:$A$1001,0)),"⚠ code article inconnu"))</f>
        <v/>
      </c>
      <c r="D1831" s="12"/>
      <c r="E1831" s="23"/>
      <c r="F1831" s="24"/>
      <c r="G1831" s="23"/>
      <c r="H1831" s="21" t="str">
        <f aca="true">IF(E1831="","",ROUND((E1831-TODAY())/30.4,1))</f>
        <v/>
      </c>
      <c r="I1831" s="17" t="str">
        <f aca="false">IF(E1831="","",IF(H1831&lt;0,IF(LEFT(A1831,1)="Q","Périmé (en quarantaine)","PÉRIMÉ → déplacer en zone Q"),IF(H1831&lt;3,"Péremption &lt; 3 mois",IF(H1831&lt;6,"Péremption &lt; 6 mois",""))))</f>
        <v/>
      </c>
      <c r="J1831" s="17" t="str">
        <f aca="false">IF(A1831="","",IF(COUNTIF(Emplacements!$A$2:$A$1001,A1831)=0,"⚠ emplacement inconnu","OK"))</f>
        <v/>
      </c>
      <c r="K1831" s="22" t="str">
        <f aca="false">IF(AND(B1831&lt;&gt;"",ISNUMBER(SEARCH(Recherche!$C$3,C1831&amp;" "&amp;B1831&amp;" "&amp;A1831&amp;" "&amp;D1831))),MAX($K$1:K1830)+1,"")</f>
        <v/>
      </c>
    </row>
    <row r="1832" customFormat="false" ht="15" hidden="false" customHeight="false" outlineLevel="0" collapsed="false">
      <c r="A1832" s="12"/>
      <c r="B1832" s="12"/>
      <c r="C1832" s="17" t="str">
        <f aca="false">IF(B1832="","",IFERROR(INDEX(Produits!$F$2:$F$1001,MATCH(B1832,Produits!$A$2:$A$1001,0)),"⚠ code article inconnu"))</f>
        <v/>
      </c>
      <c r="D1832" s="12"/>
      <c r="E1832" s="23"/>
      <c r="F1832" s="24"/>
      <c r="G1832" s="23"/>
      <c r="H1832" s="21" t="str">
        <f aca="true">IF(E1832="","",ROUND((E1832-TODAY())/30.4,1))</f>
        <v/>
      </c>
      <c r="I1832" s="17" t="str">
        <f aca="false">IF(E1832="","",IF(H1832&lt;0,IF(LEFT(A1832,1)="Q","Périmé (en quarantaine)","PÉRIMÉ → déplacer en zone Q"),IF(H1832&lt;3,"Péremption &lt; 3 mois",IF(H1832&lt;6,"Péremption &lt; 6 mois",""))))</f>
        <v/>
      </c>
      <c r="J1832" s="17" t="str">
        <f aca="false">IF(A1832="","",IF(COUNTIF(Emplacements!$A$2:$A$1001,A1832)=0,"⚠ emplacement inconnu","OK"))</f>
        <v/>
      </c>
      <c r="K1832" s="22" t="str">
        <f aca="false">IF(AND(B1832&lt;&gt;"",ISNUMBER(SEARCH(Recherche!$C$3,C1832&amp;" "&amp;B1832&amp;" "&amp;A1832&amp;" "&amp;D1832))),MAX($K$1:K1831)+1,"")</f>
        <v/>
      </c>
    </row>
    <row r="1833" customFormat="false" ht="15" hidden="false" customHeight="false" outlineLevel="0" collapsed="false">
      <c r="A1833" s="12"/>
      <c r="B1833" s="12"/>
      <c r="C1833" s="17" t="str">
        <f aca="false">IF(B1833="","",IFERROR(INDEX(Produits!$F$2:$F$1001,MATCH(B1833,Produits!$A$2:$A$1001,0)),"⚠ code article inconnu"))</f>
        <v/>
      </c>
      <c r="D1833" s="12"/>
      <c r="E1833" s="23"/>
      <c r="F1833" s="24"/>
      <c r="G1833" s="23"/>
      <c r="H1833" s="21" t="str">
        <f aca="true">IF(E1833="","",ROUND((E1833-TODAY())/30.4,1))</f>
        <v/>
      </c>
      <c r="I1833" s="17" t="str">
        <f aca="false">IF(E1833="","",IF(H1833&lt;0,IF(LEFT(A1833,1)="Q","Périmé (en quarantaine)","PÉRIMÉ → déplacer en zone Q"),IF(H1833&lt;3,"Péremption &lt; 3 mois",IF(H1833&lt;6,"Péremption &lt; 6 mois",""))))</f>
        <v/>
      </c>
      <c r="J1833" s="17" t="str">
        <f aca="false">IF(A1833="","",IF(COUNTIF(Emplacements!$A$2:$A$1001,A1833)=0,"⚠ emplacement inconnu","OK"))</f>
        <v/>
      </c>
      <c r="K1833" s="22" t="str">
        <f aca="false">IF(AND(B1833&lt;&gt;"",ISNUMBER(SEARCH(Recherche!$C$3,C1833&amp;" "&amp;B1833&amp;" "&amp;A1833&amp;" "&amp;D1833))),MAX($K$1:K1832)+1,"")</f>
        <v/>
      </c>
    </row>
    <row r="1834" customFormat="false" ht="15" hidden="false" customHeight="false" outlineLevel="0" collapsed="false">
      <c r="A1834" s="12"/>
      <c r="B1834" s="12"/>
      <c r="C1834" s="17" t="str">
        <f aca="false">IF(B1834="","",IFERROR(INDEX(Produits!$F$2:$F$1001,MATCH(B1834,Produits!$A$2:$A$1001,0)),"⚠ code article inconnu"))</f>
        <v/>
      </c>
      <c r="D1834" s="12"/>
      <c r="E1834" s="23"/>
      <c r="F1834" s="24"/>
      <c r="G1834" s="23"/>
      <c r="H1834" s="21" t="str">
        <f aca="true">IF(E1834="","",ROUND((E1834-TODAY())/30.4,1))</f>
        <v/>
      </c>
      <c r="I1834" s="17" t="str">
        <f aca="false">IF(E1834="","",IF(H1834&lt;0,IF(LEFT(A1834,1)="Q","Périmé (en quarantaine)","PÉRIMÉ → déplacer en zone Q"),IF(H1834&lt;3,"Péremption &lt; 3 mois",IF(H1834&lt;6,"Péremption &lt; 6 mois",""))))</f>
        <v/>
      </c>
      <c r="J1834" s="17" t="str">
        <f aca="false">IF(A1834="","",IF(COUNTIF(Emplacements!$A$2:$A$1001,A1834)=0,"⚠ emplacement inconnu","OK"))</f>
        <v/>
      </c>
      <c r="K1834" s="22" t="str">
        <f aca="false">IF(AND(B1834&lt;&gt;"",ISNUMBER(SEARCH(Recherche!$C$3,C1834&amp;" "&amp;B1834&amp;" "&amp;A1834&amp;" "&amp;D1834))),MAX($K$1:K1833)+1,"")</f>
        <v/>
      </c>
    </row>
    <row r="1835" customFormat="false" ht="15" hidden="false" customHeight="false" outlineLevel="0" collapsed="false">
      <c r="A1835" s="12"/>
      <c r="B1835" s="12"/>
      <c r="C1835" s="17" t="str">
        <f aca="false">IF(B1835="","",IFERROR(INDEX(Produits!$F$2:$F$1001,MATCH(B1835,Produits!$A$2:$A$1001,0)),"⚠ code article inconnu"))</f>
        <v/>
      </c>
      <c r="D1835" s="12"/>
      <c r="E1835" s="23"/>
      <c r="F1835" s="24"/>
      <c r="G1835" s="23"/>
      <c r="H1835" s="21" t="str">
        <f aca="true">IF(E1835="","",ROUND((E1835-TODAY())/30.4,1))</f>
        <v/>
      </c>
      <c r="I1835" s="17" t="str">
        <f aca="false">IF(E1835="","",IF(H1835&lt;0,IF(LEFT(A1835,1)="Q","Périmé (en quarantaine)","PÉRIMÉ → déplacer en zone Q"),IF(H1835&lt;3,"Péremption &lt; 3 mois",IF(H1835&lt;6,"Péremption &lt; 6 mois",""))))</f>
        <v/>
      </c>
      <c r="J1835" s="17" t="str">
        <f aca="false">IF(A1835="","",IF(COUNTIF(Emplacements!$A$2:$A$1001,A1835)=0,"⚠ emplacement inconnu","OK"))</f>
        <v/>
      </c>
      <c r="K1835" s="22" t="str">
        <f aca="false">IF(AND(B1835&lt;&gt;"",ISNUMBER(SEARCH(Recherche!$C$3,C1835&amp;" "&amp;B1835&amp;" "&amp;A1835&amp;" "&amp;D1835))),MAX($K$1:K1834)+1,"")</f>
        <v/>
      </c>
    </row>
    <row r="1836" customFormat="false" ht="15" hidden="false" customHeight="false" outlineLevel="0" collapsed="false">
      <c r="A1836" s="12"/>
      <c r="B1836" s="12"/>
      <c r="C1836" s="17" t="str">
        <f aca="false">IF(B1836="","",IFERROR(INDEX(Produits!$F$2:$F$1001,MATCH(B1836,Produits!$A$2:$A$1001,0)),"⚠ code article inconnu"))</f>
        <v/>
      </c>
      <c r="D1836" s="12"/>
      <c r="E1836" s="23"/>
      <c r="F1836" s="24"/>
      <c r="G1836" s="23"/>
      <c r="H1836" s="21" t="str">
        <f aca="true">IF(E1836="","",ROUND((E1836-TODAY())/30.4,1))</f>
        <v/>
      </c>
      <c r="I1836" s="17" t="str">
        <f aca="false">IF(E1836="","",IF(H1836&lt;0,IF(LEFT(A1836,1)="Q","Périmé (en quarantaine)","PÉRIMÉ → déplacer en zone Q"),IF(H1836&lt;3,"Péremption &lt; 3 mois",IF(H1836&lt;6,"Péremption &lt; 6 mois",""))))</f>
        <v/>
      </c>
      <c r="J1836" s="17" t="str">
        <f aca="false">IF(A1836="","",IF(COUNTIF(Emplacements!$A$2:$A$1001,A1836)=0,"⚠ emplacement inconnu","OK"))</f>
        <v/>
      </c>
      <c r="K1836" s="22" t="str">
        <f aca="false">IF(AND(B1836&lt;&gt;"",ISNUMBER(SEARCH(Recherche!$C$3,C1836&amp;" "&amp;B1836&amp;" "&amp;A1836&amp;" "&amp;D1836))),MAX($K$1:K1835)+1,"")</f>
        <v/>
      </c>
    </row>
    <row r="1837" customFormat="false" ht="15" hidden="false" customHeight="false" outlineLevel="0" collapsed="false">
      <c r="A1837" s="12"/>
      <c r="B1837" s="12"/>
      <c r="C1837" s="17" t="str">
        <f aca="false">IF(B1837="","",IFERROR(INDEX(Produits!$F$2:$F$1001,MATCH(B1837,Produits!$A$2:$A$1001,0)),"⚠ code article inconnu"))</f>
        <v/>
      </c>
      <c r="D1837" s="12"/>
      <c r="E1837" s="23"/>
      <c r="F1837" s="24"/>
      <c r="G1837" s="23"/>
      <c r="H1837" s="21" t="str">
        <f aca="true">IF(E1837="","",ROUND((E1837-TODAY())/30.4,1))</f>
        <v/>
      </c>
      <c r="I1837" s="17" t="str">
        <f aca="false">IF(E1837="","",IF(H1837&lt;0,IF(LEFT(A1837,1)="Q","Périmé (en quarantaine)","PÉRIMÉ → déplacer en zone Q"),IF(H1837&lt;3,"Péremption &lt; 3 mois",IF(H1837&lt;6,"Péremption &lt; 6 mois",""))))</f>
        <v/>
      </c>
      <c r="J1837" s="17" t="str">
        <f aca="false">IF(A1837="","",IF(COUNTIF(Emplacements!$A$2:$A$1001,A1837)=0,"⚠ emplacement inconnu","OK"))</f>
        <v/>
      </c>
      <c r="K1837" s="22" t="str">
        <f aca="false">IF(AND(B1837&lt;&gt;"",ISNUMBER(SEARCH(Recherche!$C$3,C1837&amp;" "&amp;B1837&amp;" "&amp;A1837&amp;" "&amp;D1837))),MAX($K$1:K1836)+1,"")</f>
        <v/>
      </c>
    </row>
    <row r="1838" customFormat="false" ht="15" hidden="false" customHeight="false" outlineLevel="0" collapsed="false">
      <c r="A1838" s="12"/>
      <c r="B1838" s="12"/>
      <c r="C1838" s="17" t="str">
        <f aca="false">IF(B1838="","",IFERROR(INDEX(Produits!$F$2:$F$1001,MATCH(B1838,Produits!$A$2:$A$1001,0)),"⚠ code article inconnu"))</f>
        <v/>
      </c>
      <c r="D1838" s="12"/>
      <c r="E1838" s="23"/>
      <c r="F1838" s="24"/>
      <c r="G1838" s="23"/>
      <c r="H1838" s="21" t="str">
        <f aca="true">IF(E1838="","",ROUND((E1838-TODAY())/30.4,1))</f>
        <v/>
      </c>
      <c r="I1838" s="17" t="str">
        <f aca="false">IF(E1838="","",IF(H1838&lt;0,IF(LEFT(A1838,1)="Q","Périmé (en quarantaine)","PÉRIMÉ → déplacer en zone Q"),IF(H1838&lt;3,"Péremption &lt; 3 mois",IF(H1838&lt;6,"Péremption &lt; 6 mois",""))))</f>
        <v/>
      </c>
      <c r="J1838" s="17" t="str">
        <f aca="false">IF(A1838="","",IF(COUNTIF(Emplacements!$A$2:$A$1001,A1838)=0,"⚠ emplacement inconnu","OK"))</f>
        <v/>
      </c>
      <c r="K1838" s="22" t="str">
        <f aca="false">IF(AND(B1838&lt;&gt;"",ISNUMBER(SEARCH(Recherche!$C$3,C1838&amp;" "&amp;B1838&amp;" "&amp;A1838&amp;" "&amp;D1838))),MAX($K$1:K1837)+1,"")</f>
        <v/>
      </c>
    </row>
    <row r="1839" customFormat="false" ht="15" hidden="false" customHeight="false" outlineLevel="0" collapsed="false">
      <c r="A1839" s="12"/>
      <c r="B1839" s="12"/>
      <c r="C1839" s="17" t="str">
        <f aca="false">IF(B1839="","",IFERROR(INDEX(Produits!$F$2:$F$1001,MATCH(B1839,Produits!$A$2:$A$1001,0)),"⚠ code article inconnu"))</f>
        <v/>
      </c>
      <c r="D1839" s="12"/>
      <c r="E1839" s="23"/>
      <c r="F1839" s="24"/>
      <c r="G1839" s="23"/>
      <c r="H1839" s="21" t="str">
        <f aca="true">IF(E1839="","",ROUND((E1839-TODAY())/30.4,1))</f>
        <v/>
      </c>
      <c r="I1839" s="17" t="str">
        <f aca="false">IF(E1839="","",IF(H1839&lt;0,IF(LEFT(A1839,1)="Q","Périmé (en quarantaine)","PÉRIMÉ → déplacer en zone Q"),IF(H1839&lt;3,"Péremption &lt; 3 mois",IF(H1839&lt;6,"Péremption &lt; 6 mois",""))))</f>
        <v/>
      </c>
      <c r="J1839" s="17" t="str">
        <f aca="false">IF(A1839="","",IF(COUNTIF(Emplacements!$A$2:$A$1001,A1839)=0,"⚠ emplacement inconnu","OK"))</f>
        <v/>
      </c>
      <c r="K1839" s="22" t="str">
        <f aca="false">IF(AND(B1839&lt;&gt;"",ISNUMBER(SEARCH(Recherche!$C$3,C1839&amp;" "&amp;B1839&amp;" "&amp;A1839&amp;" "&amp;D1839))),MAX($K$1:K1838)+1,"")</f>
        <v/>
      </c>
    </row>
    <row r="1840" customFormat="false" ht="15" hidden="false" customHeight="false" outlineLevel="0" collapsed="false">
      <c r="A1840" s="12"/>
      <c r="B1840" s="12"/>
      <c r="C1840" s="17" t="str">
        <f aca="false">IF(B1840="","",IFERROR(INDEX(Produits!$F$2:$F$1001,MATCH(B1840,Produits!$A$2:$A$1001,0)),"⚠ code article inconnu"))</f>
        <v/>
      </c>
      <c r="D1840" s="12"/>
      <c r="E1840" s="23"/>
      <c r="F1840" s="24"/>
      <c r="G1840" s="23"/>
      <c r="H1840" s="21" t="str">
        <f aca="true">IF(E1840="","",ROUND((E1840-TODAY())/30.4,1))</f>
        <v/>
      </c>
      <c r="I1840" s="17" t="str">
        <f aca="false">IF(E1840="","",IF(H1840&lt;0,IF(LEFT(A1840,1)="Q","Périmé (en quarantaine)","PÉRIMÉ → déplacer en zone Q"),IF(H1840&lt;3,"Péremption &lt; 3 mois",IF(H1840&lt;6,"Péremption &lt; 6 mois",""))))</f>
        <v/>
      </c>
      <c r="J1840" s="17" t="str">
        <f aca="false">IF(A1840="","",IF(COUNTIF(Emplacements!$A$2:$A$1001,A1840)=0,"⚠ emplacement inconnu","OK"))</f>
        <v/>
      </c>
      <c r="K1840" s="22" t="str">
        <f aca="false">IF(AND(B1840&lt;&gt;"",ISNUMBER(SEARCH(Recherche!$C$3,C1840&amp;" "&amp;B1840&amp;" "&amp;A1840&amp;" "&amp;D1840))),MAX($K$1:K1839)+1,"")</f>
        <v/>
      </c>
    </row>
    <row r="1841" customFormat="false" ht="15" hidden="false" customHeight="false" outlineLevel="0" collapsed="false">
      <c r="A1841" s="12"/>
      <c r="B1841" s="12"/>
      <c r="C1841" s="17" t="str">
        <f aca="false">IF(B1841="","",IFERROR(INDEX(Produits!$F$2:$F$1001,MATCH(B1841,Produits!$A$2:$A$1001,0)),"⚠ code article inconnu"))</f>
        <v/>
      </c>
      <c r="D1841" s="12"/>
      <c r="E1841" s="23"/>
      <c r="F1841" s="24"/>
      <c r="G1841" s="23"/>
      <c r="H1841" s="21" t="str">
        <f aca="true">IF(E1841="","",ROUND((E1841-TODAY())/30.4,1))</f>
        <v/>
      </c>
      <c r="I1841" s="17" t="str">
        <f aca="false">IF(E1841="","",IF(H1841&lt;0,IF(LEFT(A1841,1)="Q","Périmé (en quarantaine)","PÉRIMÉ → déplacer en zone Q"),IF(H1841&lt;3,"Péremption &lt; 3 mois",IF(H1841&lt;6,"Péremption &lt; 6 mois",""))))</f>
        <v/>
      </c>
      <c r="J1841" s="17" t="str">
        <f aca="false">IF(A1841="","",IF(COUNTIF(Emplacements!$A$2:$A$1001,A1841)=0,"⚠ emplacement inconnu","OK"))</f>
        <v/>
      </c>
      <c r="K1841" s="22" t="str">
        <f aca="false">IF(AND(B1841&lt;&gt;"",ISNUMBER(SEARCH(Recherche!$C$3,C1841&amp;" "&amp;B1841&amp;" "&amp;A1841&amp;" "&amp;D1841))),MAX($K$1:K1840)+1,"")</f>
        <v/>
      </c>
    </row>
    <row r="1842" customFormat="false" ht="15" hidden="false" customHeight="false" outlineLevel="0" collapsed="false">
      <c r="A1842" s="12"/>
      <c r="B1842" s="12"/>
      <c r="C1842" s="17" t="str">
        <f aca="false">IF(B1842="","",IFERROR(INDEX(Produits!$F$2:$F$1001,MATCH(B1842,Produits!$A$2:$A$1001,0)),"⚠ code article inconnu"))</f>
        <v/>
      </c>
      <c r="D1842" s="12"/>
      <c r="E1842" s="23"/>
      <c r="F1842" s="24"/>
      <c r="G1842" s="23"/>
      <c r="H1842" s="21" t="str">
        <f aca="true">IF(E1842="","",ROUND((E1842-TODAY())/30.4,1))</f>
        <v/>
      </c>
      <c r="I1842" s="17" t="str">
        <f aca="false">IF(E1842="","",IF(H1842&lt;0,IF(LEFT(A1842,1)="Q","Périmé (en quarantaine)","PÉRIMÉ → déplacer en zone Q"),IF(H1842&lt;3,"Péremption &lt; 3 mois",IF(H1842&lt;6,"Péremption &lt; 6 mois",""))))</f>
        <v/>
      </c>
      <c r="J1842" s="17" t="str">
        <f aca="false">IF(A1842="","",IF(COUNTIF(Emplacements!$A$2:$A$1001,A1842)=0,"⚠ emplacement inconnu","OK"))</f>
        <v/>
      </c>
      <c r="K1842" s="22" t="str">
        <f aca="false">IF(AND(B1842&lt;&gt;"",ISNUMBER(SEARCH(Recherche!$C$3,C1842&amp;" "&amp;B1842&amp;" "&amp;A1842&amp;" "&amp;D1842))),MAX($K$1:K1841)+1,"")</f>
        <v/>
      </c>
    </row>
    <row r="1843" customFormat="false" ht="15" hidden="false" customHeight="false" outlineLevel="0" collapsed="false">
      <c r="A1843" s="12"/>
      <c r="B1843" s="12"/>
      <c r="C1843" s="17" t="str">
        <f aca="false">IF(B1843="","",IFERROR(INDEX(Produits!$F$2:$F$1001,MATCH(B1843,Produits!$A$2:$A$1001,0)),"⚠ code article inconnu"))</f>
        <v/>
      </c>
      <c r="D1843" s="12"/>
      <c r="E1843" s="23"/>
      <c r="F1843" s="24"/>
      <c r="G1843" s="23"/>
      <c r="H1843" s="21" t="str">
        <f aca="true">IF(E1843="","",ROUND((E1843-TODAY())/30.4,1))</f>
        <v/>
      </c>
      <c r="I1843" s="17" t="str">
        <f aca="false">IF(E1843="","",IF(H1843&lt;0,IF(LEFT(A1843,1)="Q","Périmé (en quarantaine)","PÉRIMÉ → déplacer en zone Q"),IF(H1843&lt;3,"Péremption &lt; 3 mois",IF(H1843&lt;6,"Péremption &lt; 6 mois",""))))</f>
        <v/>
      </c>
      <c r="J1843" s="17" t="str">
        <f aca="false">IF(A1843="","",IF(COUNTIF(Emplacements!$A$2:$A$1001,A1843)=0,"⚠ emplacement inconnu","OK"))</f>
        <v/>
      </c>
      <c r="K1843" s="22" t="str">
        <f aca="false">IF(AND(B1843&lt;&gt;"",ISNUMBER(SEARCH(Recherche!$C$3,C1843&amp;" "&amp;B1843&amp;" "&amp;A1843&amp;" "&amp;D1843))),MAX($K$1:K1842)+1,"")</f>
        <v/>
      </c>
    </row>
    <row r="1844" customFormat="false" ht="15" hidden="false" customHeight="false" outlineLevel="0" collapsed="false">
      <c r="A1844" s="12"/>
      <c r="B1844" s="12"/>
      <c r="C1844" s="17" t="str">
        <f aca="false">IF(B1844="","",IFERROR(INDEX(Produits!$F$2:$F$1001,MATCH(B1844,Produits!$A$2:$A$1001,0)),"⚠ code article inconnu"))</f>
        <v/>
      </c>
      <c r="D1844" s="12"/>
      <c r="E1844" s="23"/>
      <c r="F1844" s="24"/>
      <c r="G1844" s="23"/>
      <c r="H1844" s="21" t="str">
        <f aca="true">IF(E1844="","",ROUND((E1844-TODAY())/30.4,1))</f>
        <v/>
      </c>
      <c r="I1844" s="17" t="str">
        <f aca="false">IF(E1844="","",IF(H1844&lt;0,IF(LEFT(A1844,1)="Q","Périmé (en quarantaine)","PÉRIMÉ → déplacer en zone Q"),IF(H1844&lt;3,"Péremption &lt; 3 mois",IF(H1844&lt;6,"Péremption &lt; 6 mois",""))))</f>
        <v/>
      </c>
      <c r="J1844" s="17" t="str">
        <f aca="false">IF(A1844="","",IF(COUNTIF(Emplacements!$A$2:$A$1001,A1844)=0,"⚠ emplacement inconnu","OK"))</f>
        <v/>
      </c>
      <c r="K1844" s="22" t="str">
        <f aca="false">IF(AND(B1844&lt;&gt;"",ISNUMBER(SEARCH(Recherche!$C$3,C1844&amp;" "&amp;B1844&amp;" "&amp;A1844&amp;" "&amp;D1844))),MAX($K$1:K1843)+1,"")</f>
        <v/>
      </c>
    </row>
    <row r="1845" customFormat="false" ht="15" hidden="false" customHeight="false" outlineLevel="0" collapsed="false">
      <c r="A1845" s="12"/>
      <c r="B1845" s="12"/>
      <c r="C1845" s="17" t="str">
        <f aca="false">IF(B1845="","",IFERROR(INDEX(Produits!$F$2:$F$1001,MATCH(B1845,Produits!$A$2:$A$1001,0)),"⚠ code article inconnu"))</f>
        <v/>
      </c>
      <c r="D1845" s="12"/>
      <c r="E1845" s="23"/>
      <c r="F1845" s="24"/>
      <c r="G1845" s="23"/>
      <c r="H1845" s="21" t="str">
        <f aca="true">IF(E1845="","",ROUND((E1845-TODAY())/30.4,1))</f>
        <v/>
      </c>
      <c r="I1845" s="17" t="str">
        <f aca="false">IF(E1845="","",IF(H1845&lt;0,IF(LEFT(A1845,1)="Q","Périmé (en quarantaine)","PÉRIMÉ → déplacer en zone Q"),IF(H1845&lt;3,"Péremption &lt; 3 mois",IF(H1845&lt;6,"Péremption &lt; 6 mois",""))))</f>
        <v/>
      </c>
      <c r="J1845" s="17" t="str">
        <f aca="false">IF(A1845="","",IF(COUNTIF(Emplacements!$A$2:$A$1001,A1845)=0,"⚠ emplacement inconnu","OK"))</f>
        <v/>
      </c>
      <c r="K1845" s="22" t="str">
        <f aca="false">IF(AND(B1845&lt;&gt;"",ISNUMBER(SEARCH(Recherche!$C$3,C1845&amp;" "&amp;B1845&amp;" "&amp;A1845&amp;" "&amp;D1845))),MAX($K$1:K1844)+1,"")</f>
        <v/>
      </c>
    </row>
    <row r="1846" customFormat="false" ht="15" hidden="false" customHeight="false" outlineLevel="0" collapsed="false">
      <c r="A1846" s="12"/>
      <c r="B1846" s="12"/>
      <c r="C1846" s="17" t="str">
        <f aca="false">IF(B1846="","",IFERROR(INDEX(Produits!$F$2:$F$1001,MATCH(B1846,Produits!$A$2:$A$1001,0)),"⚠ code article inconnu"))</f>
        <v/>
      </c>
      <c r="D1846" s="12"/>
      <c r="E1846" s="23"/>
      <c r="F1846" s="24"/>
      <c r="G1846" s="23"/>
      <c r="H1846" s="21" t="str">
        <f aca="true">IF(E1846="","",ROUND((E1846-TODAY())/30.4,1))</f>
        <v/>
      </c>
      <c r="I1846" s="17" t="str">
        <f aca="false">IF(E1846="","",IF(H1846&lt;0,IF(LEFT(A1846,1)="Q","Périmé (en quarantaine)","PÉRIMÉ → déplacer en zone Q"),IF(H1846&lt;3,"Péremption &lt; 3 mois",IF(H1846&lt;6,"Péremption &lt; 6 mois",""))))</f>
        <v/>
      </c>
      <c r="J1846" s="17" t="str">
        <f aca="false">IF(A1846="","",IF(COUNTIF(Emplacements!$A$2:$A$1001,A1846)=0,"⚠ emplacement inconnu","OK"))</f>
        <v/>
      </c>
      <c r="K1846" s="22" t="str">
        <f aca="false">IF(AND(B1846&lt;&gt;"",ISNUMBER(SEARCH(Recherche!$C$3,C1846&amp;" "&amp;B1846&amp;" "&amp;A1846&amp;" "&amp;D1846))),MAX($K$1:K1845)+1,"")</f>
        <v/>
      </c>
    </row>
    <row r="1847" customFormat="false" ht="15" hidden="false" customHeight="false" outlineLevel="0" collapsed="false">
      <c r="A1847" s="12"/>
      <c r="B1847" s="12"/>
      <c r="C1847" s="17" t="str">
        <f aca="false">IF(B1847="","",IFERROR(INDEX(Produits!$F$2:$F$1001,MATCH(B1847,Produits!$A$2:$A$1001,0)),"⚠ code article inconnu"))</f>
        <v/>
      </c>
      <c r="D1847" s="12"/>
      <c r="E1847" s="23"/>
      <c r="F1847" s="24"/>
      <c r="G1847" s="23"/>
      <c r="H1847" s="21" t="str">
        <f aca="true">IF(E1847="","",ROUND((E1847-TODAY())/30.4,1))</f>
        <v/>
      </c>
      <c r="I1847" s="17" t="str">
        <f aca="false">IF(E1847="","",IF(H1847&lt;0,IF(LEFT(A1847,1)="Q","Périmé (en quarantaine)","PÉRIMÉ → déplacer en zone Q"),IF(H1847&lt;3,"Péremption &lt; 3 mois",IF(H1847&lt;6,"Péremption &lt; 6 mois",""))))</f>
        <v/>
      </c>
      <c r="J1847" s="17" t="str">
        <f aca="false">IF(A1847="","",IF(COUNTIF(Emplacements!$A$2:$A$1001,A1847)=0,"⚠ emplacement inconnu","OK"))</f>
        <v/>
      </c>
      <c r="K1847" s="22" t="str">
        <f aca="false">IF(AND(B1847&lt;&gt;"",ISNUMBER(SEARCH(Recherche!$C$3,C1847&amp;" "&amp;B1847&amp;" "&amp;A1847&amp;" "&amp;D1847))),MAX($K$1:K1846)+1,"")</f>
        <v/>
      </c>
    </row>
    <row r="1848" customFormat="false" ht="15" hidden="false" customHeight="false" outlineLevel="0" collapsed="false">
      <c r="A1848" s="12"/>
      <c r="B1848" s="12"/>
      <c r="C1848" s="17" t="str">
        <f aca="false">IF(B1848="","",IFERROR(INDEX(Produits!$F$2:$F$1001,MATCH(B1848,Produits!$A$2:$A$1001,0)),"⚠ code article inconnu"))</f>
        <v/>
      </c>
      <c r="D1848" s="12"/>
      <c r="E1848" s="23"/>
      <c r="F1848" s="24"/>
      <c r="G1848" s="23"/>
      <c r="H1848" s="21" t="str">
        <f aca="true">IF(E1848="","",ROUND((E1848-TODAY())/30.4,1))</f>
        <v/>
      </c>
      <c r="I1848" s="17" t="str">
        <f aca="false">IF(E1848="","",IF(H1848&lt;0,IF(LEFT(A1848,1)="Q","Périmé (en quarantaine)","PÉRIMÉ → déplacer en zone Q"),IF(H1848&lt;3,"Péremption &lt; 3 mois",IF(H1848&lt;6,"Péremption &lt; 6 mois",""))))</f>
        <v/>
      </c>
      <c r="J1848" s="17" t="str">
        <f aca="false">IF(A1848="","",IF(COUNTIF(Emplacements!$A$2:$A$1001,A1848)=0,"⚠ emplacement inconnu","OK"))</f>
        <v/>
      </c>
      <c r="K1848" s="22" t="str">
        <f aca="false">IF(AND(B1848&lt;&gt;"",ISNUMBER(SEARCH(Recherche!$C$3,C1848&amp;" "&amp;B1848&amp;" "&amp;A1848&amp;" "&amp;D1848))),MAX($K$1:K1847)+1,"")</f>
        <v/>
      </c>
    </row>
    <row r="1849" customFormat="false" ht="15" hidden="false" customHeight="false" outlineLevel="0" collapsed="false">
      <c r="A1849" s="12"/>
      <c r="B1849" s="12"/>
      <c r="C1849" s="17" t="str">
        <f aca="false">IF(B1849="","",IFERROR(INDEX(Produits!$F$2:$F$1001,MATCH(B1849,Produits!$A$2:$A$1001,0)),"⚠ code article inconnu"))</f>
        <v/>
      </c>
      <c r="D1849" s="12"/>
      <c r="E1849" s="23"/>
      <c r="F1849" s="24"/>
      <c r="G1849" s="23"/>
      <c r="H1849" s="21" t="str">
        <f aca="true">IF(E1849="","",ROUND((E1849-TODAY())/30.4,1))</f>
        <v/>
      </c>
      <c r="I1849" s="17" t="str">
        <f aca="false">IF(E1849="","",IF(H1849&lt;0,IF(LEFT(A1849,1)="Q","Périmé (en quarantaine)","PÉRIMÉ → déplacer en zone Q"),IF(H1849&lt;3,"Péremption &lt; 3 mois",IF(H1849&lt;6,"Péremption &lt; 6 mois",""))))</f>
        <v/>
      </c>
      <c r="J1849" s="17" t="str">
        <f aca="false">IF(A1849="","",IF(COUNTIF(Emplacements!$A$2:$A$1001,A1849)=0,"⚠ emplacement inconnu","OK"))</f>
        <v/>
      </c>
      <c r="K1849" s="22" t="str">
        <f aca="false">IF(AND(B1849&lt;&gt;"",ISNUMBER(SEARCH(Recherche!$C$3,C1849&amp;" "&amp;B1849&amp;" "&amp;A1849&amp;" "&amp;D1849))),MAX($K$1:K1848)+1,"")</f>
        <v/>
      </c>
    </row>
    <row r="1850" customFormat="false" ht="15" hidden="false" customHeight="false" outlineLevel="0" collapsed="false">
      <c r="A1850" s="12"/>
      <c r="B1850" s="12"/>
      <c r="C1850" s="17" t="str">
        <f aca="false">IF(B1850="","",IFERROR(INDEX(Produits!$F$2:$F$1001,MATCH(B1850,Produits!$A$2:$A$1001,0)),"⚠ code article inconnu"))</f>
        <v/>
      </c>
      <c r="D1850" s="12"/>
      <c r="E1850" s="23"/>
      <c r="F1850" s="24"/>
      <c r="G1850" s="23"/>
      <c r="H1850" s="21" t="str">
        <f aca="true">IF(E1850="","",ROUND((E1850-TODAY())/30.4,1))</f>
        <v/>
      </c>
      <c r="I1850" s="17" t="str">
        <f aca="false">IF(E1850="","",IF(H1850&lt;0,IF(LEFT(A1850,1)="Q","Périmé (en quarantaine)","PÉRIMÉ → déplacer en zone Q"),IF(H1850&lt;3,"Péremption &lt; 3 mois",IF(H1850&lt;6,"Péremption &lt; 6 mois",""))))</f>
        <v/>
      </c>
      <c r="J1850" s="17" t="str">
        <f aca="false">IF(A1850="","",IF(COUNTIF(Emplacements!$A$2:$A$1001,A1850)=0,"⚠ emplacement inconnu","OK"))</f>
        <v/>
      </c>
      <c r="K1850" s="22" t="str">
        <f aca="false">IF(AND(B1850&lt;&gt;"",ISNUMBER(SEARCH(Recherche!$C$3,C1850&amp;" "&amp;B1850&amp;" "&amp;A1850&amp;" "&amp;D1850))),MAX($K$1:K1849)+1,"")</f>
        <v/>
      </c>
    </row>
    <row r="1851" customFormat="false" ht="15" hidden="false" customHeight="false" outlineLevel="0" collapsed="false">
      <c r="A1851" s="12"/>
      <c r="B1851" s="12"/>
      <c r="C1851" s="17" t="str">
        <f aca="false">IF(B1851="","",IFERROR(INDEX(Produits!$F$2:$F$1001,MATCH(B1851,Produits!$A$2:$A$1001,0)),"⚠ code article inconnu"))</f>
        <v/>
      </c>
      <c r="D1851" s="12"/>
      <c r="E1851" s="23"/>
      <c r="F1851" s="24"/>
      <c r="G1851" s="23"/>
      <c r="H1851" s="21" t="str">
        <f aca="true">IF(E1851="","",ROUND((E1851-TODAY())/30.4,1))</f>
        <v/>
      </c>
      <c r="I1851" s="17" t="str">
        <f aca="false">IF(E1851="","",IF(H1851&lt;0,IF(LEFT(A1851,1)="Q","Périmé (en quarantaine)","PÉRIMÉ → déplacer en zone Q"),IF(H1851&lt;3,"Péremption &lt; 3 mois",IF(H1851&lt;6,"Péremption &lt; 6 mois",""))))</f>
        <v/>
      </c>
      <c r="J1851" s="17" t="str">
        <f aca="false">IF(A1851="","",IF(COUNTIF(Emplacements!$A$2:$A$1001,A1851)=0,"⚠ emplacement inconnu","OK"))</f>
        <v/>
      </c>
      <c r="K1851" s="22" t="str">
        <f aca="false">IF(AND(B1851&lt;&gt;"",ISNUMBER(SEARCH(Recherche!$C$3,C1851&amp;" "&amp;B1851&amp;" "&amp;A1851&amp;" "&amp;D1851))),MAX($K$1:K1850)+1,"")</f>
        <v/>
      </c>
    </row>
    <row r="1852" customFormat="false" ht="15" hidden="false" customHeight="false" outlineLevel="0" collapsed="false">
      <c r="A1852" s="12"/>
      <c r="B1852" s="12"/>
      <c r="C1852" s="17" t="str">
        <f aca="false">IF(B1852="","",IFERROR(INDEX(Produits!$F$2:$F$1001,MATCH(B1852,Produits!$A$2:$A$1001,0)),"⚠ code article inconnu"))</f>
        <v/>
      </c>
      <c r="D1852" s="12"/>
      <c r="E1852" s="23"/>
      <c r="F1852" s="24"/>
      <c r="G1852" s="23"/>
      <c r="H1852" s="21" t="str">
        <f aca="true">IF(E1852="","",ROUND((E1852-TODAY())/30.4,1))</f>
        <v/>
      </c>
      <c r="I1852" s="17" t="str">
        <f aca="false">IF(E1852="","",IF(H1852&lt;0,IF(LEFT(A1852,1)="Q","Périmé (en quarantaine)","PÉRIMÉ → déplacer en zone Q"),IF(H1852&lt;3,"Péremption &lt; 3 mois",IF(H1852&lt;6,"Péremption &lt; 6 mois",""))))</f>
        <v/>
      </c>
      <c r="J1852" s="17" t="str">
        <f aca="false">IF(A1852="","",IF(COUNTIF(Emplacements!$A$2:$A$1001,A1852)=0,"⚠ emplacement inconnu","OK"))</f>
        <v/>
      </c>
      <c r="K1852" s="22" t="str">
        <f aca="false">IF(AND(B1852&lt;&gt;"",ISNUMBER(SEARCH(Recherche!$C$3,C1852&amp;" "&amp;B1852&amp;" "&amp;A1852&amp;" "&amp;D1852))),MAX($K$1:K1851)+1,"")</f>
        <v/>
      </c>
    </row>
    <row r="1853" customFormat="false" ht="15" hidden="false" customHeight="false" outlineLevel="0" collapsed="false">
      <c r="A1853" s="12"/>
      <c r="B1853" s="12"/>
      <c r="C1853" s="17" t="str">
        <f aca="false">IF(B1853="","",IFERROR(INDEX(Produits!$F$2:$F$1001,MATCH(B1853,Produits!$A$2:$A$1001,0)),"⚠ code article inconnu"))</f>
        <v/>
      </c>
      <c r="D1853" s="12"/>
      <c r="E1853" s="23"/>
      <c r="F1853" s="24"/>
      <c r="G1853" s="23"/>
      <c r="H1853" s="21" t="str">
        <f aca="true">IF(E1853="","",ROUND((E1853-TODAY())/30.4,1))</f>
        <v/>
      </c>
      <c r="I1853" s="17" t="str">
        <f aca="false">IF(E1853="","",IF(H1853&lt;0,IF(LEFT(A1853,1)="Q","Périmé (en quarantaine)","PÉRIMÉ → déplacer en zone Q"),IF(H1853&lt;3,"Péremption &lt; 3 mois",IF(H1853&lt;6,"Péremption &lt; 6 mois",""))))</f>
        <v/>
      </c>
      <c r="J1853" s="17" t="str">
        <f aca="false">IF(A1853="","",IF(COUNTIF(Emplacements!$A$2:$A$1001,A1853)=0,"⚠ emplacement inconnu","OK"))</f>
        <v/>
      </c>
      <c r="K1853" s="22" t="str">
        <f aca="false">IF(AND(B1853&lt;&gt;"",ISNUMBER(SEARCH(Recherche!$C$3,C1853&amp;" "&amp;B1853&amp;" "&amp;A1853&amp;" "&amp;D1853))),MAX($K$1:K1852)+1,"")</f>
        <v/>
      </c>
    </row>
    <row r="1854" customFormat="false" ht="15" hidden="false" customHeight="false" outlineLevel="0" collapsed="false">
      <c r="A1854" s="12"/>
      <c r="B1854" s="12"/>
      <c r="C1854" s="17" t="str">
        <f aca="false">IF(B1854="","",IFERROR(INDEX(Produits!$F$2:$F$1001,MATCH(B1854,Produits!$A$2:$A$1001,0)),"⚠ code article inconnu"))</f>
        <v/>
      </c>
      <c r="D1854" s="12"/>
      <c r="E1854" s="23"/>
      <c r="F1854" s="24"/>
      <c r="G1854" s="23"/>
      <c r="H1854" s="21" t="str">
        <f aca="true">IF(E1854="","",ROUND((E1854-TODAY())/30.4,1))</f>
        <v/>
      </c>
      <c r="I1854" s="17" t="str">
        <f aca="false">IF(E1854="","",IF(H1854&lt;0,IF(LEFT(A1854,1)="Q","Périmé (en quarantaine)","PÉRIMÉ → déplacer en zone Q"),IF(H1854&lt;3,"Péremption &lt; 3 mois",IF(H1854&lt;6,"Péremption &lt; 6 mois",""))))</f>
        <v/>
      </c>
      <c r="J1854" s="17" t="str">
        <f aca="false">IF(A1854="","",IF(COUNTIF(Emplacements!$A$2:$A$1001,A1854)=0,"⚠ emplacement inconnu","OK"))</f>
        <v/>
      </c>
      <c r="K1854" s="22" t="str">
        <f aca="false">IF(AND(B1854&lt;&gt;"",ISNUMBER(SEARCH(Recherche!$C$3,C1854&amp;" "&amp;B1854&amp;" "&amp;A1854&amp;" "&amp;D1854))),MAX($K$1:K1853)+1,"")</f>
        <v/>
      </c>
    </row>
    <row r="1855" customFormat="false" ht="15" hidden="false" customHeight="false" outlineLevel="0" collapsed="false">
      <c r="A1855" s="12"/>
      <c r="B1855" s="12"/>
      <c r="C1855" s="17" t="str">
        <f aca="false">IF(B1855="","",IFERROR(INDEX(Produits!$F$2:$F$1001,MATCH(B1855,Produits!$A$2:$A$1001,0)),"⚠ code article inconnu"))</f>
        <v/>
      </c>
      <c r="D1855" s="12"/>
      <c r="E1855" s="23"/>
      <c r="F1855" s="24"/>
      <c r="G1855" s="23"/>
      <c r="H1855" s="21" t="str">
        <f aca="true">IF(E1855="","",ROUND((E1855-TODAY())/30.4,1))</f>
        <v/>
      </c>
      <c r="I1855" s="17" t="str">
        <f aca="false">IF(E1855="","",IF(H1855&lt;0,IF(LEFT(A1855,1)="Q","Périmé (en quarantaine)","PÉRIMÉ → déplacer en zone Q"),IF(H1855&lt;3,"Péremption &lt; 3 mois",IF(H1855&lt;6,"Péremption &lt; 6 mois",""))))</f>
        <v/>
      </c>
      <c r="J1855" s="17" t="str">
        <f aca="false">IF(A1855="","",IF(COUNTIF(Emplacements!$A$2:$A$1001,A1855)=0,"⚠ emplacement inconnu","OK"))</f>
        <v/>
      </c>
      <c r="K1855" s="22" t="str">
        <f aca="false">IF(AND(B1855&lt;&gt;"",ISNUMBER(SEARCH(Recherche!$C$3,C1855&amp;" "&amp;B1855&amp;" "&amp;A1855&amp;" "&amp;D1855))),MAX($K$1:K1854)+1,"")</f>
        <v/>
      </c>
    </row>
    <row r="1856" customFormat="false" ht="15" hidden="false" customHeight="false" outlineLevel="0" collapsed="false">
      <c r="A1856" s="12"/>
      <c r="B1856" s="12"/>
      <c r="C1856" s="17" t="str">
        <f aca="false">IF(B1856="","",IFERROR(INDEX(Produits!$F$2:$F$1001,MATCH(B1856,Produits!$A$2:$A$1001,0)),"⚠ code article inconnu"))</f>
        <v/>
      </c>
      <c r="D1856" s="12"/>
      <c r="E1856" s="23"/>
      <c r="F1856" s="24"/>
      <c r="G1856" s="23"/>
      <c r="H1856" s="21" t="str">
        <f aca="true">IF(E1856="","",ROUND((E1856-TODAY())/30.4,1))</f>
        <v/>
      </c>
      <c r="I1856" s="17" t="str">
        <f aca="false">IF(E1856="","",IF(H1856&lt;0,IF(LEFT(A1856,1)="Q","Périmé (en quarantaine)","PÉRIMÉ → déplacer en zone Q"),IF(H1856&lt;3,"Péremption &lt; 3 mois",IF(H1856&lt;6,"Péremption &lt; 6 mois",""))))</f>
        <v/>
      </c>
      <c r="J1856" s="17" t="str">
        <f aca="false">IF(A1856="","",IF(COUNTIF(Emplacements!$A$2:$A$1001,A1856)=0,"⚠ emplacement inconnu","OK"))</f>
        <v/>
      </c>
      <c r="K1856" s="22" t="str">
        <f aca="false">IF(AND(B1856&lt;&gt;"",ISNUMBER(SEARCH(Recherche!$C$3,C1856&amp;" "&amp;B1856&amp;" "&amp;A1856&amp;" "&amp;D1856))),MAX($K$1:K1855)+1,"")</f>
        <v/>
      </c>
    </row>
    <row r="1857" customFormat="false" ht="15" hidden="false" customHeight="false" outlineLevel="0" collapsed="false">
      <c r="A1857" s="12"/>
      <c r="B1857" s="12"/>
      <c r="C1857" s="17" t="str">
        <f aca="false">IF(B1857="","",IFERROR(INDEX(Produits!$F$2:$F$1001,MATCH(B1857,Produits!$A$2:$A$1001,0)),"⚠ code article inconnu"))</f>
        <v/>
      </c>
      <c r="D1857" s="12"/>
      <c r="E1857" s="23"/>
      <c r="F1857" s="24"/>
      <c r="G1857" s="23"/>
      <c r="H1857" s="21" t="str">
        <f aca="true">IF(E1857="","",ROUND((E1857-TODAY())/30.4,1))</f>
        <v/>
      </c>
      <c r="I1857" s="17" t="str">
        <f aca="false">IF(E1857="","",IF(H1857&lt;0,IF(LEFT(A1857,1)="Q","Périmé (en quarantaine)","PÉRIMÉ → déplacer en zone Q"),IF(H1857&lt;3,"Péremption &lt; 3 mois",IF(H1857&lt;6,"Péremption &lt; 6 mois",""))))</f>
        <v/>
      </c>
      <c r="J1857" s="17" t="str">
        <f aca="false">IF(A1857="","",IF(COUNTIF(Emplacements!$A$2:$A$1001,A1857)=0,"⚠ emplacement inconnu","OK"))</f>
        <v/>
      </c>
      <c r="K1857" s="22" t="str">
        <f aca="false">IF(AND(B1857&lt;&gt;"",ISNUMBER(SEARCH(Recherche!$C$3,C1857&amp;" "&amp;B1857&amp;" "&amp;A1857&amp;" "&amp;D1857))),MAX($K$1:K1856)+1,"")</f>
        <v/>
      </c>
    </row>
    <row r="1858" customFormat="false" ht="15" hidden="false" customHeight="false" outlineLevel="0" collapsed="false">
      <c r="A1858" s="12"/>
      <c r="B1858" s="12"/>
      <c r="C1858" s="17" t="str">
        <f aca="false">IF(B1858="","",IFERROR(INDEX(Produits!$F$2:$F$1001,MATCH(B1858,Produits!$A$2:$A$1001,0)),"⚠ code article inconnu"))</f>
        <v/>
      </c>
      <c r="D1858" s="12"/>
      <c r="E1858" s="23"/>
      <c r="F1858" s="24"/>
      <c r="G1858" s="23"/>
      <c r="H1858" s="21" t="str">
        <f aca="true">IF(E1858="","",ROUND((E1858-TODAY())/30.4,1))</f>
        <v/>
      </c>
      <c r="I1858" s="17" t="str">
        <f aca="false">IF(E1858="","",IF(H1858&lt;0,IF(LEFT(A1858,1)="Q","Périmé (en quarantaine)","PÉRIMÉ → déplacer en zone Q"),IF(H1858&lt;3,"Péremption &lt; 3 mois",IF(H1858&lt;6,"Péremption &lt; 6 mois",""))))</f>
        <v/>
      </c>
      <c r="J1858" s="17" t="str">
        <f aca="false">IF(A1858="","",IF(COUNTIF(Emplacements!$A$2:$A$1001,A1858)=0,"⚠ emplacement inconnu","OK"))</f>
        <v/>
      </c>
      <c r="K1858" s="22" t="str">
        <f aca="false">IF(AND(B1858&lt;&gt;"",ISNUMBER(SEARCH(Recherche!$C$3,C1858&amp;" "&amp;B1858&amp;" "&amp;A1858&amp;" "&amp;D1858))),MAX($K$1:K1857)+1,"")</f>
        <v/>
      </c>
    </row>
    <row r="1859" customFormat="false" ht="15" hidden="false" customHeight="false" outlineLevel="0" collapsed="false">
      <c r="A1859" s="12"/>
      <c r="B1859" s="12"/>
      <c r="C1859" s="17" t="str">
        <f aca="false">IF(B1859="","",IFERROR(INDEX(Produits!$F$2:$F$1001,MATCH(B1859,Produits!$A$2:$A$1001,0)),"⚠ code article inconnu"))</f>
        <v/>
      </c>
      <c r="D1859" s="12"/>
      <c r="E1859" s="23"/>
      <c r="F1859" s="24"/>
      <c r="G1859" s="23"/>
      <c r="H1859" s="21" t="str">
        <f aca="true">IF(E1859="","",ROUND((E1859-TODAY())/30.4,1))</f>
        <v/>
      </c>
      <c r="I1859" s="17" t="str">
        <f aca="false">IF(E1859="","",IF(H1859&lt;0,IF(LEFT(A1859,1)="Q","Périmé (en quarantaine)","PÉRIMÉ → déplacer en zone Q"),IF(H1859&lt;3,"Péremption &lt; 3 mois",IF(H1859&lt;6,"Péremption &lt; 6 mois",""))))</f>
        <v/>
      </c>
      <c r="J1859" s="17" t="str">
        <f aca="false">IF(A1859="","",IF(COUNTIF(Emplacements!$A$2:$A$1001,A1859)=0,"⚠ emplacement inconnu","OK"))</f>
        <v/>
      </c>
      <c r="K1859" s="22" t="str">
        <f aca="false">IF(AND(B1859&lt;&gt;"",ISNUMBER(SEARCH(Recherche!$C$3,C1859&amp;" "&amp;B1859&amp;" "&amp;A1859&amp;" "&amp;D1859))),MAX($K$1:K1858)+1,"")</f>
        <v/>
      </c>
    </row>
    <row r="1860" customFormat="false" ht="15" hidden="false" customHeight="false" outlineLevel="0" collapsed="false">
      <c r="A1860" s="12"/>
      <c r="B1860" s="12"/>
      <c r="C1860" s="17" t="str">
        <f aca="false">IF(B1860="","",IFERROR(INDEX(Produits!$F$2:$F$1001,MATCH(B1860,Produits!$A$2:$A$1001,0)),"⚠ code article inconnu"))</f>
        <v/>
      </c>
      <c r="D1860" s="12"/>
      <c r="E1860" s="23"/>
      <c r="F1860" s="24"/>
      <c r="G1860" s="23"/>
      <c r="H1860" s="21" t="str">
        <f aca="true">IF(E1860="","",ROUND((E1860-TODAY())/30.4,1))</f>
        <v/>
      </c>
      <c r="I1860" s="17" t="str">
        <f aca="false">IF(E1860="","",IF(H1860&lt;0,IF(LEFT(A1860,1)="Q","Périmé (en quarantaine)","PÉRIMÉ → déplacer en zone Q"),IF(H1860&lt;3,"Péremption &lt; 3 mois",IF(H1860&lt;6,"Péremption &lt; 6 mois",""))))</f>
        <v/>
      </c>
      <c r="J1860" s="17" t="str">
        <f aca="false">IF(A1860="","",IF(COUNTIF(Emplacements!$A$2:$A$1001,A1860)=0,"⚠ emplacement inconnu","OK"))</f>
        <v/>
      </c>
      <c r="K1860" s="22" t="str">
        <f aca="false">IF(AND(B1860&lt;&gt;"",ISNUMBER(SEARCH(Recherche!$C$3,C1860&amp;" "&amp;B1860&amp;" "&amp;A1860&amp;" "&amp;D1860))),MAX($K$1:K1859)+1,"")</f>
        <v/>
      </c>
    </row>
    <row r="1861" customFormat="false" ht="15" hidden="false" customHeight="false" outlineLevel="0" collapsed="false">
      <c r="A1861" s="12"/>
      <c r="B1861" s="12"/>
      <c r="C1861" s="17" t="str">
        <f aca="false">IF(B1861="","",IFERROR(INDEX(Produits!$F$2:$F$1001,MATCH(B1861,Produits!$A$2:$A$1001,0)),"⚠ code article inconnu"))</f>
        <v/>
      </c>
      <c r="D1861" s="12"/>
      <c r="E1861" s="23"/>
      <c r="F1861" s="24"/>
      <c r="G1861" s="23"/>
      <c r="H1861" s="21" t="str">
        <f aca="true">IF(E1861="","",ROUND((E1861-TODAY())/30.4,1))</f>
        <v/>
      </c>
      <c r="I1861" s="17" t="str">
        <f aca="false">IF(E1861="","",IF(H1861&lt;0,IF(LEFT(A1861,1)="Q","Périmé (en quarantaine)","PÉRIMÉ → déplacer en zone Q"),IF(H1861&lt;3,"Péremption &lt; 3 mois",IF(H1861&lt;6,"Péremption &lt; 6 mois",""))))</f>
        <v/>
      </c>
      <c r="J1861" s="17" t="str">
        <f aca="false">IF(A1861="","",IF(COUNTIF(Emplacements!$A$2:$A$1001,A1861)=0,"⚠ emplacement inconnu","OK"))</f>
        <v/>
      </c>
      <c r="K1861" s="22" t="str">
        <f aca="false">IF(AND(B1861&lt;&gt;"",ISNUMBER(SEARCH(Recherche!$C$3,C1861&amp;" "&amp;B1861&amp;" "&amp;A1861&amp;" "&amp;D1861))),MAX($K$1:K1860)+1,"")</f>
        <v/>
      </c>
    </row>
    <row r="1862" customFormat="false" ht="15" hidden="false" customHeight="false" outlineLevel="0" collapsed="false">
      <c r="A1862" s="12"/>
      <c r="B1862" s="12"/>
      <c r="C1862" s="17" t="str">
        <f aca="false">IF(B1862="","",IFERROR(INDEX(Produits!$F$2:$F$1001,MATCH(B1862,Produits!$A$2:$A$1001,0)),"⚠ code article inconnu"))</f>
        <v/>
      </c>
      <c r="D1862" s="12"/>
      <c r="E1862" s="23"/>
      <c r="F1862" s="24"/>
      <c r="G1862" s="23"/>
      <c r="H1862" s="21" t="str">
        <f aca="true">IF(E1862="","",ROUND((E1862-TODAY())/30.4,1))</f>
        <v/>
      </c>
      <c r="I1862" s="17" t="str">
        <f aca="false">IF(E1862="","",IF(H1862&lt;0,IF(LEFT(A1862,1)="Q","Périmé (en quarantaine)","PÉRIMÉ → déplacer en zone Q"),IF(H1862&lt;3,"Péremption &lt; 3 mois",IF(H1862&lt;6,"Péremption &lt; 6 mois",""))))</f>
        <v/>
      </c>
      <c r="J1862" s="17" t="str">
        <f aca="false">IF(A1862="","",IF(COUNTIF(Emplacements!$A$2:$A$1001,A1862)=0,"⚠ emplacement inconnu","OK"))</f>
        <v/>
      </c>
      <c r="K1862" s="22" t="str">
        <f aca="false">IF(AND(B1862&lt;&gt;"",ISNUMBER(SEARCH(Recherche!$C$3,C1862&amp;" "&amp;B1862&amp;" "&amp;A1862&amp;" "&amp;D1862))),MAX($K$1:K1861)+1,"")</f>
        <v/>
      </c>
    </row>
    <row r="1863" customFormat="false" ht="15" hidden="false" customHeight="false" outlineLevel="0" collapsed="false">
      <c r="A1863" s="12"/>
      <c r="B1863" s="12"/>
      <c r="C1863" s="17" t="str">
        <f aca="false">IF(B1863="","",IFERROR(INDEX(Produits!$F$2:$F$1001,MATCH(B1863,Produits!$A$2:$A$1001,0)),"⚠ code article inconnu"))</f>
        <v/>
      </c>
      <c r="D1863" s="12"/>
      <c r="E1863" s="23"/>
      <c r="F1863" s="24"/>
      <c r="G1863" s="23"/>
      <c r="H1863" s="21" t="str">
        <f aca="true">IF(E1863="","",ROUND((E1863-TODAY())/30.4,1))</f>
        <v/>
      </c>
      <c r="I1863" s="17" t="str">
        <f aca="false">IF(E1863="","",IF(H1863&lt;0,IF(LEFT(A1863,1)="Q","Périmé (en quarantaine)","PÉRIMÉ → déplacer en zone Q"),IF(H1863&lt;3,"Péremption &lt; 3 mois",IF(H1863&lt;6,"Péremption &lt; 6 mois",""))))</f>
        <v/>
      </c>
      <c r="J1863" s="17" t="str">
        <f aca="false">IF(A1863="","",IF(COUNTIF(Emplacements!$A$2:$A$1001,A1863)=0,"⚠ emplacement inconnu","OK"))</f>
        <v/>
      </c>
      <c r="K1863" s="22" t="str">
        <f aca="false">IF(AND(B1863&lt;&gt;"",ISNUMBER(SEARCH(Recherche!$C$3,C1863&amp;" "&amp;B1863&amp;" "&amp;A1863&amp;" "&amp;D1863))),MAX($K$1:K1862)+1,"")</f>
        <v/>
      </c>
    </row>
    <row r="1864" customFormat="false" ht="15" hidden="false" customHeight="false" outlineLevel="0" collapsed="false">
      <c r="A1864" s="12"/>
      <c r="B1864" s="12"/>
      <c r="C1864" s="17" t="str">
        <f aca="false">IF(B1864="","",IFERROR(INDEX(Produits!$F$2:$F$1001,MATCH(B1864,Produits!$A$2:$A$1001,0)),"⚠ code article inconnu"))</f>
        <v/>
      </c>
      <c r="D1864" s="12"/>
      <c r="E1864" s="23"/>
      <c r="F1864" s="24"/>
      <c r="G1864" s="23"/>
      <c r="H1864" s="21" t="str">
        <f aca="true">IF(E1864="","",ROUND((E1864-TODAY())/30.4,1))</f>
        <v/>
      </c>
      <c r="I1864" s="17" t="str">
        <f aca="false">IF(E1864="","",IF(H1864&lt;0,IF(LEFT(A1864,1)="Q","Périmé (en quarantaine)","PÉRIMÉ → déplacer en zone Q"),IF(H1864&lt;3,"Péremption &lt; 3 mois",IF(H1864&lt;6,"Péremption &lt; 6 mois",""))))</f>
        <v/>
      </c>
      <c r="J1864" s="17" t="str">
        <f aca="false">IF(A1864="","",IF(COUNTIF(Emplacements!$A$2:$A$1001,A1864)=0,"⚠ emplacement inconnu","OK"))</f>
        <v/>
      </c>
      <c r="K1864" s="22" t="str">
        <f aca="false">IF(AND(B1864&lt;&gt;"",ISNUMBER(SEARCH(Recherche!$C$3,C1864&amp;" "&amp;B1864&amp;" "&amp;A1864&amp;" "&amp;D1864))),MAX($K$1:K1863)+1,"")</f>
        <v/>
      </c>
    </row>
    <row r="1865" customFormat="false" ht="15" hidden="false" customHeight="false" outlineLevel="0" collapsed="false">
      <c r="A1865" s="12"/>
      <c r="B1865" s="12"/>
      <c r="C1865" s="17" t="str">
        <f aca="false">IF(B1865="","",IFERROR(INDEX(Produits!$F$2:$F$1001,MATCH(B1865,Produits!$A$2:$A$1001,0)),"⚠ code article inconnu"))</f>
        <v/>
      </c>
      <c r="D1865" s="12"/>
      <c r="E1865" s="23"/>
      <c r="F1865" s="24"/>
      <c r="G1865" s="23"/>
      <c r="H1865" s="21" t="str">
        <f aca="true">IF(E1865="","",ROUND((E1865-TODAY())/30.4,1))</f>
        <v/>
      </c>
      <c r="I1865" s="17" t="str">
        <f aca="false">IF(E1865="","",IF(H1865&lt;0,IF(LEFT(A1865,1)="Q","Périmé (en quarantaine)","PÉRIMÉ → déplacer en zone Q"),IF(H1865&lt;3,"Péremption &lt; 3 mois",IF(H1865&lt;6,"Péremption &lt; 6 mois",""))))</f>
        <v/>
      </c>
      <c r="J1865" s="17" t="str">
        <f aca="false">IF(A1865="","",IF(COUNTIF(Emplacements!$A$2:$A$1001,A1865)=0,"⚠ emplacement inconnu","OK"))</f>
        <v/>
      </c>
      <c r="K1865" s="22" t="str">
        <f aca="false">IF(AND(B1865&lt;&gt;"",ISNUMBER(SEARCH(Recherche!$C$3,C1865&amp;" "&amp;B1865&amp;" "&amp;A1865&amp;" "&amp;D1865))),MAX($K$1:K1864)+1,"")</f>
        <v/>
      </c>
    </row>
    <row r="1866" customFormat="false" ht="15" hidden="false" customHeight="false" outlineLevel="0" collapsed="false">
      <c r="A1866" s="12"/>
      <c r="B1866" s="12"/>
      <c r="C1866" s="17" t="str">
        <f aca="false">IF(B1866="","",IFERROR(INDEX(Produits!$F$2:$F$1001,MATCH(B1866,Produits!$A$2:$A$1001,0)),"⚠ code article inconnu"))</f>
        <v/>
      </c>
      <c r="D1866" s="12"/>
      <c r="E1866" s="23"/>
      <c r="F1866" s="24"/>
      <c r="G1866" s="23"/>
      <c r="H1866" s="21" t="str">
        <f aca="true">IF(E1866="","",ROUND((E1866-TODAY())/30.4,1))</f>
        <v/>
      </c>
      <c r="I1866" s="17" t="str">
        <f aca="false">IF(E1866="","",IF(H1866&lt;0,IF(LEFT(A1866,1)="Q","Périmé (en quarantaine)","PÉRIMÉ → déplacer en zone Q"),IF(H1866&lt;3,"Péremption &lt; 3 mois",IF(H1866&lt;6,"Péremption &lt; 6 mois",""))))</f>
        <v/>
      </c>
      <c r="J1866" s="17" t="str">
        <f aca="false">IF(A1866="","",IF(COUNTIF(Emplacements!$A$2:$A$1001,A1866)=0,"⚠ emplacement inconnu","OK"))</f>
        <v/>
      </c>
      <c r="K1866" s="22" t="str">
        <f aca="false">IF(AND(B1866&lt;&gt;"",ISNUMBER(SEARCH(Recherche!$C$3,C1866&amp;" "&amp;B1866&amp;" "&amp;A1866&amp;" "&amp;D1866))),MAX($K$1:K1865)+1,"")</f>
        <v/>
      </c>
    </row>
    <row r="1867" customFormat="false" ht="15" hidden="false" customHeight="false" outlineLevel="0" collapsed="false">
      <c r="A1867" s="12"/>
      <c r="B1867" s="12"/>
      <c r="C1867" s="17" t="str">
        <f aca="false">IF(B1867="","",IFERROR(INDEX(Produits!$F$2:$F$1001,MATCH(B1867,Produits!$A$2:$A$1001,0)),"⚠ code article inconnu"))</f>
        <v/>
      </c>
      <c r="D1867" s="12"/>
      <c r="E1867" s="23"/>
      <c r="F1867" s="24"/>
      <c r="G1867" s="23"/>
      <c r="H1867" s="21" t="str">
        <f aca="true">IF(E1867="","",ROUND((E1867-TODAY())/30.4,1))</f>
        <v/>
      </c>
      <c r="I1867" s="17" t="str">
        <f aca="false">IF(E1867="","",IF(H1867&lt;0,IF(LEFT(A1867,1)="Q","Périmé (en quarantaine)","PÉRIMÉ → déplacer en zone Q"),IF(H1867&lt;3,"Péremption &lt; 3 mois",IF(H1867&lt;6,"Péremption &lt; 6 mois",""))))</f>
        <v/>
      </c>
      <c r="J1867" s="17" t="str">
        <f aca="false">IF(A1867="","",IF(COUNTIF(Emplacements!$A$2:$A$1001,A1867)=0,"⚠ emplacement inconnu","OK"))</f>
        <v/>
      </c>
      <c r="K1867" s="22" t="str">
        <f aca="false">IF(AND(B1867&lt;&gt;"",ISNUMBER(SEARCH(Recherche!$C$3,C1867&amp;" "&amp;B1867&amp;" "&amp;A1867&amp;" "&amp;D1867))),MAX($K$1:K1866)+1,"")</f>
        <v/>
      </c>
    </row>
    <row r="1868" customFormat="false" ht="15" hidden="false" customHeight="false" outlineLevel="0" collapsed="false">
      <c r="A1868" s="12"/>
      <c r="B1868" s="12"/>
      <c r="C1868" s="17" t="str">
        <f aca="false">IF(B1868="","",IFERROR(INDEX(Produits!$F$2:$F$1001,MATCH(B1868,Produits!$A$2:$A$1001,0)),"⚠ code article inconnu"))</f>
        <v/>
      </c>
      <c r="D1868" s="12"/>
      <c r="E1868" s="23"/>
      <c r="F1868" s="24"/>
      <c r="G1868" s="23"/>
      <c r="H1868" s="21" t="str">
        <f aca="true">IF(E1868="","",ROUND((E1868-TODAY())/30.4,1))</f>
        <v/>
      </c>
      <c r="I1868" s="17" t="str">
        <f aca="false">IF(E1868="","",IF(H1868&lt;0,IF(LEFT(A1868,1)="Q","Périmé (en quarantaine)","PÉRIMÉ → déplacer en zone Q"),IF(H1868&lt;3,"Péremption &lt; 3 mois",IF(H1868&lt;6,"Péremption &lt; 6 mois",""))))</f>
        <v/>
      </c>
      <c r="J1868" s="17" t="str">
        <f aca="false">IF(A1868="","",IF(COUNTIF(Emplacements!$A$2:$A$1001,A1868)=0,"⚠ emplacement inconnu","OK"))</f>
        <v/>
      </c>
      <c r="K1868" s="22" t="str">
        <f aca="false">IF(AND(B1868&lt;&gt;"",ISNUMBER(SEARCH(Recherche!$C$3,C1868&amp;" "&amp;B1868&amp;" "&amp;A1868&amp;" "&amp;D1868))),MAX($K$1:K1867)+1,"")</f>
        <v/>
      </c>
    </row>
    <row r="1869" customFormat="false" ht="15" hidden="false" customHeight="false" outlineLevel="0" collapsed="false">
      <c r="A1869" s="12"/>
      <c r="B1869" s="12"/>
      <c r="C1869" s="17" t="str">
        <f aca="false">IF(B1869="","",IFERROR(INDEX(Produits!$F$2:$F$1001,MATCH(B1869,Produits!$A$2:$A$1001,0)),"⚠ code article inconnu"))</f>
        <v/>
      </c>
      <c r="D1869" s="12"/>
      <c r="E1869" s="23"/>
      <c r="F1869" s="24"/>
      <c r="G1869" s="23"/>
      <c r="H1869" s="21" t="str">
        <f aca="true">IF(E1869="","",ROUND((E1869-TODAY())/30.4,1))</f>
        <v/>
      </c>
      <c r="I1869" s="17" t="str">
        <f aca="false">IF(E1869="","",IF(H1869&lt;0,IF(LEFT(A1869,1)="Q","Périmé (en quarantaine)","PÉRIMÉ → déplacer en zone Q"),IF(H1869&lt;3,"Péremption &lt; 3 mois",IF(H1869&lt;6,"Péremption &lt; 6 mois",""))))</f>
        <v/>
      </c>
      <c r="J1869" s="17" t="str">
        <f aca="false">IF(A1869="","",IF(COUNTIF(Emplacements!$A$2:$A$1001,A1869)=0,"⚠ emplacement inconnu","OK"))</f>
        <v/>
      </c>
      <c r="K1869" s="22" t="str">
        <f aca="false">IF(AND(B1869&lt;&gt;"",ISNUMBER(SEARCH(Recherche!$C$3,C1869&amp;" "&amp;B1869&amp;" "&amp;A1869&amp;" "&amp;D1869))),MAX($K$1:K1868)+1,"")</f>
        <v/>
      </c>
    </row>
    <row r="1870" customFormat="false" ht="15" hidden="false" customHeight="false" outlineLevel="0" collapsed="false">
      <c r="A1870" s="12"/>
      <c r="B1870" s="12"/>
      <c r="C1870" s="17" t="str">
        <f aca="false">IF(B1870="","",IFERROR(INDEX(Produits!$F$2:$F$1001,MATCH(B1870,Produits!$A$2:$A$1001,0)),"⚠ code article inconnu"))</f>
        <v/>
      </c>
      <c r="D1870" s="12"/>
      <c r="E1870" s="23"/>
      <c r="F1870" s="24"/>
      <c r="G1870" s="23"/>
      <c r="H1870" s="21" t="str">
        <f aca="true">IF(E1870="","",ROUND((E1870-TODAY())/30.4,1))</f>
        <v/>
      </c>
      <c r="I1870" s="17" t="str">
        <f aca="false">IF(E1870="","",IF(H1870&lt;0,IF(LEFT(A1870,1)="Q","Périmé (en quarantaine)","PÉRIMÉ → déplacer en zone Q"),IF(H1870&lt;3,"Péremption &lt; 3 mois",IF(H1870&lt;6,"Péremption &lt; 6 mois",""))))</f>
        <v/>
      </c>
      <c r="J1870" s="17" t="str">
        <f aca="false">IF(A1870="","",IF(COUNTIF(Emplacements!$A$2:$A$1001,A1870)=0,"⚠ emplacement inconnu","OK"))</f>
        <v/>
      </c>
      <c r="K1870" s="22" t="str">
        <f aca="false">IF(AND(B1870&lt;&gt;"",ISNUMBER(SEARCH(Recherche!$C$3,C1870&amp;" "&amp;B1870&amp;" "&amp;A1870&amp;" "&amp;D1870))),MAX($K$1:K1869)+1,"")</f>
        <v/>
      </c>
    </row>
    <row r="1871" customFormat="false" ht="15" hidden="false" customHeight="false" outlineLevel="0" collapsed="false">
      <c r="A1871" s="12"/>
      <c r="B1871" s="12"/>
      <c r="C1871" s="17" t="str">
        <f aca="false">IF(B1871="","",IFERROR(INDEX(Produits!$F$2:$F$1001,MATCH(B1871,Produits!$A$2:$A$1001,0)),"⚠ code article inconnu"))</f>
        <v/>
      </c>
      <c r="D1871" s="12"/>
      <c r="E1871" s="23"/>
      <c r="F1871" s="24"/>
      <c r="G1871" s="23"/>
      <c r="H1871" s="21" t="str">
        <f aca="true">IF(E1871="","",ROUND((E1871-TODAY())/30.4,1))</f>
        <v/>
      </c>
      <c r="I1871" s="17" t="str">
        <f aca="false">IF(E1871="","",IF(H1871&lt;0,IF(LEFT(A1871,1)="Q","Périmé (en quarantaine)","PÉRIMÉ → déplacer en zone Q"),IF(H1871&lt;3,"Péremption &lt; 3 mois",IF(H1871&lt;6,"Péremption &lt; 6 mois",""))))</f>
        <v/>
      </c>
      <c r="J1871" s="17" t="str">
        <f aca="false">IF(A1871="","",IF(COUNTIF(Emplacements!$A$2:$A$1001,A1871)=0,"⚠ emplacement inconnu","OK"))</f>
        <v/>
      </c>
      <c r="K1871" s="22" t="str">
        <f aca="false">IF(AND(B1871&lt;&gt;"",ISNUMBER(SEARCH(Recherche!$C$3,C1871&amp;" "&amp;B1871&amp;" "&amp;A1871&amp;" "&amp;D1871))),MAX($K$1:K1870)+1,"")</f>
        <v/>
      </c>
    </row>
    <row r="1872" customFormat="false" ht="15" hidden="false" customHeight="false" outlineLevel="0" collapsed="false">
      <c r="A1872" s="12"/>
      <c r="B1872" s="12"/>
      <c r="C1872" s="17" t="str">
        <f aca="false">IF(B1872="","",IFERROR(INDEX(Produits!$F$2:$F$1001,MATCH(B1872,Produits!$A$2:$A$1001,0)),"⚠ code article inconnu"))</f>
        <v/>
      </c>
      <c r="D1872" s="12"/>
      <c r="E1872" s="23"/>
      <c r="F1872" s="24"/>
      <c r="G1872" s="23"/>
      <c r="H1872" s="21" t="str">
        <f aca="true">IF(E1872="","",ROUND((E1872-TODAY())/30.4,1))</f>
        <v/>
      </c>
      <c r="I1872" s="17" t="str">
        <f aca="false">IF(E1872="","",IF(H1872&lt;0,IF(LEFT(A1872,1)="Q","Périmé (en quarantaine)","PÉRIMÉ → déplacer en zone Q"),IF(H1872&lt;3,"Péremption &lt; 3 mois",IF(H1872&lt;6,"Péremption &lt; 6 mois",""))))</f>
        <v/>
      </c>
      <c r="J1872" s="17" t="str">
        <f aca="false">IF(A1872="","",IF(COUNTIF(Emplacements!$A$2:$A$1001,A1872)=0,"⚠ emplacement inconnu","OK"))</f>
        <v/>
      </c>
      <c r="K1872" s="22" t="str">
        <f aca="false">IF(AND(B1872&lt;&gt;"",ISNUMBER(SEARCH(Recherche!$C$3,C1872&amp;" "&amp;B1872&amp;" "&amp;A1872&amp;" "&amp;D1872))),MAX($K$1:K1871)+1,"")</f>
        <v/>
      </c>
    </row>
    <row r="1873" customFormat="false" ht="15" hidden="false" customHeight="false" outlineLevel="0" collapsed="false">
      <c r="A1873" s="12"/>
      <c r="B1873" s="12"/>
      <c r="C1873" s="17" t="str">
        <f aca="false">IF(B1873="","",IFERROR(INDEX(Produits!$F$2:$F$1001,MATCH(B1873,Produits!$A$2:$A$1001,0)),"⚠ code article inconnu"))</f>
        <v/>
      </c>
      <c r="D1873" s="12"/>
      <c r="E1873" s="23"/>
      <c r="F1873" s="24"/>
      <c r="G1873" s="23"/>
      <c r="H1873" s="21" t="str">
        <f aca="true">IF(E1873="","",ROUND((E1873-TODAY())/30.4,1))</f>
        <v/>
      </c>
      <c r="I1873" s="17" t="str">
        <f aca="false">IF(E1873="","",IF(H1873&lt;0,IF(LEFT(A1873,1)="Q","Périmé (en quarantaine)","PÉRIMÉ → déplacer en zone Q"),IF(H1873&lt;3,"Péremption &lt; 3 mois",IF(H1873&lt;6,"Péremption &lt; 6 mois",""))))</f>
        <v/>
      </c>
      <c r="J1873" s="17" t="str">
        <f aca="false">IF(A1873="","",IF(COUNTIF(Emplacements!$A$2:$A$1001,A1873)=0,"⚠ emplacement inconnu","OK"))</f>
        <v/>
      </c>
      <c r="K1873" s="22" t="str">
        <f aca="false">IF(AND(B1873&lt;&gt;"",ISNUMBER(SEARCH(Recherche!$C$3,C1873&amp;" "&amp;B1873&amp;" "&amp;A1873&amp;" "&amp;D1873))),MAX($K$1:K1872)+1,"")</f>
        <v/>
      </c>
    </row>
    <row r="1874" customFormat="false" ht="15" hidden="false" customHeight="false" outlineLevel="0" collapsed="false">
      <c r="A1874" s="12"/>
      <c r="B1874" s="12"/>
      <c r="C1874" s="17" t="str">
        <f aca="false">IF(B1874="","",IFERROR(INDEX(Produits!$F$2:$F$1001,MATCH(B1874,Produits!$A$2:$A$1001,0)),"⚠ code article inconnu"))</f>
        <v/>
      </c>
      <c r="D1874" s="12"/>
      <c r="E1874" s="23"/>
      <c r="F1874" s="24"/>
      <c r="G1874" s="23"/>
      <c r="H1874" s="21" t="str">
        <f aca="true">IF(E1874="","",ROUND((E1874-TODAY())/30.4,1))</f>
        <v/>
      </c>
      <c r="I1874" s="17" t="str">
        <f aca="false">IF(E1874="","",IF(H1874&lt;0,IF(LEFT(A1874,1)="Q","Périmé (en quarantaine)","PÉRIMÉ → déplacer en zone Q"),IF(H1874&lt;3,"Péremption &lt; 3 mois",IF(H1874&lt;6,"Péremption &lt; 6 mois",""))))</f>
        <v/>
      </c>
      <c r="J1874" s="17" t="str">
        <f aca="false">IF(A1874="","",IF(COUNTIF(Emplacements!$A$2:$A$1001,A1874)=0,"⚠ emplacement inconnu","OK"))</f>
        <v/>
      </c>
      <c r="K1874" s="22" t="str">
        <f aca="false">IF(AND(B1874&lt;&gt;"",ISNUMBER(SEARCH(Recherche!$C$3,C1874&amp;" "&amp;B1874&amp;" "&amp;A1874&amp;" "&amp;D1874))),MAX($K$1:K1873)+1,"")</f>
        <v/>
      </c>
    </row>
    <row r="1875" customFormat="false" ht="15" hidden="false" customHeight="false" outlineLevel="0" collapsed="false">
      <c r="A1875" s="12"/>
      <c r="B1875" s="12"/>
      <c r="C1875" s="17" t="str">
        <f aca="false">IF(B1875="","",IFERROR(INDEX(Produits!$F$2:$F$1001,MATCH(B1875,Produits!$A$2:$A$1001,0)),"⚠ code article inconnu"))</f>
        <v/>
      </c>
      <c r="D1875" s="12"/>
      <c r="E1875" s="23"/>
      <c r="F1875" s="24"/>
      <c r="G1875" s="23"/>
      <c r="H1875" s="21" t="str">
        <f aca="true">IF(E1875="","",ROUND((E1875-TODAY())/30.4,1))</f>
        <v/>
      </c>
      <c r="I1875" s="17" t="str">
        <f aca="false">IF(E1875="","",IF(H1875&lt;0,IF(LEFT(A1875,1)="Q","Périmé (en quarantaine)","PÉRIMÉ → déplacer en zone Q"),IF(H1875&lt;3,"Péremption &lt; 3 mois",IF(H1875&lt;6,"Péremption &lt; 6 mois",""))))</f>
        <v/>
      </c>
      <c r="J1875" s="17" t="str">
        <f aca="false">IF(A1875="","",IF(COUNTIF(Emplacements!$A$2:$A$1001,A1875)=0,"⚠ emplacement inconnu","OK"))</f>
        <v/>
      </c>
      <c r="K1875" s="22" t="str">
        <f aca="false">IF(AND(B1875&lt;&gt;"",ISNUMBER(SEARCH(Recherche!$C$3,C1875&amp;" "&amp;B1875&amp;" "&amp;A1875&amp;" "&amp;D1875))),MAX($K$1:K1874)+1,"")</f>
        <v/>
      </c>
    </row>
    <row r="1876" customFormat="false" ht="15" hidden="false" customHeight="false" outlineLevel="0" collapsed="false">
      <c r="A1876" s="12"/>
      <c r="B1876" s="12"/>
      <c r="C1876" s="17" t="str">
        <f aca="false">IF(B1876="","",IFERROR(INDEX(Produits!$F$2:$F$1001,MATCH(B1876,Produits!$A$2:$A$1001,0)),"⚠ code article inconnu"))</f>
        <v/>
      </c>
      <c r="D1876" s="12"/>
      <c r="E1876" s="23"/>
      <c r="F1876" s="24"/>
      <c r="G1876" s="23"/>
      <c r="H1876" s="21" t="str">
        <f aca="true">IF(E1876="","",ROUND((E1876-TODAY())/30.4,1))</f>
        <v/>
      </c>
      <c r="I1876" s="17" t="str">
        <f aca="false">IF(E1876="","",IF(H1876&lt;0,IF(LEFT(A1876,1)="Q","Périmé (en quarantaine)","PÉRIMÉ → déplacer en zone Q"),IF(H1876&lt;3,"Péremption &lt; 3 mois",IF(H1876&lt;6,"Péremption &lt; 6 mois",""))))</f>
        <v/>
      </c>
      <c r="J1876" s="17" t="str">
        <f aca="false">IF(A1876="","",IF(COUNTIF(Emplacements!$A$2:$A$1001,A1876)=0,"⚠ emplacement inconnu","OK"))</f>
        <v/>
      </c>
      <c r="K1876" s="22" t="str">
        <f aca="false">IF(AND(B1876&lt;&gt;"",ISNUMBER(SEARCH(Recherche!$C$3,C1876&amp;" "&amp;B1876&amp;" "&amp;A1876&amp;" "&amp;D1876))),MAX($K$1:K1875)+1,"")</f>
        <v/>
      </c>
    </row>
    <row r="1877" customFormat="false" ht="15" hidden="false" customHeight="false" outlineLevel="0" collapsed="false">
      <c r="A1877" s="12"/>
      <c r="B1877" s="12"/>
      <c r="C1877" s="17" t="str">
        <f aca="false">IF(B1877="","",IFERROR(INDEX(Produits!$F$2:$F$1001,MATCH(B1877,Produits!$A$2:$A$1001,0)),"⚠ code article inconnu"))</f>
        <v/>
      </c>
      <c r="D1877" s="12"/>
      <c r="E1877" s="23"/>
      <c r="F1877" s="24"/>
      <c r="G1877" s="23"/>
      <c r="H1877" s="21" t="str">
        <f aca="true">IF(E1877="","",ROUND((E1877-TODAY())/30.4,1))</f>
        <v/>
      </c>
      <c r="I1877" s="17" t="str">
        <f aca="false">IF(E1877="","",IF(H1877&lt;0,IF(LEFT(A1877,1)="Q","Périmé (en quarantaine)","PÉRIMÉ → déplacer en zone Q"),IF(H1877&lt;3,"Péremption &lt; 3 mois",IF(H1877&lt;6,"Péremption &lt; 6 mois",""))))</f>
        <v/>
      </c>
      <c r="J1877" s="17" t="str">
        <f aca="false">IF(A1877="","",IF(COUNTIF(Emplacements!$A$2:$A$1001,A1877)=0,"⚠ emplacement inconnu","OK"))</f>
        <v/>
      </c>
      <c r="K1877" s="22" t="str">
        <f aca="false">IF(AND(B1877&lt;&gt;"",ISNUMBER(SEARCH(Recherche!$C$3,C1877&amp;" "&amp;B1877&amp;" "&amp;A1877&amp;" "&amp;D1877))),MAX($K$1:K1876)+1,"")</f>
        <v/>
      </c>
    </row>
    <row r="1878" customFormat="false" ht="15" hidden="false" customHeight="false" outlineLevel="0" collapsed="false">
      <c r="A1878" s="12"/>
      <c r="B1878" s="12"/>
      <c r="C1878" s="17" t="str">
        <f aca="false">IF(B1878="","",IFERROR(INDEX(Produits!$F$2:$F$1001,MATCH(B1878,Produits!$A$2:$A$1001,0)),"⚠ code article inconnu"))</f>
        <v/>
      </c>
      <c r="D1878" s="12"/>
      <c r="E1878" s="23"/>
      <c r="F1878" s="24"/>
      <c r="G1878" s="23"/>
      <c r="H1878" s="21" t="str">
        <f aca="true">IF(E1878="","",ROUND((E1878-TODAY())/30.4,1))</f>
        <v/>
      </c>
      <c r="I1878" s="17" t="str">
        <f aca="false">IF(E1878="","",IF(H1878&lt;0,IF(LEFT(A1878,1)="Q","Périmé (en quarantaine)","PÉRIMÉ → déplacer en zone Q"),IF(H1878&lt;3,"Péremption &lt; 3 mois",IF(H1878&lt;6,"Péremption &lt; 6 mois",""))))</f>
        <v/>
      </c>
      <c r="J1878" s="17" t="str">
        <f aca="false">IF(A1878="","",IF(COUNTIF(Emplacements!$A$2:$A$1001,A1878)=0,"⚠ emplacement inconnu","OK"))</f>
        <v/>
      </c>
      <c r="K1878" s="22" t="str">
        <f aca="false">IF(AND(B1878&lt;&gt;"",ISNUMBER(SEARCH(Recherche!$C$3,C1878&amp;" "&amp;B1878&amp;" "&amp;A1878&amp;" "&amp;D1878))),MAX($K$1:K1877)+1,"")</f>
        <v/>
      </c>
    </row>
    <row r="1879" customFormat="false" ht="15" hidden="false" customHeight="false" outlineLevel="0" collapsed="false">
      <c r="A1879" s="12"/>
      <c r="B1879" s="12"/>
      <c r="C1879" s="17" t="str">
        <f aca="false">IF(B1879="","",IFERROR(INDEX(Produits!$F$2:$F$1001,MATCH(B1879,Produits!$A$2:$A$1001,0)),"⚠ code article inconnu"))</f>
        <v/>
      </c>
      <c r="D1879" s="12"/>
      <c r="E1879" s="23"/>
      <c r="F1879" s="24"/>
      <c r="G1879" s="23"/>
      <c r="H1879" s="21" t="str">
        <f aca="true">IF(E1879="","",ROUND((E1879-TODAY())/30.4,1))</f>
        <v/>
      </c>
      <c r="I1879" s="17" t="str">
        <f aca="false">IF(E1879="","",IF(H1879&lt;0,IF(LEFT(A1879,1)="Q","Périmé (en quarantaine)","PÉRIMÉ → déplacer en zone Q"),IF(H1879&lt;3,"Péremption &lt; 3 mois",IF(H1879&lt;6,"Péremption &lt; 6 mois",""))))</f>
        <v/>
      </c>
      <c r="J1879" s="17" t="str">
        <f aca="false">IF(A1879="","",IF(COUNTIF(Emplacements!$A$2:$A$1001,A1879)=0,"⚠ emplacement inconnu","OK"))</f>
        <v/>
      </c>
      <c r="K1879" s="22" t="str">
        <f aca="false">IF(AND(B1879&lt;&gt;"",ISNUMBER(SEARCH(Recherche!$C$3,C1879&amp;" "&amp;B1879&amp;" "&amp;A1879&amp;" "&amp;D1879))),MAX($K$1:K1878)+1,"")</f>
        <v/>
      </c>
    </row>
    <row r="1880" customFormat="false" ht="15" hidden="false" customHeight="false" outlineLevel="0" collapsed="false">
      <c r="A1880" s="12"/>
      <c r="B1880" s="12"/>
      <c r="C1880" s="17" t="str">
        <f aca="false">IF(B1880="","",IFERROR(INDEX(Produits!$F$2:$F$1001,MATCH(B1880,Produits!$A$2:$A$1001,0)),"⚠ code article inconnu"))</f>
        <v/>
      </c>
      <c r="D1880" s="12"/>
      <c r="E1880" s="23"/>
      <c r="F1880" s="24"/>
      <c r="G1880" s="23"/>
      <c r="H1880" s="21" t="str">
        <f aca="true">IF(E1880="","",ROUND((E1880-TODAY())/30.4,1))</f>
        <v/>
      </c>
      <c r="I1880" s="17" t="str">
        <f aca="false">IF(E1880="","",IF(H1880&lt;0,IF(LEFT(A1880,1)="Q","Périmé (en quarantaine)","PÉRIMÉ → déplacer en zone Q"),IF(H1880&lt;3,"Péremption &lt; 3 mois",IF(H1880&lt;6,"Péremption &lt; 6 mois",""))))</f>
        <v/>
      </c>
      <c r="J1880" s="17" t="str">
        <f aca="false">IF(A1880="","",IF(COUNTIF(Emplacements!$A$2:$A$1001,A1880)=0,"⚠ emplacement inconnu","OK"))</f>
        <v/>
      </c>
      <c r="K1880" s="22" t="str">
        <f aca="false">IF(AND(B1880&lt;&gt;"",ISNUMBER(SEARCH(Recherche!$C$3,C1880&amp;" "&amp;B1880&amp;" "&amp;A1880&amp;" "&amp;D1880))),MAX($K$1:K1879)+1,"")</f>
        <v/>
      </c>
    </row>
    <row r="1881" customFormat="false" ht="15" hidden="false" customHeight="false" outlineLevel="0" collapsed="false">
      <c r="A1881" s="12"/>
      <c r="B1881" s="12"/>
      <c r="C1881" s="17" t="str">
        <f aca="false">IF(B1881="","",IFERROR(INDEX(Produits!$F$2:$F$1001,MATCH(B1881,Produits!$A$2:$A$1001,0)),"⚠ code article inconnu"))</f>
        <v/>
      </c>
      <c r="D1881" s="12"/>
      <c r="E1881" s="23"/>
      <c r="F1881" s="24"/>
      <c r="G1881" s="23"/>
      <c r="H1881" s="21" t="str">
        <f aca="true">IF(E1881="","",ROUND((E1881-TODAY())/30.4,1))</f>
        <v/>
      </c>
      <c r="I1881" s="17" t="str">
        <f aca="false">IF(E1881="","",IF(H1881&lt;0,IF(LEFT(A1881,1)="Q","Périmé (en quarantaine)","PÉRIMÉ → déplacer en zone Q"),IF(H1881&lt;3,"Péremption &lt; 3 mois",IF(H1881&lt;6,"Péremption &lt; 6 mois",""))))</f>
        <v/>
      </c>
      <c r="J1881" s="17" t="str">
        <f aca="false">IF(A1881="","",IF(COUNTIF(Emplacements!$A$2:$A$1001,A1881)=0,"⚠ emplacement inconnu","OK"))</f>
        <v/>
      </c>
      <c r="K1881" s="22" t="str">
        <f aca="false">IF(AND(B1881&lt;&gt;"",ISNUMBER(SEARCH(Recherche!$C$3,C1881&amp;" "&amp;B1881&amp;" "&amp;A1881&amp;" "&amp;D1881))),MAX($K$1:K1880)+1,"")</f>
        <v/>
      </c>
    </row>
    <row r="1882" customFormat="false" ht="15" hidden="false" customHeight="false" outlineLevel="0" collapsed="false">
      <c r="A1882" s="12"/>
      <c r="B1882" s="12"/>
      <c r="C1882" s="17" t="str">
        <f aca="false">IF(B1882="","",IFERROR(INDEX(Produits!$F$2:$F$1001,MATCH(B1882,Produits!$A$2:$A$1001,0)),"⚠ code article inconnu"))</f>
        <v/>
      </c>
      <c r="D1882" s="12"/>
      <c r="E1882" s="23"/>
      <c r="F1882" s="24"/>
      <c r="G1882" s="23"/>
      <c r="H1882" s="21" t="str">
        <f aca="true">IF(E1882="","",ROUND((E1882-TODAY())/30.4,1))</f>
        <v/>
      </c>
      <c r="I1882" s="17" t="str">
        <f aca="false">IF(E1882="","",IF(H1882&lt;0,IF(LEFT(A1882,1)="Q","Périmé (en quarantaine)","PÉRIMÉ → déplacer en zone Q"),IF(H1882&lt;3,"Péremption &lt; 3 mois",IF(H1882&lt;6,"Péremption &lt; 6 mois",""))))</f>
        <v/>
      </c>
      <c r="J1882" s="17" t="str">
        <f aca="false">IF(A1882="","",IF(COUNTIF(Emplacements!$A$2:$A$1001,A1882)=0,"⚠ emplacement inconnu","OK"))</f>
        <v/>
      </c>
      <c r="K1882" s="22" t="str">
        <f aca="false">IF(AND(B1882&lt;&gt;"",ISNUMBER(SEARCH(Recherche!$C$3,C1882&amp;" "&amp;B1882&amp;" "&amp;A1882&amp;" "&amp;D1882))),MAX($K$1:K1881)+1,"")</f>
        <v/>
      </c>
    </row>
    <row r="1883" customFormat="false" ht="15" hidden="false" customHeight="false" outlineLevel="0" collapsed="false">
      <c r="A1883" s="12"/>
      <c r="B1883" s="12"/>
      <c r="C1883" s="17" t="str">
        <f aca="false">IF(B1883="","",IFERROR(INDEX(Produits!$F$2:$F$1001,MATCH(B1883,Produits!$A$2:$A$1001,0)),"⚠ code article inconnu"))</f>
        <v/>
      </c>
      <c r="D1883" s="12"/>
      <c r="E1883" s="23"/>
      <c r="F1883" s="24"/>
      <c r="G1883" s="23"/>
      <c r="H1883" s="21" t="str">
        <f aca="true">IF(E1883="","",ROUND((E1883-TODAY())/30.4,1))</f>
        <v/>
      </c>
      <c r="I1883" s="17" t="str">
        <f aca="false">IF(E1883="","",IF(H1883&lt;0,IF(LEFT(A1883,1)="Q","Périmé (en quarantaine)","PÉRIMÉ → déplacer en zone Q"),IF(H1883&lt;3,"Péremption &lt; 3 mois",IF(H1883&lt;6,"Péremption &lt; 6 mois",""))))</f>
        <v/>
      </c>
      <c r="J1883" s="17" t="str">
        <f aca="false">IF(A1883="","",IF(COUNTIF(Emplacements!$A$2:$A$1001,A1883)=0,"⚠ emplacement inconnu","OK"))</f>
        <v/>
      </c>
      <c r="K1883" s="22" t="str">
        <f aca="false">IF(AND(B1883&lt;&gt;"",ISNUMBER(SEARCH(Recherche!$C$3,C1883&amp;" "&amp;B1883&amp;" "&amp;A1883&amp;" "&amp;D1883))),MAX($K$1:K1882)+1,"")</f>
        <v/>
      </c>
    </row>
    <row r="1884" customFormat="false" ht="15" hidden="false" customHeight="false" outlineLevel="0" collapsed="false">
      <c r="A1884" s="12"/>
      <c r="B1884" s="12"/>
      <c r="C1884" s="17" t="str">
        <f aca="false">IF(B1884="","",IFERROR(INDEX(Produits!$F$2:$F$1001,MATCH(B1884,Produits!$A$2:$A$1001,0)),"⚠ code article inconnu"))</f>
        <v/>
      </c>
      <c r="D1884" s="12"/>
      <c r="E1884" s="23"/>
      <c r="F1884" s="24"/>
      <c r="G1884" s="23"/>
      <c r="H1884" s="21" t="str">
        <f aca="true">IF(E1884="","",ROUND((E1884-TODAY())/30.4,1))</f>
        <v/>
      </c>
      <c r="I1884" s="17" t="str">
        <f aca="false">IF(E1884="","",IF(H1884&lt;0,IF(LEFT(A1884,1)="Q","Périmé (en quarantaine)","PÉRIMÉ → déplacer en zone Q"),IF(H1884&lt;3,"Péremption &lt; 3 mois",IF(H1884&lt;6,"Péremption &lt; 6 mois",""))))</f>
        <v/>
      </c>
      <c r="J1884" s="17" t="str">
        <f aca="false">IF(A1884="","",IF(COUNTIF(Emplacements!$A$2:$A$1001,A1884)=0,"⚠ emplacement inconnu","OK"))</f>
        <v/>
      </c>
      <c r="K1884" s="22" t="str">
        <f aca="false">IF(AND(B1884&lt;&gt;"",ISNUMBER(SEARCH(Recherche!$C$3,C1884&amp;" "&amp;B1884&amp;" "&amp;A1884&amp;" "&amp;D1884))),MAX($K$1:K1883)+1,"")</f>
        <v/>
      </c>
    </row>
    <row r="1885" customFormat="false" ht="15" hidden="false" customHeight="false" outlineLevel="0" collapsed="false">
      <c r="A1885" s="12"/>
      <c r="B1885" s="12"/>
      <c r="C1885" s="17" t="str">
        <f aca="false">IF(B1885="","",IFERROR(INDEX(Produits!$F$2:$F$1001,MATCH(B1885,Produits!$A$2:$A$1001,0)),"⚠ code article inconnu"))</f>
        <v/>
      </c>
      <c r="D1885" s="12"/>
      <c r="E1885" s="23"/>
      <c r="F1885" s="24"/>
      <c r="G1885" s="23"/>
      <c r="H1885" s="21" t="str">
        <f aca="true">IF(E1885="","",ROUND((E1885-TODAY())/30.4,1))</f>
        <v/>
      </c>
      <c r="I1885" s="17" t="str">
        <f aca="false">IF(E1885="","",IF(H1885&lt;0,IF(LEFT(A1885,1)="Q","Périmé (en quarantaine)","PÉRIMÉ → déplacer en zone Q"),IF(H1885&lt;3,"Péremption &lt; 3 mois",IF(H1885&lt;6,"Péremption &lt; 6 mois",""))))</f>
        <v/>
      </c>
      <c r="J1885" s="17" t="str">
        <f aca="false">IF(A1885="","",IF(COUNTIF(Emplacements!$A$2:$A$1001,A1885)=0,"⚠ emplacement inconnu","OK"))</f>
        <v/>
      </c>
      <c r="K1885" s="22" t="str">
        <f aca="false">IF(AND(B1885&lt;&gt;"",ISNUMBER(SEARCH(Recherche!$C$3,C1885&amp;" "&amp;B1885&amp;" "&amp;A1885&amp;" "&amp;D1885))),MAX($K$1:K1884)+1,"")</f>
        <v/>
      </c>
    </row>
    <row r="1886" customFormat="false" ht="15" hidden="false" customHeight="false" outlineLevel="0" collapsed="false">
      <c r="A1886" s="12"/>
      <c r="B1886" s="12"/>
      <c r="C1886" s="17" t="str">
        <f aca="false">IF(B1886="","",IFERROR(INDEX(Produits!$F$2:$F$1001,MATCH(B1886,Produits!$A$2:$A$1001,0)),"⚠ code article inconnu"))</f>
        <v/>
      </c>
      <c r="D1886" s="12"/>
      <c r="E1886" s="23"/>
      <c r="F1886" s="24"/>
      <c r="G1886" s="23"/>
      <c r="H1886" s="21" t="str">
        <f aca="true">IF(E1886="","",ROUND((E1886-TODAY())/30.4,1))</f>
        <v/>
      </c>
      <c r="I1886" s="17" t="str">
        <f aca="false">IF(E1886="","",IF(H1886&lt;0,IF(LEFT(A1886,1)="Q","Périmé (en quarantaine)","PÉRIMÉ → déplacer en zone Q"),IF(H1886&lt;3,"Péremption &lt; 3 mois",IF(H1886&lt;6,"Péremption &lt; 6 mois",""))))</f>
        <v/>
      </c>
      <c r="J1886" s="17" t="str">
        <f aca="false">IF(A1886="","",IF(COUNTIF(Emplacements!$A$2:$A$1001,A1886)=0,"⚠ emplacement inconnu","OK"))</f>
        <v/>
      </c>
      <c r="K1886" s="22" t="str">
        <f aca="false">IF(AND(B1886&lt;&gt;"",ISNUMBER(SEARCH(Recherche!$C$3,C1886&amp;" "&amp;B1886&amp;" "&amp;A1886&amp;" "&amp;D1886))),MAX($K$1:K1885)+1,"")</f>
        <v/>
      </c>
    </row>
    <row r="1887" customFormat="false" ht="15" hidden="false" customHeight="false" outlineLevel="0" collapsed="false">
      <c r="A1887" s="12"/>
      <c r="B1887" s="12"/>
      <c r="C1887" s="17" t="str">
        <f aca="false">IF(B1887="","",IFERROR(INDEX(Produits!$F$2:$F$1001,MATCH(B1887,Produits!$A$2:$A$1001,0)),"⚠ code article inconnu"))</f>
        <v/>
      </c>
      <c r="D1887" s="12"/>
      <c r="E1887" s="23"/>
      <c r="F1887" s="24"/>
      <c r="G1887" s="23"/>
      <c r="H1887" s="21" t="str">
        <f aca="true">IF(E1887="","",ROUND((E1887-TODAY())/30.4,1))</f>
        <v/>
      </c>
      <c r="I1887" s="17" t="str">
        <f aca="false">IF(E1887="","",IF(H1887&lt;0,IF(LEFT(A1887,1)="Q","Périmé (en quarantaine)","PÉRIMÉ → déplacer en zone Q"),IF(H1887&lt;3,"Péremption &lt; 3 mois",IF(H1887&lt;6,"Péremption &lt; 6 mois",""))))</f>
        <v/>
      </c>
      <c r="J1887" s="17" t="str">
        <f aca="false">IF(A1887="","",IF(COUNTIF(Emplacements!$A$2:$A$1001,A1887)=0,"⚠ emplacement inconnu","OK"))</f>
        <v/>
      </c>
      <c r="K1887" s="22" t="str">
        <f aca="false">IF(AND(B1887&lt;&gt;"",ISNUMBER(SEARCH(Recherche!$C$3,C1887&amp;" "&amp;B1887&amp;" "&amp;A1887&amp;" "&amp;D1887))),MAX($K$1:K1886)+1,"")</f>
        <v/>
      </c>
    </row>
    <row r="1888" customFormat="false" ht="15" hidden="false" customHeight="false" outlineLevel="0" collapsed="false">
      <c r="A1888" s="12"/>
      <c r="B1888" s="12"/>
      <c r="C1888" s="17" t="str">
        <f aca="false">IF(B1888="","",IFERROR(INDEX(Produits!$F$2:$F$1001,MATCH(B1888,Produits!$A$2:$A$1001,0)),"⚠ code article inconnu"))</f>
        <v/>
      </c>
      <c r="D1888" s="12"/>
      <c r="E1888" s="23"/>
      <c r="F1888" s="24"/>
      <c r="G1888" s="23"/>
      <c r="H1888" s="21" t="str">
        <f aca="true">IF(E1888="","",ROUND((E1888-TODAY())/30.4,1))</f>
        <v/>
      </c>
      <c r="I1888" s="17" t="str">
        <f aca="false">IF(E1888="","",IF(H1888&lt;0,IF(LEFT(A1888,1)="Q","Périmé (en quarantaine)","PÉRIMÉ → déplacer en zone Q"),IF(H1888&lt;3,"Péremption &lt; 3 mois",IF(H1888&lt;6,"Péremption &lt; 6 mois",""))))</f>
        <v/>
      </c>
      <c r="J1888" s="17" t="str">
        <f aca="false">IF(A1888="","",IF(COUNTIF(Emplacements!$A$2:$A$1001,A1888)=0,"⚠ emplacement inconnu","OK"))</f>
        <v/>
      </c>
      <c r="K1888" s="22" t="str">
        <f aca="false">IF(AND(B1888&lt;&gt;"",ISNUMBER(SEARCH(Recherche!$C$3,C1888&amp;" "&amp;B1888&amp;" "&amp;A1888&amp;" "&amp;D1888))),MAX($K$1:K1887)+1,"")</f>
        <v/>
      </c>
    </row>
    <row r="1889" customFormat="false" ht="15" hidden="false" customHeight="false" outlineLevel="0" collapsed="false">
      <c r="A1889" s="12"/>
      <c r="B1889" s="12"/>
      <c r="C1889" s="17" t="str">
        <f aca="false">IF(B1889="","",IFERROR(INDEX(Produits!$F$2:$F$1001,MATCH(B1889,Produits!$A$2:$A$1001,0)),"⚠ code article inconnu"))</f>
        <v/>
      </c>
      <c r="D1889" s="12"/>
      <c r="E1889" s="23"/>
      <c r="F1889" s="24"/>
      <c r="G1889" s="23"/>
      <c r="H1889" s="21" t="str">
        <f aca="true">IF(E1889="","",ROUND((E1889-TODAY())/30.4,1))</f>
        <v/>
      </c>
      <c r="I1889" s="17" t="str">
        <f aca="false">IF(E1889="","",IF(H1889&lt;0,IF(LEFT(A1889,1)="Q","Périmé (en quarantaine)","PÉRIMÉ → déplacer en zone Q"),IF(H1889&lt;3,"Péremption &lt; 3 mois",IF(H1889&lt;6,"Péremption &lt; 6 mois",""))))</f>
        <v/>
      </c>
      <c r="J1889" s="17" t="str">
        <f aca="false">IF(A1889="","",IF(COUNTIF(Emplacements!$A$2:$A$1001,A1889)=0,"⚠ emplacement inconnu","OK"))</f>
        <v/>
      </c>
      <c r="K1889" s="22" t="str">
        <f aca="false">IF(AND(B1889&lt;&gt;"",ISNUMBER(SEARCH(Recherche!$C$3,C1889&amp;" "&amp;B1889&amp;" "&amp;A1889&amp;" "&amp;D1889))),MAX($K$1:K1888)+1,"")</f>
        <v/>
      </c>
    </row>
    <row r="1890" customFormat="false" ht="15" hidden="false" customHeight="false" outlineLevel="0" collapsed="false">
      <c r="A1890" s="12"/>
      <c r="B1890" s="12"/>
      <c r="C1890" s="17" t="str">
        <f aca="false">IF(B1890="","",IFERROR(INDEX(Produits!$F$2:$F$1001,MATCH(B1890,Produits!$A$2:$A$1001,0)),"⚠ code article inconnu"))</f>
        <v/>
      </c>
      <c r="D1890" s="12"/>
      <c r="E1890" s="23"/>
      <c r="F1890" s="24"/>
      <c r="G1890" s="23"/>
      <c r="H1890" s="21" t="str">
        <f aca="true">IF(E1890="","",ROUND((E1890-TODAY())/30.4,1))</f>
        <v/>
      </c>
      <c r="I1890" s="17" t="str">
        <f aca="false">IF(E1890="","",IF(H1890&lt;0,IF(LEFT(A1890,1)="Q","Périmé (en quarantaine)","PÉRIMÉ → déplacer en zone Q"),IF(H1890&lt;3,"Péremption &lt; 3 mois",IF(H1890&lt;6,"Péremption &lt; 6 mois",""))))</f>
        <v/>
      </c>
      <c r="J1890" s="17" t="str">
        <f aca="false">IF(A1890="","",IF(COUNTIF(Emplacements!$A$2:$A$1001,A1890)=0,"⚠ emplacement inconnu","OK"))</f>
        <v/>
      </c>
      <c r="K1890" s="22" t="str">
        <f aca="false">IF(AND(B1890&lt;&gt;"",ISNUMBER(SEARCH(Recherche!$C$3,C1890&amp;" "&amp;B1890&amp;" "&amp;A1890&amp;" "&amp;D1890))),MAX($K$1:K1889)+1,"")</f>
        <v/>
      </c>
    </row>
    <row r="1891" customFormat="false" ht="15" hidden="false" customHeight="false" outlineLevel="0" collapsed="false">
      <c r="A1891" s="12"/>
      <c r="B1891" s="12"/>
      <c r="C1891" s="17" t="str">
        <f aca="false">IF(B1891="","",IFERROR(INDEX(Produits!$F$2:$F$1001,MATCH(B1891,Produits!$A$2:$A$1001,0)),"⚠ code article inconnu"))</f>
        <v/>
      </c>
      <c r="D1891" s="12"/>
      <c r="E1891" s="23"/>
      <c r="F1891" s="24"/>
      <c r="G1891" s="23"/>
      <c r="H1891" s="21" t="str">
        <f aca="true">IF(E1891="","",ROUND((E1891-TODAY())/30.4,1))</f>
        <v/>
      </c>
      <c r="I1891" s="17" t="str">
        <f aca="false">IF(E1891="","",IF(H1891&lt;0,IF(LEFT(A1891,1)="Q","Périmé (en quarantaine)","PÉRIMÉ → déplacer en zone Q"),IF(H1891&lt;3,"Péremption &lt; 3 mois",IF(H1891&lt;6,"Péremption &lt; 6 mois",""))))</f>
        <v/>
      </c>
      <c r="J1891" s="17" t="str">
        <f aca="false">IF(A1891="","",IF(COUNTIF(Emplacements!$A$2:$A$1001,A1891)=0,"⚠ emplacement inconnu","OK"))</f>
        <v/>
      </c>
      <c r="K1891" s="22" t="str">
        <f aca="false">IF(AND(B1891&lt;&gt;"",ISNUMBER(SEARCH(Recherche!$C$3,C1891&amp;" "&amp;B1891&amp;" "&amp;A1891&amp;" "&amp;D1891))),MAX($K$1:K1890)+1,"")</f>
        <v/>
      </c>
    </row>
    <row r="1892" customFormat="false" ht="15" hidden="false" customHeight="false" outlineLevel="0" collapsed="false">
      <c r="A1892" s="12"/>
      <c r="B1892" s="12"/>
      <c r="C1892" s="17" t="str">
        <f aca="false">IF(B1892="","",IFERROR(INDEX(Produits!$F$2:$F$1001,MATCH(B1892,Produits!$A$2:$A$1001,0)),"⚠ code article inconnu"))</f>
        <v/>
      </c>
      <c r="D1892" s="12"/>
      <c r="E1892" s="23"/>
      <c r="F1892" s="24"/>
      <c r="G1892" s="23"/>
      <c r="H1892" s="21" t="str">
        <f aca="true">IF(E1892="","",ROUND((E1892-TODAY())/30.4,1))</f>
        <v/>
      </c>
      <c r="I1892" s="17" t="str">
        <f aca="false">IF(E1892="","",IF(H1892&lt;0,IF(LEFT(A1892,1)="Q","Périmé (en quarantaine)","PÉRIMÉ → déplacer en zone Q"),IF(H1892&lt;3,"Péremption &lt; 3 mois",IF(H1892&lt;6,"Péremption &lt; 6 mois",""))))</f>
        <v/>
      </c>
      <c r="J1892" s="17" t="str">
        <f aca="false">IF(A1892="","",IF(COUNTIF(Emplacements!$A$2:$A$1001,A1892)=0,"⚠ emplacement inconnu","OK"))</f>
        <v/>
      </c>
      <c r="K1892" s="22" t="str">
        <f aca="false">IF(AND(B1892&lt;&gt;"",ISNUMBER(SEARCH(Recherche!$C$3,C1892&amp;" "&amp;B1892&amp;" "&amp;A1892&amp;" "&amp;D1892))),MAX($K$1:K1891)+1,"")</f>
        <v/>
      </c>
    </row>
    <row r="1893" customFormat="false" ht="15" hidden="false" customHeight="false" outlineLevel="0" collapsed="false">
      <c r="A1893" s="12"/>
      <c r="B1893" s="12"/>
      <c r="C1893" s="17" t="str">
        <f aca="false">IF(B1893="","",IFERROR(INDEX(Produits!$F$2:$F$1001,MATCH(B1893,Produits!$A$2:$A$1001,0)),"⚠ code article inconnu"))</f>
        <v/>
      </c>
      <c r="D1893" s="12"/>
      <c r="E1893" s="23"/>
      <c r="F1893" s="24"/>
      <c r="G1893" s="23"/>
      <c r="H1893" s="21" t="str">
        <f aca="true">IF(E1893="","",ROUND((E1893-TODAY())/30.4,1))</f>
        <v/>
      </c>
      <c r="I1893" s="17" t="str">
        <f aca="false">IF(E1893="","",IF(H1893&lt;0,IF(LEFT(A1893,1)="Q","Périmé (en quarantaine)","PÉRIMÉ → déplacer en zone Q"),IF(H1893&lt;3,"Péremption &lt; 3 mois",IF(H1893&lt;6,"Péremption &lt; 6 mois",""))))</f>
        <v/>
      </c>
      <c r="J1893" s="17" t="str">
        <f aca="false">IF(A1893="","",IF(COUNTIF(Emplacements!$A$2:$A$1001,A1893)=0,"⚠ emplacement inconnu","OK"))</f>
        <v/>
      </c>
      <c r="K1893" s="22" t="str">
        <f aca="false">IF(AND(B1893&lt;&gt;"",ISNUMBER(SEARCH(Recherche!$C$3,C1893&amp;" "&amp;B1893&amp;" "&amp;A1893&amp;" "&amp;D1893))),MAX($K$1:K1892)+1,"")</f>
        <v/>
      </c>
    </row>
    <row r="1894" customFormat="false" ht="15" hidden="false" customHeight="false" outlineLevel="0" collapsed="false">
      <c r="A1894" s="12"/>
      <c r="B1894" s="12"/>
      <c r="C1894" s="17" t="str">
        <f aca="false">IF(B1894="","",IFERROR(INDEX(Produits!$F$2:$F$1001,MATCH(B1894,Produits!$A$2:$A$1001,0)),"⚠ code article inconnu"))</f>
        <v/>
      </c>
      <c r="D1894" s="12"/>
      <c r="E1894" s="23"/>
      <c r="F1894" s="24"/>
      <c r="G1894" s="23"/>
      <c r="H1894" s="21" t="str">
        <f aca="true">IF(E1894="","",ROUND((E1894-TODAY())/30.4,1))</f>
        <v/>
      </c>
      <c r="I1894" s="17" t="str">
        <f aca="false">IF(E1894="","",IF(H1894&lt;0,IF(LEFT(A1894,1)="Q","Périmé (en quarantaine)","PÉRIMÉ → déplacer en zone Q"),IF(H1894&lt;3,"Péremption &lt; 3 mois",IF(H1894&lt;6,"Péremption &lt; 6 mois",""))))</f>
        <v/>
      </c>
      <c r="J1894" s="17" t="str">
        <f aca="false">IF(A1894="","",IF(COUNTIF(Emplacements!$A$2:$A$1001,A1894)=0,"⚠ emplacement inconnu","OK"))</f>
        <v/>
      </c>
      <c r="K1894" s="22" t="str">
        <f aca="false">IF(AND(B1894&lt;&gt;"",ISNUMBER(SEARCH(Recherche!$C$3,C1894&amp;" "&amp;B1894&amp;" "&amp;A1894&amp;" "&amp;D1894))),MAX($K$1:K1893)+1,"")</f>
        <v/>
      </c>
    </row>
    <row r="1895" customFormat="false" ht="15" hidden="false" customHeight="false" outlineLevel="0" collapsed="false">
      <c r="A1895" s="12"/>
      <c r="B1895" s="12"/>
      <c r="C1895" s="17" t="str">
        <f aca="false">IF(B1895="","",IFERROR(INDEX(Produits!$F$2:$F$1001,MATCH(B1895,Produits!$A$2:$A$1001,0)),"⚠ code article inconnu"))</f>
        <v/>
      </c>
      <c r="D1895" s="12"/>
      <c r="E1895" s="23"/>
      <c r="F1895" s="24"/>
      <c r="G1895" s="23"/>
      <c r="H1895" s="21" t="str">
        <f aca="true">IF(E1895="","",ROUND((E1895-TODAY())/30.4,1))</f>
        <v/>
      </c>
      <c r="I1895" s="17" t="str">
        <f aca="false">IF(E1895="","",IF(H1895&lt;0,IF(LEFT(A1895,1)="Q","Périmé (en quarantaine)","PÉRIMÉ → déplacer en zone Q"),IF(H1895&lt;3,"Péremption &lt; 3 mois",IF(H1895&lt;6,"Péremption &lt; 6 mois",""))))</f>
        <v/>
      </c>
      <c r="J1895" s="17" t="str">
        <f aca="false">IF(A1895="","",IF(COUNTIF(Emplacements!$A$2:$A$1001,A1895)=0,"⚠ emplacement inconnu","OK"))</f>
        <v/>
      </c>
      <c r="K1895" s="22" t="str">
        <f aca="false">IF(AND(B1895&lt;&gt;"",ISNUMBER(SEARCH(Recherche!$C$3,C1895&amp;" "&amp;B1895&amp;" "&amp;A1895&amp;" "&amp;D1895))),MAX($K$1:K1894)+1,"")</f>
        <v/>
      </c>
    </row>
    <row r="1896" customFormat="false" ht="15" hidden="false" customHeight="false" outlineLevel="0" collapsed="false">
      <c r="A1896" s="12"/>
      <c r="B1896" s="12"/>
      <c r="C1896" s="17" t="str">
        <f aca="false">IF(B1896="","",IFERROR(INDEX(Produits!$F$2:$F$1001,MATCH(B1896,Produits!$A$2:$A$1001,0)),"⚠ code article inconnu"))</f>
        <v/>
      </c>
      <c r="D1896" s="12"/>
      <c r="E1896" s="23"/>
      <c r="F1896" s="24"/>
      <c r="G1896" s="23"/>
      <c r="H1896" s="21" t="str">
        <f aca="true">IF(E1896="","",ROUND((E1896-TODAY())/30.4,1))</f>
        <v/>
      </c>
      <c r="I1896" s="17" t="str">
        <f aca="false">IF(E1896="","",IF(H1896&lt;0,IF(LEFT(A1896,1)="Q","Périmé (en quarantaine)","PÉRIMÉ → déplacer en zone Q"),IF(H1896&lt;3,"Péremption &lt; 3 mois",IF(H1896&lt;6,"Péremption &lt; 6 mois",""))))</f>
        <v/>
      </c>
      <c r="J1896" s="17" t="str">
        <f aca="false">IF(A1896="","",IF(COUNTIF(Emplacements!$A$2:$A$1001,A1896)=0,"⚠ emplacement inconnu","OK"))</f>
        <v/>
      </c>
      <c r="K1896" s="22" t="str">
        <f aca="false">IF(AND(B1896&lt;&gt;"",ISNUMBER(SEARCH(Recherche!$C$3,C1896&amp;" "&amp;B1896&amp;" "&amp;A1896&amp;" "&amp;D1896))),MAX($K$1:K1895)+1,"")</f>
        <v/>
      </c>
    </row>
    <row r="1897" customFormat="false" ht="15" hidden="false" customHeight="false" outlineLevel="0" collapsed="false">
      <c r="A1897" s="12"/>
      <c r="B1897" s="12"/>
      <c r="C1897" s="17" t="str">
        <f aca="false">IF(B1897="","",IFERROR(INDEX(Produits!$F$2:$F$1001,MATCH(B1897,Produits!$A$2:$A$1001,0)),"⚠ code article inconnu"))</f>
        <v/>
      </c>
      <c r="D1897" s="12"/>
      <c r="E1897" s="23"/>
      <c r="F1897" s="24"/>
      <c r="G1897" s="23"/>
      <c r="H1897" s="21" t="str">
        <f aca="true">IF(E1897="","",ROUND((E1897-TODAY())/30.4,1))</f>
        <v/>
      </c>
      <c r="I1897" s="17" t="str">
        <f aca="false">IF(E1897="","",IF(H1897&lt;0,IF(LEFT(A1897,1)="Q","Périmé (en quarantaine)","PÉRIMÉ → déplacer en zone Q"),IF(H1897&lt;3,"Péremption &lt; 3 mois",IF(H1897&lt;6,"Péremption &lt; 6 mois",""))))</f>
        <v/>
      </c>
      <c r="J1897" s="17" t="str">
        <f aca="false">IF(A1897="","",IF(COUNTIF(Emplacements!$A$2:$A$1001,A1897)=0,"⚠ emplacement inconnu","OK"))</f>
        <v/>
      </c>
      <c r="K1897" s="22" t="str">
        <f aca="false">IF(AND(B1897&lt;&gt;"",ISNUMBER(SEARCH(Recherche!$C$3,C1897&amp;" "&amp;B1897&amp;" "&amp;A1897&amp;" "&amp;D1897))),MAX($K$1:K1896)+1,"")</f>
        <v/>
      </c>
    </row>
    <row r="1898" customFormat="false" ht="15" hidden="false" customHeight="false" outlineLevel="0" collapsed="false">
      <c r="A1898" s="12"/>
      <c r="B1898" s="12"/>
      <c r="C1898" s="17" t="str">
        <f aca="false">IF(B1898="","",IFERROR(INDEX(Produits!$F$2:$F$1001,MATCH(B1898,Produits!$A$2:$A$1001,0)),"⚠ code article inconnu"))</f>
        <v/>
      </c>
      <c r="D1898" s="12"/>
      <c r="E1898" s="23"/>
      <c r="F1898" s="24"/>
      <c r="G1898" s="23"/>
      <c r="H1898" s="21" t="str">
        <f aca="true">IF(E1898="","",ROUND((E1898-TODAY())/30.4,1))</f>
        <v/>
      </c>
      <c r="I1898" s="17" t="str">
        <f aca="false">IF(E1898="","",IF(H1898&lt;0,IF(LEFT(A1898,1)="Q","Périmé (en quarantaine)","PÉRIMÉ → déplacer en zone Q"),IF(H1898&lt;3,"Péremption &lt; 3 mois",IF(H1898&lt;6,"Péremption &lt; 6 mois",""))))</f>
        <v/>
      </c>
      <c r="J1898" s="17" t="str">
        <f aca="false">IF(A1898="","",IF(COUNTIF(Emplacements!$A$2:$A$1001,A1898)=0,"⚠ emplacement inconnu","OK"))</f>
        <v/>
      </c>
      <c r="K1898" s="22" t="str">
        <f aca="false">IF(AND(B1898&lt;&gt;"",ISNUMBER(SEARCH(Recherche!$C$3,C1898&amp;" "&amp;B1898&amp;" "&amp;A1898&amp;" "&amp;D1898))),MAX($K$1:K1897)+1,"")</f>
        <v/>
      </c>
    </row>
    <row r="1899" customFormat="false" ht="15" hidden="false" customHeight="false" outlineLevel="0" collapsed="false">
      <c r="A1899" s="12"/>
      <c r="B1899" s="12"/>
      <c r="C1899" s="17" t="str">
        <f aca="false">IF(B1899="","",IFERROR(INDEX(Produits!$F$2:$F$1001,MATCH(B1899,Produits!$A$2:$A$1001,0)),"⚠ code article inconnu"))</f>
        <v/>
      </c>
      <c r="D1899" s="12"/>
      <c r="E1899" s="23"/>
      <c r="F1899" s="24"/>
      <c r="G1899" s="23"/>
      <c r="H1899" s="21" t="str">
        <f aca="true">IF(E1899="","",ROUND((E1899-TODAY())/30.4,1))</f>
        <v/>
      </c>
      <c r="I1899" s="17" t="str">
        <f aca="false">IF(E1899="","",IF(H1899&lt;0,IF(LEFT(A1899,1)="Q","Périmé (en quarantaine)","PÉRIMÉ → déplacer en zone Q"),IF(H1899&lt;3,"Péremption &lt; 3 mois",IF(H1899&lt;6,"Péremption &lt; 6 mois",""))))</f>
        <v/>
      </c>
      <c r="J1899" s="17" t="str">
        <f aca="false">IF(A1899="","",IF(COUNTIF(Emplacements!$A$2:$A$1001,A1899)=0,"⚠ emplacement inconnu","OK"))</f>
        <v/>
      </c>
      <c r="K1899" s="22" t="str">
        <f aca="false">IF(AND(B1899&lt;&gt;"",ISNUMBER(SEARCH(Recherche!$C$3,C1899&amp;" "&amp;B1899&amp;" "&amp;A1899&amp;" "&amp;D1899))),MAX($K$1:K1898)+1,"")</f>
        <v/>
      </c>
    </row>
    <row r="1900" customFormat="false" ht="15" hidden="false" customHeight="false" outlineLevel="0" collapsed="false">
      <c r="A1900" s="12"/>
      <c r="B1900" s="12"/>
      <c r="C1900" s="17" t="str">
        <f aca="false">IF(B1900="","",IFERROR(INDEX(Produits!$F$2:$F$1001,MATCH(B1900,Produits!$A$2:$A$1001,0)),"⚠ code article inconnu"))</f>
        <v/>
      </c>
      <c r="D1900" s="12"/>
      <c r="E1900" s="23"/>
      <c r="F1900" s="24"/>
      <c r="G1900" s="23"/>
      <c r="H1900" s="21" t="str">
        <f aca="true">IF(E1900="","",ROUND((E1900-TODAY())/30.4,1))</f>
        <v/>
      </c>
      <c r="I1900" s="17" t="str">
        <f aca="false">IF(E1900="","",IF(H1900&lt;0,IF(LEFT(A1900,1)="Q","Périmé (en quarantaine)","PÉRIMÉ → déplacer en zone Q"),IF(H1900&lt;3,"Péremption &lt; 3 mois",IF(H1900&lt;6,"Péremption &lt; 6 mois",""))))</f>
        <v/>
      </c>
      <c r="J1900" s="17" t="str">
        <f aca="false">IF(A1900="","",IF(COUNTIF(Emplacements!$A$2:$A$1001,A1900)=0,"⚠ emplacement inconnu","OK"))</f>
        <v/>
      </c>
      <c r="K1900" s="22" t="str">
        <f aca="false">IF(AND(B1900&lt;&gt;"",ISNUMBER(SEARCH(Recherche!$C$3,C1900&amp;" "&amp;B1900&amp;" "&amp;A1900&amp;" "&amp;D1900))),MAX($K$1:K1899)+1,"")</f>
        <v/>
      </c>
    </row>
    <row r="1901" customFormat="false" ht="15" hidden="false" customHeight="false" outlineLevel="0" collapsed="false">
      <c r="A1901" s="12"/>
      <c r="B1901" s="12"/>
      <c r="C1901" s="17" t="str">
        <f aca="false">IF(B1901="","",IFERROR(INDEX(Produits!$F$2:$F$1001,MATCH(B1901,Produits!$A$2:$A$1001,0)),"⚠ code article inconnu"))</f>
        <v/>
      </c>
      <c r="D1901" s="12"/>
      <c r="E1901" s="23"/>
      <c r="F1901" s="24"/>
      <c r="G1901" s="23"/>
      <c r="H1901" s="21" t="str">
        <f aca="true">IF(E1901="","",ROUND((E1901-TODAY())/30.4,1))</f>
        <v/>
      </c>
      <c r="I1901" s="17" t="str">
        <f aca="false">IF(E1901="","",IF(H1901&lt;0,IF(LEFT(A1901,1)="Q","Périmé (en quarantaine)","PÉRIMÉ → déplacer en zone Q"),IF(H1901&lt;3,"Péremption &lt; 3 mois",IF(H1901&lt;6,"Péremption &lt; 6 mois",""))))</f>
        <v/>
      </c>
      <c r="J1901" s="17" t="str">
        <f aca="false">IF(A1901="","",IF(COUNTIF(Emplacements!$A$2:$A$1001,A1901)=0,"⚠ emplacement inconnu","OK"))</f>
        <v/>
      </c>
      <c r="K1901" s="22" t="str">
        <f aca="false">IF(AND(B1901&lt;&gt;"",ISNUMBER(SEARCH(Recherche!$C$3,C1901&amp;" "&amp;B1901&amp;" "&amp;A1901&amp;" "&amp;D1901))),MAX($K$1:K1900)+1,"")</f>
        <v/>
      </c>
    </row>
    <row r="1902" customFormat="false" ht="15" hidden="false" customHeight="false" outlineLevel="0" collapsed="false">
      <c r="A1902" s="12"/>
      <c r="B1902" s="12"/>
      <c r="C1902" s="17" t="str">
        <f aca="false">IF(B1902="","",IFERROR(INDEX(Produits!$F$2:$F$1001,MATCH(B1902,Produits!$A$2:$A$1001,0)),"⚠ code article inconnu"))</f>
        <v/>
      </c>
      <c r="D1902" s="12"/>
      <c r="E1902" s="23"/>
      <c r="F1902" s="24"/>
      <c r="G1902" s="23"/>
      <c r="H1902" s="21" t="str">
        <f aca="true">IF(E1902="","",ROUND((E1902-TODAY())/30.4,1))</f>
        <v/>
      </c>
      <c r="I1902" s="17" t="str">
        <f aca="false">IF(E1902="","",IF(H1902&lt;0,IF(LEFT(A1902,1)="Q","Périmé (en quarantaine)","PÉRIMÉ → déplacer en zone Q"),IF(H1902&lt;3,"Péremption &lt; 3 mois",IF(H1902&lt;6,"Péremption &lt; 6 mois",""))))</f>
        <v/>
      </c>
      <c r="J1902" s="17" t="str">
        <f aca="false">IF(A1902="","",IF(COUNTIF(Emplacements!$A$2:$A$1001,A1902)=0,"⚠ emplacement inconnu","OK"))</f>
        <v/>
      </c>
      <c r="K1902" s="22" t="str">
        <f aca="false">IF(AND(B1902&lt;&gt;"",ISNUMBER(SEARCH(Recherche!$C$3,C1902&amp;" "&amp;B1902&amp;" "&amp;A1902&amp;" "&amp;D1902))),MAX($K$1:K1901)+1,"")</f>
        <v/>
      </c>
    </row>
    <row r="1903" customFormat="false" ht="15" hidden="false" customHeight="false" outlineLevel="0" collapsed="false">
      <c r="A1903" s="12"/>
      <c r="B1903" s="12"/>
      <c r="C1903" s="17" t="str">
        <f aca="false">IF(B1903="","",IFERROR(INDEX(Produits!$F$2:$F$1001,MATCH(B1903,Produits!$A$2:$A$1001,0)),"⚠ code article inconnu"))</f>
        <v/>
      </c>
      <c r="D1903" s="12"/>
      <c r="E1903" s="23"/>
      <c r="F1903" s="24"/>
      <c r="G1903" s="23"/>
      <c r="H1903" s="21" t="str">
        <f aca="true">IF(E1903="","",ROUND((E1903-TODAY())/30.4,1))</f>
        <v/>
      </c>
      <c r="I1903" s="17" t="str">
        <f aca="false">IF(E1903="","",IF(H1903&lt;0,IF(LEFT(A1903,1)="Q","Périmé (en quarantaine)","PÉRIMÉ → déplacer en zone Q"),IF(H1903&lt;3,"Péremption &lt; 3 mois",IF(H1903&lt;6,"Péremption &lt; 6 mois",""))))</f>
        <v/>
      </c>
      <c r="J1903" s="17" t="str">
        <f aca="false">IF(A1903="","",IF(COUNTIF(Emplacements!$A$2:$A$1001,A1903)=0,"⚠ emplacement inconnu","OK"))</f>
        <v/>
      </c>
      <c r="K1903" s="22" t="str">
        <f aca="false">IF(AND(B1903&lt;&gt;"",ISNUMBER(SEARCH(Recherche!$C$3,C1903&amp;" "&amp;B1903&amp;" "&amp;A1903&amp;" "&amp;D1903))),MAX($K$1:K1902)+1,"")</f>
        <v/>
      </c>
    </row>
    <row r="1904" customFormat="false" ht="15" hidden="false" customHeight="false" outlineLevel="0" collapsed="false">
      <c r="A1904" s="12"/>
      <c r="B1904" s="12"/>
      <c r="C1904" s="17" t="str">
        <f aca="false">IF(B1904="","",IFERROR(INDEX(Produits!$F$2:$F$1001,MATCH(B1904,Produits!$A$2:$A$1001,0)),"⚠ code article inconnu"))</f>
        <v/>
      </c>
      <c r="D1904" s="12"/>
      <c r="E1904" s="23"/>
      <c r="F1904" s="24"/>
      <c r="G1904" s="23"/>
      <c r="H1904" s="21" t="str">
        <f aca="true">IF(E1904="","",ROUND((E1904-TODAY())/30.4,1))</f>
        <v/>
      </c>
      <c r="I1904" s="17" t="str">
        <f aca="false">IF(E1904="","",IF(H1904&lt;0,IF(LEFT(A1904,1)="Q","Périmé (en quarantaine)","PÉRIMÉ → déplacer en zone Q"),IF(H1904&lt;3,"Péremption &lt; 3 mois",IF(H1904&lt;6,"Péremption &lt; 6 mois",""))))</f>
        <v/>
      </c>
      <c r="J1904" s="17" t="str">
        <f aca="false">IF(A1904="","",IF(COUNTIF(Emplacements!$A$2:$A$1001,A1904)=0,"⚠ emplacement inconnu","OK"))</f>
        <v/>
      </c>
      <c r="K1904" s="22" t="str">
        <f aca="false">IF(AND(B1904&lt;&gt;"",ISNUMBER(SEARCH(Recherche!$C$3,C1904&amp;" "&amp;B1904&amp;" "&amp;A1904&amp;" "&amp;D1904))),MAX($K$1:K1903)+1,"")</f>
        <v/>
      </c>
    </row>
    <row r="1905" customFormat="false" ht="15" hidden="false" customHeight="false" outlineLevel="0" collapsed="false">
      <c r="A1905" s="12"/>
      <c r="B1905" s="12"/>
      <c r="C1905" s="17" t="str">
        <f aca="false">IF(B1905="","",IFERROR(INDEX(Produits!$F$2:$F$1001,MATCH(B1905,Produits!$A$2:$A$1001,0)),"⚠ code article inconnu"))</f>
        <v/>
      </c>
      <c r="D1905" s="12"/>
      <c r="E1905" s="23"/>
      <c r="F1905" s="24"/>
      <c r="G1905" s="23"/>
      <c r="H1905" s="21" t="str">
        <f aca="true">IF(E1905="","",ROUND((E1905-TODAY())/30.4,1))</f>
        <v/>
      </c>
      <c r="I1905" s="17" t="str">
        <f aca="false">IF(E1905="","",IF(H1905&lt;0,IF(LEFT(A1905,1)="Q","Périmé (en quarantaine)","PÉRIMÉ → déplacer en zone Q"),IF(H1905&lt;3,"Péremption &lt; 3 mois",IF(H1905&lt;6,"Péremption &lt; 6 mois",""))))</f>
        <v/>
      </c>
      <c r="J1905" s="17" t="str">
        <f aca="false">IF(A1905="","",IF(COUNTIF(Emplacements!$A$2:$A$1001,A1905)=0,"⚠ emplacement inconnu","OK"))</f>
        <v/>
      </c>
      <c r="K1905" s="22" t="str">
        <f aca="false">IF(AND(B1905&lt;&gt;"",ISNUMBER(SEARCH(Recherche!$C$3,C1905&amp;" "&amp;B1905&amp;" "&amp;A1905&amp;" "&amp;D1905))),MAX($K$1:K1904)+1,"")</f>
        <v/>
      </c>
    </row>
    <row r="1906" customFormat="false" ht="15" hidden="false" customHeight="false" outlineLevel="0" collapsed="false">
      <c r="A1906" s="12"/>
      <c r="B1906" s="12"/>
      <c r="C1906" s="17" t="str">
        <f aca="false">IF(B1906="","",IFERROR(INDEX(Produits!$F$2:$F$1001,MATCH(B1906,Produits!$A$2:$A$1001,0)),"⚠ code article inconnu"))</f>
        <v/>
      </c>
      <c r="D1906" s="12"/>
      <c r="E1906" s="23"/>
      <c r="F1906" s="24"/>
      <c r="G1906" s="23"/>
      <c r="H1906" s="21" t="str">
        <f aca="true">IF(E1906="","",ROUND((E1906-TODAY())/30.4,1))</f>
        <v/>
      </c>
      <c r="I1906" s="17" t="str">
        <f aca="false">IF(E1906="","",IF(H1906&lt;0,IF(LEFT(A1906,1)="Q","Périmé (en quarantaine)","PÉRIMÉ → déplacer en zone Q"),IF(H1906&lt;3,"Péremption &lt; 3 mois",IF(H1906&lt;6,"Péremption &lt; 6 mois",""))))</f>
        <v/>
      </c>
      <c r="J1906" s="17" t="str">
        <f aca="false">IF(A1906="","",IF(COUNTIF(Emplacements!$A$2:$A$1001,A1906)=0,"⚠ emplacement inconnu","OK"))</f>
        <v/>
      </c>
      <c r="K1906" s="22" t="str">
        <f aca="false">IF(AND(B1906&lt;&gt;"",ISNUMBER(SEARCH(Recherche!$C$3,C1906&amp;" "&amp;B1906&amp;" "&amp;A1906&amp;" "&amp;D1906))),MAX($K$1:K1905)+1,"")</f>
        <v/>
      </c>
    </row>
    <row r="1907" customFormat="false" ht="15" hidden="false" customHeight="false" outlineLevel="0" collapsed="false">
      <c r="A1907" s="12"/>
      <c r="B1907" s="12"/>
      <c r="C1907" s="17" t="str">
        <f aca="false">IF(B1907="","",IFERROR(INDEX(Produits!$F$2:$F$1001,MATCH(B1907,Produits!$A$2:$A$1001,0)),"⚠ code article inconnu"))</f>
        <v/>
      </c>
      <c r="D1907" s="12"/>
      <c r="E1907" s="23"/>
      <c r="F1907" s="24"/>
      <c r="G1907" s="23"/>
      <c r="H1907" s="21" t="str">
        <f aca="true">IF(E1907="","",ROUND((E1907-TODAY())/30.4,1))</f>
        <v/>
      </c>
      <c r="I1907" s="17" t="str">
        <f aca="false">IF(E1907="","",IF(H1907&lt;0,IF(LEFT(A1907,1)="Q","Périmé (en quarantaine)","PÉRIMÉ → déplacer en zone Q"),IF(H1907&lt;3,"Péremption &lt; 3 mois",IF(H1907&lt;6,"Péremption &lt; 6 mois",""))))</f>
        <v/>
      </c>
      <c r="J1907" s="17" t="str">
        <f aca="false">IF(A1907="","",IF(COUNTIF(Emplacements!$A$2:$A$1001,A1907)=0,"⚠ emplacement inconnu","OK"))</f>
        <v/>
      </c>
      <c r="K1907" s="22" t="str">
        <f aca="false">IF(AND(B1907&lt;&gt;"",ISNUMBER(SEARCH(Recherche!$C$3,C1907&amp;" "&amp;B1907&amp;" "&amp;A1907&amp;" "&amp;D1907))),MAX($K$1:K1906)+1,"")</f>
        <v/>
      </c>
    </row>
    <row r="1908" customFormat="false" ht="15" hidden="false" customHeight="false" outlineLevel="0" collapsed="false">
      <c r="A1908" s="12"/>
      <c r="B1908" s="12"/>
      <c r="C1908" s="17" t="str">
        <f aca="false">IF(B1908="","",IFERROR(INDEX(Produits!$F$2:$F$1001,MATCH(B1908,Produits!$A$2:$A$1001,0)),"⚠ code article inconnu"))</f>
        <v/>
      </c>
      <c r="D1908" s="12"/>
      <c r="E1908" s="23"/>
      <c r="F1908" s="24"/>
      <c r="G1908" s="23"/>
      <c r="H1908" s="21" t="str">
        <f aca="true">IF(E1908="","",ROUND((E1908-TODAY())/30.4,1))</f>
        <v/>
      </c>
      <c r="I1908" s="17" t="str">
        <f aca="false">IF(E1908="","",IF(H1908&lt;0,IF(LEFT(A1908,1)="Q","Périmé (en quarantaine)","PÉRIMÉ → déplacer en zone Q"),IF(H1908&lt;3,"Péremption &lt; 3 mois",IF(H1908&lt;6,"Péremption &lt; 6 mois",""))))</f>
        <v/>
      </c>
      <c r="J1908" s="17" t="str">
        <f aca="false">IF(A1908="","",IF(COUNTIF(Emplacements!$A$2:$A$1001,A1908)=0,"⚠ emplacement inconnu","OK"))</f>
        <v/>
      </c>
      <c r="K1908" s="22" t="str">
        <f aca="false">IF(AND(B1908&lt;&gt;"",ISNUMBER(SEARCH(Recherche!$C$3,C1908&amp;" "&amp;B1908&amp;" "&amp;A1908&amp;" "&amp;D1908))),MAX($K$1:K1907)+1,"")</f>
        <v/>
      </c>
    </row>
    <row r="1909" customFormat="false" ht="15" hidden="false" customHeight="false" outlineLevel="0" collapsed="false">
      <c r="A1909" s="12"/>
      <c r="B1909" s="12"/>
      <c r="C1909" s="17" t="str">
        <f aca="false">IF(B1909="","",IFERROR(INDEX(Produits!$F$2:$F$1001,MATCH(B1909,Produits!$A$2:$A$1001,0)),"⚠ code article inconnu"))</f>
        <v/>
      </c>
      <c r="D1909" s="12"/>
      <c r="E1909" s="23"/>
      <c r="F1909" s="24"/>
      <c r="G1909" s="23"/>
      <c r="H1909" s="21" t="str">
        <f aca="true">IF(E1909="","",ROUND((E1909-TODAY())/30.4,1))</f>
        <v/>
      </c>
      <c r="I1909" s="17" t="str">
        <f aca="false">IF(E1909="","",IF(H1909&lt;0,IF(LEFT(A1909,1)="Q","Périmé (en quarantaine)","PÉRIMÉ → déplacer en zone Q"),IF(H1909&lt;3,"Péremption &lt; 3 mois",IF(H1909&lt;6,"Péremption &lt; 6 mois",""))))</f>
        <v/>
      </c>
      <c r="J1909" s="17" t="str">
        <f aca="false">IF(A1909="","",IF(COUNTIF(Emplacements!$A$2:$A$1001,A1909)=0,"⚠ emplacement inconnu","OK"))</f>
        <v/>
      </c>
      <c r="K1909" s="22" t="str">
        <f aca="false">IF(AND(B1909&lt;&gt;"",ISNUMBER(SEARCH(Recherche!$C$3,C1909&amp;" "&amp;B1909&amp;" "&amp;A1909&amp;" "&amp;D1909))),MAX($K$1:K1908)+1,"")</f>
        <v/>
      </c>
    </row>
    <row r="1910" customFormat="false" ht="15" hidden="false" customHeight="false" outlineLevel="0" collapsed="false">
      <c r="A1910" s="12"/>
      <c r="B1910" s="12"/>
      <c r="C1910" s="17" t="str">
        <f aca="false">IF(B1910="","",IFERROR(INDEX(Produits!$F$2:$F$1001,MATCH(B1910,Produits!$A$2:$A$1001,0)),"⚠ code article inconnu"))</f>
        <v/>
      </c>
      <c r="D1910" s="12"/>
      <c r="E1910" s="23"/>
      <c r="F1910" s="24"/>
      <c r="G1910" s="23"/>
      <c r="H1910" s="21" t="str">
        <f aca="true">IF(E1910="","",ROUND((E1910-TODAY())/30.4,1))</f>
        <v/>
      </c>
      <c r="I1910" s="17" t="str">
        <f aca="false">IF(E1910="","",IF(H1910&lt;0,IF(LEFT(A1910,1)="Q","Périmé (en quarantaine)","PÉRIMÉ → déplacer en zone Q"),IF(H1910&lt;3,"Péremption &lt; 3 mois",IF(H1910&lt;6,"Péremption &lt; 6 mois",""))))</f>
        <v/>
      </c>
      <c r="J1910" s="17" t="str">
        <f aca="false">IF(A1910="","",IF(COUNTIF(Emplacements!$A$2:$A$1001,A1910)=0,"⚠ emplacement inconnu","OK"))</f>
        <v/>
      </c>
      <c r="K1910" s="22" t="str">
        <f aca="false">IF(AND(B1910&lt;&gt;"",ISNUMBER(SEARCH(Recherche!$C$3,C1910&amp;" "&amp;B1910&amp;" "&amp;A1910&amp;" "&amp;D1910))),MAX($K$1:K1909)+1,"")</f>
        <v/>
      </c>
    </row>
    <row r="1911" customFormat="false" ht="15" hidden="false" customHeight="false" outlineLevel="0" collapsed="false">
      <c r="A1911" s="12"/>
      <c r="B1911" s="12"/>
      <c r="C1911" s="17" t="str">
        <f aca="false">IF(B1911="","",IFERROR(INDEX(Produits!$F$2:$F$1001,MATCH(B1911,Produits!$A$2:$A$1001,0)),"⚠ code article inconnu"))</f>
        <v/>
      </c>
      <c r="D1911" s="12"/>
      <c r="E1911" s="23"/>
      <c r="F1911" s="24"/>
      <c r="G1911" s="23"/>
      <c r="H1911" s="21" t="str">
        <f aca="true">IF(E1911="","",ROUND((E1911-TODAY())/30.4,1))</f>
        <v/>
      </c>
      <c r="I1911" s="17" t="str">
        <f aca="false">IF(E1911="","",IF(H1911&lt;0,IF(LEFT(A1911,1)="Q","Périmé (en quarantaine)","PÉRIMÉ → déplacer en zone Q"),IF(H1911&lt;3,"Péremption &lt; 3 mois",IF(H1911&lt;6,"Péremption &lt; 6 mois",""))))</f>
        <v/>
      </c>
      <c r="J1911" s="17" t="str">
        <f aca="false">IF(A1911="","",IF(COUNTIF(Emplacements!$A$2:$A$1001,A1911)=0,"⚠ emplacement inconnu","OK"))</f>
        <v/>
      </c>
      <c r="K1911" s="22" t="str">
        <f aca="false">IF(AND(B1911&lt;&gt;"",ISNUMBER(SEARCH(Recherche!$C$3,C1911&amp;" "&amp;B1911&amp;" "&amp;A1911&amp;" "&amp;D1911))),MAX($K$1:K1910)+1,"")</f>
        <v/>
      </c>
    </row>
    <row r="1912" customFormat="false" ht="15" hidden="false" customHeight="false" outlineLevel="0" collapsed="false">
      <c r="A1912" s="12"/>
      <c r="B1912" s="12"/>
      <c r="C1912" s="17" t="str">
        <f aca="false">IF(B1912="","",IFERROR(INDEX(Produits!$F$2:$F$1001,MATCH(B1912,Produits!$A$2:$A$1001,0)),"⚠ code article inconnu"))</f>
        <v/>
      </c>
      <c r="D1912" s="12"/>
      <c r="E1912" s="23"/>
      <c r="F1912" s="24"/>
      <c r="G1912" s="23"/>
      <c r="H1912" s="21" t="str">
        <f aca="true">IF(E1912="","",ROUND((E1912-TODAY())/30.4,1))</f>
        <v/>
      </c>
      <c r="I1912" s="17" t="str">
        <f aca="false">IF(E1912="","",IF(H1912&lt;0,IF(LEFT(A1912,1)="Q","Périmé (en quarantaine)","PÉRIMÉ → déplacer en zone Q"),IF(H1912&lt;3,"Péremption &lt; 3 mois",IF(H1912&lt;6,"Péremption &lt; 6 mois",""))))</f>
        <v/>
      </c>
      <c r="J1912" s="17" t="str">
        <f aca="false">IF(A1912="","",IF(COUNTIF(Emplacements!$A$2:$A$1001,A1912)=0,"⚠ emplacement inconnu","OK"))</f>
        <v/>
      </c>
      <c r="K1912" s="22" t="str">
        <f aca="false">IF(AND(B1912&lt;&gt;"",ISNUMBER(SEARCH(Recherche!$C$3,C1912&amp;" "&amp;B1912&amp;" "&amp;A1912&amp;" "&amp;D1912))),MAX($K$1:K1911)+1,"")</f>
        <v/>
      </c>
    </row>
    <row r="1913" customFormat="false" ht="15" hidden="false" customHeight="false" outlineLevel="0" collapsed="false">
      <c r="A1913" s="12"/>
      <c r="B1913" s="12"/>
      <c r="C1913" s="17" t="str">
        <f aca="false">IF(B1913="","",IFERROR(INDEX(Produits!$F$2:$F$1001,MATCH(B1913,Produits!$A$2:$A$1001,0)),"⚠ code article inconnu"))</f>
        <v/>
      </c>
      <c r="D1913" s="12"/>
      <c r="E1913" s="23"/>
      <c r="F1913" s="24"/>
      <c r="G1913" s="23"/>
      <c r="H1913" s="21" t="str">
        <f aca="true">IF(E1913="","",ROUND((E1913-TODAY())/30.4,1))</f>
        <v/>
      </c>
      <c r="I1913" s="17" t="str">
        <f aca="false">IF(E1913="","",IF(H1913&lt;0,IF(LEFT(A1913,1)="Q","Périmé (en quarantaine)","PÉRIMÉ → déplacer en zone Q"),IF(H1913&lt;3,"Péremption &lt; 3 mois",IF(H1913&lt;6,"Péremption &lt; 6 mois",""))))</f>
        <v/>
      </c>
      <c r="J1913" s="17" t="str">
        <f aca="false">IF(A1913="","",IF(COUNTIF(Emplacements!$A$2:$A$1001,A1913)=0,"⚠ emplacement inconnu","OK"))</f>
        <v/>
      </c>
      <c r="K1913" s="22" t="str">
        <f aca="false">IF(AND(B1913&lt;&gt;"",ISNUMBER(SEARCH(Recherche!$C$3,C1913&amp;" "&amp;B1913&amp;" "&amp;A1913&amp;" "&amp;D1913))),MAX($K$1:K1912)+1,"")</f>
        <v/>
      </c>
    </row>
    <row r="1914" customFormat="false" ht="15" hidden="false" customHeight="false" outlineLevel="0" collapsed="false">
      <c r="A1914" s="12"/>
      <c r="B1914" s="12"/>
      <c r="C1914" s="17" t="str">
        <f aca="false">IF(B1914="","",IFERROR(INDEX(Produits!$F$2:$F$1001,MATCH(B1914,Produits!$A$2:$A$1001,0)),"⚠ code article inconnu"))</f>
        <v/>
      </c>
      <c r="D1914" s="12"/>
      <c r="E1914" s="23"/>
      <c r="F1914" s="24"/>
      <c r="G1914" s="23"/>
      <c r="H1914" s="21" t="str">
        <f aca="true">IF(E1914="","",ROUND((E1914-TODAY())/30.4,1))</f>
        <v/>
      </c>
      <c r="I1914" s="17" t="str">
        <f aca="false">IF(E1914="","",IF(H1914&lt;0,IF(LEFT(A1914,1)="Q","Périmé (en quarantaine)","PÉRIMÉ → déplacer en zone Q"),IF(H1914&lt;3,"Péremption &lt; 3 mois",IF(H1914&lt;6,"Péremption &lt; 6 mois",""))))</f>
        <v/>
      </c>
      <c r="J1914" s="17" t="str">
        <f aca="false">IF(A1914="","",IF(COUNTIF(Emplacements!$A$2:$A$1001,A1914)=0,"⚠ emplacement inconnu","OK"))</f>
        <v/>
      </c>
      <c r="K1914" s="22" t="str">
        <f aca="false">IF(AND(B1914&lt;&gt;"",ISNUMBER(SEARCH(Recherche!$C$3,C1914&amp;" "&amp;B1914&amp;" "&amp;A1914&amp;" "&amp;D1914))),MAX($K$1:K1913)+1,"")</f>
        <v/>
      </c>
    </row>
    <row r="1915" customFormat="false" ht="15" hidden="false" customHeight="false" outlineLevel="0" collapsed="false">
      <c r="A1915" s="12"/>
      <c r="B1915" s="12"/>
      <c r="C1915" s="17" t="str">
        <f aca="false">IF(B1915="","",IFERROR(INDEX(Produits!$F$2:$F$1001,MATCH(B1915,Produits!$A$2:$A$1001,0)),"⚠ code article inconnu"))</f>
        <v/>
      </c>
      <c r="D1915" s="12"/>
      <c r="E1915" s="23"/>
      <c r="F1915" s="24"/>
      <c r="G1915" s="23"/>
      <c r="H1915" s="21" t="str">
        <f aca="true">IF(E1915="","",ROUND((E1915-TODAY())/30.4,1))</f>
        <v/>
      </c>
      <c r="I1915" s="17" t="str">
        <f aca="false">IF(E1915="","",IF(H1915&lt;0,IF(LEFT(A1915,1)="Q","Périmé (en quarantaine)","PÉRIMÉ → déplacer en zone Q"),IF(H1915&lt;3,"Péremption &lt; 3 mois",IF(H1915&lt;6,"Péremption &lt; 6 mois",""))))</f>
        <v/>
      </c>
      <c r="J1915" s="17" t="str">
        <f aca="false">IF(A1915="","",IF(COUNTIF(Emplacements!$A$2:$A$1001,A1915)=0,"⚠ emplacement inconnu","OK"))</f>
        <v/>
      </c>
      <c r="K1915" s="22" t="str">
        <f aca="false">IF(AND(B1915&lt;&gt;"",ISNUMBER(SEARCH(Recherche!$C$3,C1915&amp;" "&amp;B1915&amp;" "&amp;A1915&amp;" "&amp;D1915))),MAX($K$1:K1914)+1,"")</f>
        <v/>
      </c>
    </row>
    <row r="1916" customFormat="false" ht="15" hidden="false" customHeight="false" outlineLevel="0" collapsed="false">
      <c r="A1916" s="12"/>
      <c r="B1916" s="12"/>
      <c r="C1916" s="17" t="str">
        <f aca="false">IF(B1916="","",IFERROR(INDEX(Produits!$F$2:$F$1001,MATCH(B1916,Produits!$A$2:$A$1001,0)),"⚠ code article inconnu"))</f>
        <v/>
      </c>
      <c r="D1916" s="12"/>
      <c r="E1916" s="23"/>
      <c r="F1916" s="24"/>
      <c r="G1916" s="23"/>
      <c r="H1916" s="21" t="str">
        <f aca="true">IF(E1916="","",ROUND((E1916-TODAY())/30.4,1))</f>
        <v/>
      </c>
      <c r="I1916" s="17" t="str">
        <f aca="false">IF(E1916="","",IF(H1916&lt;0,IF(LEFT(A1916,1)="Q","Périmé (en quarantaine)","PÉRIMÉ → déplacer en zone Q"),IF(H1916&lt;3,"Péremption &lt; 3 mois",IF(H1916&lt;6,"Péremption &lt; 6 mois",""))))</f>
        <v/>
      </c>
      <c r="J1916" s="17" t="str">
        <f aca="false">IF(A1916="","",IF(COUNTIF(Emplacements!$A$2:$A$1001,A1916)=0,"⚠ emplacement inconnu","OK"))</f>
        <v/>
      </c>
      <c r="K1916" s="22" t="str">
        <f aca="false">IF(AND(B1916&lt;&gt;"",ISNUMBER(SEARCH(Recherche!$C$3,C1916&amp;" "&amp;B1916&amp;" "&amp;A1916&amp;" "&amp;D1916))),MAX($K$1:K1915)+1,"")</f>
        <v/>
      </c>
    </row>
    <row r="1917" customFormat="false" ht="15" hidden="false" customHeight="false" outlineLevel="0" collapsed="false">
      <c r="A1917" s="12"/>
      <c r="B1917" s="12"/>
      <c r="C1917" s="17" t="str">
        <f aca="false">IF(B1917="","",IFERROR(INDEX(Produits!$F$2:$F$1001,MATCH(B1917,Produits!$A$2:$A$1001,0)),"⚠ code article inconnu"))</f>
        <v/>
      </c>
      <c r="D1917" s="12"/>
      <c r="E1917" s="23"/>
      <c r="F1917" s="24"/>
      <c r="G1917" s="23"/>
      <c r="H1917" s="21" t="str">
        <f aca="true">IF(E1917="","",ROUND((E1917-TODAY())/30.4,1))</f>
        <v/>
      </c>
      <c r="I1917" s="17" t="str">
        <f aca="false">IF(E1917="","",IF(H1917&lt;0,IF(LEFT(A1917,1)="Q","Périmé (en quarantaine)","PÉRIMÉ → déplacer en zone Q"),IF(H1917&lt;3,"Péremption &lt; 3 mois",IF(H1917&lt;6,"Péremption &lt; 6 mois",""))))</f>
        <v/>
      </c>
      <c r="J1917" s="17" t="str">
        <f aca="false">IF(A1917="","",IF(COUNTIF(Emplacements!$A$2:$A$1001,A1917)=0,"⚠ emplacement inconnu","OK"))</f>
        <v/>
      </c>
      <c r="K1917" s="22" t="str">
        <f aca="false">IF(AND(B1917&lt;&gt;"",ISNUMBER(SEARCH(Recherche!$C$3,C1917&amp;" "&amp;B1917&amp;" "&amp;A1917&amp;" "&amp;D1917))),MAX($K$1:K1916)+1,"")</f>
        <v/>
      </c>
    </row>
    <row r="1918" customFormat="false" ht="15" hidden="false" customHeight="false" outlineLevel="0" collapsed="false">
      <c r="A1918" s="12"/>
      <c r="B1918" s="12"/>
      <c r="C1918" s="17" t="str">
        <f aca="false">IF(B1918="","",IFERROR(INDEX(Produits!$F$2:$F$1001,MATCH(B1918,Produits!$A$2:$A$1001,0)),"⚠ code article inconnu"))</f>
        <v/>
      </c>
      <c r="D1918" s="12"/>
      <c r="E1918" s="23"/>
      <c r="F1918" s="24"/>
      <c r="G1918" s="23"/>
      <c r="H1918" s="21" t="str">
        <f aca="true">IF(E1918="","",ROUND((E1918-TODAY())/30.4,1))</f>
        <v/>
      </c>
      <c r="I1918" s="17" t="str">
        <f aca="false">IF(E1918="","",IF(H1918&lt;0,IF(LEFT(A1918,1)="Q","Périmé (en quarantaine)","PÉRIMÉ → déplacer en zone Q"),IF(H1918&lt;3,"Péremption &lt; 3 mois",IF(H1918&lt;6,"Péremption &lt; 6 mois",""))))</f>
        <v/>
      </c>
      <c r="J1918" s="17" t="str">
        <f aca="false">IF(A1918="","",IF(COUNTIF(Emplacements!$A$2:$A$1001,A1918)=0,"⚠ emplacement inconnu","OK"))</f>
        <v/>
      </c>
      <c r="K1918" s="22" t="str">
        <f aca="false">IF(AND(B1918&lt;&gt;"",ISNUMBER(SEARCH(Recherche!$C$3,C1918&amp;" "&amp;B1918&amp;" "&amp;A1918&amp;" "&amp;D1918))),MAX($K$1:K1917)+1,"")</f>
        <v/>
      </c>
    </row>
    <row r="1919" customFormat="false" ht="15" hidden="false" customHeight="false" outlineLevel="0" collapsed="false">
      <c r="A1919" s="12"/>
      <c r="B1919" s="12"/>
      <c r="C1919" s="17" t="str">
        <f aca="false">IF(B1919="","",IFERROR(INDEX(Produits!$F$2:$F$1001,MATCH(B1919,Produits!$A$2:$A$1001,0)),"⚠ code article inconnu"))</f>
        <v/>
      </c>
      <c r="D1919" s="12"/>
      <c r="E1919" s="23"/>
      <c r="F1919" s="24"/>
      <c r="G1919" s="23"/>
      <c r="H1919" s="21" t="str">
        <f aca="true">IF(E1919="","",ROUND((E1919-TODAY())/30.4,1))</f>
        <v/>
      </c>
      <c r="I1919" s="17" t="str">
        <f aca="false">IF(E1919="","",IF(H1919&lt;0,IF(LEFT(A1919,1)="Q","Périmé (en quarantaine)","PÉRIMÉ → déplacer en zone Q"),IF(H1919&lt;3,"Péremption &lt; 3 mois",IF(H1919&lt;6,"Péremption &lt; 6 mois",""))))</f>
        <v/>
      </c>
      <c r="J1919" s="17" t="str">
        <f aca="false">IF(A1919="","",IF(COUNTIF(Emplacements!$A$2:$A$1001,A1919)=0,"⚠ emplacement inconnu","OK"))</f>
        <v/>
      </c>
      <c r="K1919" s="22" t="str">
        <f aca="false">IF(AND(B1919&lt;&gt;"",ISNUMBER(SEARCH(Recherche!$C$3,C1919&amp;" "&amp;B1919&amp;" "&amp;A1919&amp;" "&amp;D1919))),MAX($K$1:K1918)+1,"")</f>
        <v/>
      </c>
    </row>
    <row r="1920" customFormat="false" ht="15" hidden="false" customHeight="false" outlineLevel="0" collapsed="false">
      <c r="A1920" s="12"/>
      <c r="B1920" s="12"/>
      <c r="C1920" s="17" t="str">
        <f aca="false">IF(B1920="","",IFERROR(INDEX(Produits!$F$2:$F$1001,MATCH(B1920,Produits!$A$2:$A$1001,0)),"⚠ code article inconnu"))</f>
        <v/>
      </c>
      <c r="D1920" s="12"/>
      <c r="E1920" s="23"/>
      <c r="F1920" s="24"/>
      <c r="G1920" s="23"/>
      <c r="H1920" s="21" t="str">
        <f aca="true">IF(E1920="","",ROUND((E1920-TODAY())/30.4,1))</f>
        <v/>
      </c>
      <c r="I1920" s="17" t="str">
        <f aca="false">IF(E1920="","",IF(H1920&lt;0,IF(LEFT(A1920,1)="Q","Périmé (en quarantaine)","PÉRIMÉ → déplacer en zone Q"),IF(H1920&lt;3,"Péremption &lt; 3 mois",IF(H1920&lt;6,"Péremption &lt; 6 mois",""))))</f>
        <v/>
      </c>
      <c r="J1920" s="17" t="str">
        <f aca="false">IF(A1920="","",IF(COUNTIF(Emplacements!$A$2:$A$1001,A1920)=0,"⚠ emplacement inconnu","OK"))</f>
        <v/>
      </c>
      <c r="K1920" s="22" t="str">
        <f aca="false">IF(AND(B1920&lt;&gt;"",ISNUMBER(SEARCH(Recherche!$C$3,C1920&amp;" "&amp;B1920&amp;" "&amp;A1920&amp;" "&amp;D1920))),MAX($K$1:K1919)+1,"")</f>
        <v/>
      </c>
    </row>
    <row r="1921" customFormat="false" ht="15" hidden="false" customHeight="false" outlineLevel="0" collapsed="false">
      <c r="A1921" s="12"/>
      <c r="B1921" s="12"/>
      <c r="C1921" s="17" t="str">
        <f aca="false">IF(B1921="","",IFERROR(INDEX(Produits!$F$2:$F$1001,MATCH(B1921,Produits!$A$2:$A$1001,0)),"⚠ code article inconnu"))</f>
        <v/>
      </c>
      <c r="D1921" s="12"/>
      <c r="E1921" s="23"/>
      <c r="F1921" s="24"/>
      <c r="G1921" s="23"/>
      <c r="H1921" s="21" t="str">
        <f aca="true">IF(E1921="","",ROUND((E1921-TODAY())/30.4,1))</f>
        <v/>
      </c>
      <c r="I1921" s="17" t="str">
        <f aca="false">IF(E1921="","",IF(H1921&lt;0,IF(LEFT(A1921,1)="Q","Périmé (en quarantaine)","PÉRIMÉ → déplacer en zone Q"),IF(H1921&lt;3,"Péremption &lt; 3 mois",IF(H1921&lt;6,"Péremption &lt; 6 mois",""))))</f>
        <v/>
      </c>
      <c r="J1921" s="17" t="str">
        <f aca="false">IF(A1921="","",IF(COUNTIF(Emplacements!$A$2:$A$1001,A1921)=0,"⚠ emplacement inconnu","OK"))</f>
        <v/>
      </c>
      <c r="K1921" s="22" t="str">
        <f aca="false">IF(AND(B1921&lt;&gt;"",ISNUMBER(SEARCH(Recherche!$C$3,C1921&amp;" "&amp;B1921&amp;" "&amp;A1921&amp;" "&amp;D1921))),MAX($K$1:K1920)+1,"")</f>
        <v/>
      </c>
    </row>
    <row r="1922" customFormat="false" ht="15" hidden="false" customHeight="false" outlineLevel="0" collapsed="false">
      <c r="A1922" s="12"/>
      <c r="B1922" s="12"/>
      <c r="C1922" s="17" t="str">
        <f aca="false">IF(B1922="","",IFERROR(INDEX(Produits!$F$2:$F$1001,MATCH(B1922,Produits!$A$2:$A$1001,0)),"⚠ code article inconnu"))</f>
        <v/>
      </c>
      <c r="D1922" s="12"/>
      <c r="E1922" s="23"/>
      <c r="F1922" s="24"/>
      <c r="G1922" s="23"/>
      <c r="H1922" s="21" t="str">
        <f aca="true">IF(E1922="","",ROUND((E1922-TODAY())/30.4,1))</f>
        <v/>
      </c>
      <c r="I1922" s="17" t="str">
        <f aca="false">IF(E1922="","",IF(H1922&lt;0,IF(LEFT(A1922,1)="Q","Périmé (en quarantaine)","PÉRIMÉ → déplacer en zone Q"),IF(H1922&lt;3,"Péremption &lt; 3 mois",IF(H1922&lt;6,"Péremption &lt; 6 mois",""))))</f>
        <v/>
      </c>
      <c r="J1922" s="17" t="str">
        <f aca="false">IF(A1922="","",IF(COUNTIF(Emplacements!$A$2:$A$1001,A1922)=0,"⚠ emplacement inconnu","OK"))</f>
        <v/>
      </c>
      <c r="K1922" s="22" t="str">
        <f aca="false">IF(AND(B1922&lt;&gt;"",ISNUMBER(SEARCH(Recherche!$C$3,C1922&amp;" "&amp;B1922&amp;" "&amp;A1922&amp;" "&amp;D1922))),MAX($K$1:K1921)+1,"")</f>
        <v/>
      </c>
    </row>
    <row r="1923" customFormat="false" ht="15" hidden="false" customHeight="false" outlineLevel="0" collapsed="false">
      <c r="A1923" s="12"/>
      <c r="B1923" s="12"/>
      <c r="C1923" s="17" t="str">
        <f aca="false">IF(B1923="","",IFERROR(INDEX(Produits!$F$2:$F$1001,MATCH(B1923,Produits!$A$2:$A$1001,0)),"⚠ code article inconnu"))</f>
        <v/>
      </c>
      <c r="D1923" s="12"/>
      <c r="E1923" s="23"/>
      <c r="F1923" s="24"/>
      <c r="G1923" s="23"/>
      <c r="H1923" s="21" t="str">
        <f aca="true">IF(E1923="","",ROUND((E1923-TODAY())/30.4,1))</f>
        <v/>
      </c>
      <c r="I1923" s="17" t="str">
        <f aca="false">IF(E1923="","",IF(H1923&lt;0,IF(LEFT(A1923,1)="Q","Périmé (en quarantaine)","PÉRIMÉ → déplacer en zone Q"),IF(H1923&lt;3,"Péremption &lt; 3 mois",IF(H1923&lt;6,"Péremption &lt; 6 mois",""))))</f>
        <v/>
      </c>
      <c r="J1923" s="17" t="str">
        <f aca="false">IF(A1923="","",IF(COUNTIF(Emplacements!$A$2:$A$1001,A1923)=0,"⚠ emplacement inconnu","OK"))</f>
        <v/>
      </c>
      <c r="K1923" s="22" t="str">
        <f aca="false">IF(AND(B1923&lt;&gt;"",ISNUMBER(SEARCH(Recherche!$C$3,C1923&amp;" "&amp;B1923&amp;" "&amp;A1923&amp;" "&amp;D1923))),MAX($K$1:K1922)+1,"")</f>
        <v/>
      </c>
    </row>
    <row r="1924" customFormat="false" ht="15" hidden="false" customHeight="false" outlineLevel="0" collapsed="false">
      <c r="A1924" s="12"/>
      <c r="B1924" s="12"/>
      <c r="C1924" s="17" t="str">
        <f aca="false">IF(B1924="","",IFERROR(INDEX(Produits!$F$2:$F$1001,MATCH(B1924,Produits!$A$2:$A$1001,0)),"⚠ code article inconnu"))</f>
        <v/>
      </c>
      <c r="D1924" s="12"/>
      <c r="E1924" s="23"/>
      <c r="F1924" s="24"/>
      <c r="G1924" s="23"/>
      <c r="H1924" s="21" t="str">
        <f aca="true">IF(E1924="","",ROUND((E1924-TODAY())/30.4,1))</f>
        <v/>
      </c>
      <c r="I1924" s="17" t="str">
        <f aca="false">IF(E1924="","",IF(H1924&lt;0,IF(LEFT(A1924,1)="Q","Périmé (en quarantaine)","PÉRIMÉ → déplacer en zone Q"),IF(H1924&lt;3,"Péremption &lt; 3 mois",IF(H1924&lt;6,"Péremption &lt; 6 mois",""))))</f>
        <v/>
      </c>
      <c r="J1924" s="17" t="str">
        <f aca="false">IF(A1924="","",IF(COUNTIF(Emplacements!$A$2:$A$1001,A1924)=0,"⚠ emplacement inconnu","OK"))</f>
        <v/>
      </c>
      <c r="K1924" s="22" t="str">
        <f aca="false">IF(AND(B1924&lt;&gt;"",ISNUMBER(SEARCH(Recherche!$C$3,C1924&amp;" "&amp;B1924&amp;" "&amp;A1924&amp;" "&amp;D1924))),MAX($K$1:K1923)+1,"")</f>
        <v/>
      </c>
    </row>
    <row r="1925" customFormat="false" ht="15" hidden="false" customHeight="false" outlineLevel="0" collapsed="false">
      <c r="A1925" s="12"/>
      <c r="B1925" s="12"/>
      <c r="C1925" s="17" t="str">
        <f aca="false">IF(B1925="","",IFERROR(INDEX(Produits!$F$2:$F$1001,MATCH(B1925,Produits!$A$2:$A$1001,0)),"⚠ code article inconnu"))</f>
        <v/>
      </c>
      <c r="D1925" s="12"/>
      <c r="E1925" s="23"/>
      <c r="F1925" s="24"/>
      <c r="G1925" s="23"/>
      <c r="H1925" s="21" t="str">
        <f aca="true">IF(E1925="","",ROUND((E1925-TODAY())/30.4,1))</f>
        <v/>
      </c>
      <c r="I1925" s="17" t="str">
        <f aca="false">IF(E1925="","",IF(H1925&lt;0,IF(LEFT(A1925,1)="Q","Périmé (en quarantaine)","PÉRIMÉ → déplacer en zone Q"),IF(H1925&lt;3,"Péremption &lt; 3 mois",IF(H1925&lt;6,"Péremption &lt; 6 mois",""))))</f>
        <v/>
      </c>
      <c r="J1925" s="17" t="str">
        <f aca="false">IF(A1925="","",IF(COUNTIF(Emplacements!$A$2:$A$1001,A1925)=0,"⚠ emplacement inconnu","OK"))</f>
        <v/>
      </c>
      <c r="K1925" s="22" t="str">
        <f aca="false">IF(AND(B1925&lt;&gt;"",ISNUMBER(SEARCH(Recherche!$C$3,C1925&amp;" "&amp;B1925&amp;" "&amp;A1925&amp;" "&amp;D1925))),MAX($K$1:K1924)+1,"")</f>
        <v/>
      </c>
    </row>
    <row r="1926" customFormat="false" ht="15" hidden="false" customHeight="false" outlineLevel="0" collapsed="false">
      <c r="A1926" s="12"/>
      <c r="B1926" s="12"/>
      <c r="C1926" s="17" t="str">
        <f aca="false">IF(B1926="","",IFERROR(INDEX(Produits!$F$2:$F$1001,MATCH(B1926,Produits!$A$2:$A$1001,0)),"⚠ code article inconnu"))</f>
        <v/>
      </c>
      <c r="D1926" s="12"/>
      <c r="E1926" s="23"/>
      <c r="F1926" s="24"/>
      <c r="G1926" s="23"/>
      <c r="H1926" s="21" t="str">
        <f aca="true">IF(E1926="","",ROUND((E1926-TODAY())/30.4,1))</f>
        <v/>
      </c>
      <c r="I1926" s="17" t="str">
        <f aca="false">IF(E1926="","",IF(H1926&lt;0,IF(LEFT(A1926,1)="Q","Périmé (en quarantaine)","PÉRIMÉ → déplacer en zone Q"),IF(H1926&lt;3,"Péremption &lt; 3 mois",IF(H1926&lt;6,"Péremption &lt; 6 mois",""))))</f>
        <v/>
      </c>
      <c r="J1926" s="17" t="str">
        <f aca="false">IF(A1926="","",IF(COUNTIF(Emplacements!$A$2:$A$1001,A1926)=0,"⚠ emplacement inconnu","OK"))</f>
        <v/>
      </c>
      <c r="K1926" s="22" t="str">
        <f aca="false">IF(AND(B1926&lt;&gt;"",ISNUMBER(SEARCH(Recherche!$C$3,C1926&amp;" "&amp;B1926&amp;" "&amp;A1926&amp;" "&amp;D1926))),MAX($K$1:K1925)+1,"")</f>
        <v/>
      </c>
    </row>
    <row r="1927" customFormat="false" ht="15" hidden="false" customHeight="false" outlineLevel="0" collapsed="false">
      <c r="A1927" s="12"/>
      <c r="B1927" s="12"/>
      <c r="C1927" s="17" t="str">
        <f aca="false">IF(B1927="","",IFERROR(INDEX(Produits!$F$2:$F$1001,MATCH(B1927,Produits!$A$2:$A$1001,0)),"⚠ code article inconnu"))</f>
        <v/>
      </c>
      <c r="D1927" s="12"/>
      <c r="E1927" s="23"/>
      <c r="F1927" s="24"/>
      <c r="G1927" s="23"/>
      <c r="H1927" s="21" t="str">
        <f aca="true">IF(E1927="","",ROUND((E1927-TODAY())/30.4,1))</f>
        <v/>
      </c>
      <c r="I1927" s="17" t="str">
        <f aca="false">IF(E1927="","",IF(H1927&lt;0,IF(LEFT(A1927,1)="Q","Périmé (en quarantaine)","PÉRIMÉ → déplacer en zone Q"),IF(H1927&lt;3,"Péremption &lt; 3 mois",IF(H1927&lt;6,"Péremption &lt; 6 mois",""))))</f>
        <v/>
      </c>
      <c r="J1927" s="17" t="str">
        <f aca="false">IF(A1927="","",IF(COUNTIF(Emplacements!$A$2:$A$1001,A1927)=0,"⚠ emplacement inconnu","OK"))</f>
        <v/>
      </c>
      <c r="K1927" s="22" t="str">
        <f aca="false">IF(AND(B1927&lt;&gt;"",ISNUMBER(SEARCH(Recherche!$C$3,C1927&amp;" "&amp;B1927&amp;" "&amp;A1927&amp;" "&amp;D1927))),MAX($K$1:K1926)+1,"")</f>
        <v/>
      </c>
    </row>
    <row r="1928" customFormat="false" ht="15" hidden="false" customHeight="false" outlineLevel="0" collapsed="false">
      <c r="A1928" s="12"/>
      <c r="B1928" s="12"/>
      <c r="C1928" s="17" t="str">
        <f aca="false">IF(B1928="","",IFERROR(INDEX(Produits!$F$2:$F$1001,MATCH(B1928,Produits!$A$2:$A$1001,0)),"⚠ code article inconnu"))</f>
        <v/>
      </c>
      <c r="D1928" s="12"/>
      <c r="E1928" s="23"/>
      <c r="F1928" s="24"/>
      <c r="G1928" s="23"/>
      <c r="H1928" s="21" t="str">
        <f aca="true">IF(E1928="","",ROUND((E1928-TODAY())/30.4,1))</f>
        <v/>
      </c>
      <c r="I1928" s="17" t="str">
        <f aca="false">IF(E1928="","",IF(H1928&lt;0,IF(LEFT(A1928,1)="Q","Périmé (en quarantaine)","PÉRIMÉ → déplacer en zone Q"),IF(H1928&lt;3,"Péremption &lt; 3 mois",IF(H1928&lt;6,"Péremption &lt; 6 mois",""))))</f>
        <v/>
      </c>
      <c r="J1928" s="17" t="str">
        <f aca="false">IF(A1928="","",IF(COUNTIF(Emplacements!$A$2:$A$1001,A1928)=0,"⚠ emplacement inconnu","OK"))</f>
        <v/>
      </c>
      <c r="K1928" s="22" t="str">
        <f aca="false">IF(AND(B1928&lt;&gt;"",ISNUMBER(SEARCH(Recherche!$C$3,C1928&amp;" "&amp;B1928&amp;" "&amp;A1928&amp;" "&amp;D1928))),MAX($K$1:K1927)+1,"")</f>
        <v/>
      </c>
    </row>
    <row r="1929" customFormat="false" ht="15" hidden="false" customHeight="false" outlineLevel="0" collapsed="false">
      <c r="A1929" s="12"/>
      <c r="B1929" s="12"/>
      <c r="C1929" s="17" t="str">
        <f aca="false">IF(B1929="","",IFERROR(INDEX(Produits!$F$2:$F$1001,MATCH(B1929,Produits!$A$2:$A$1001,0)),"⚠ code article inconnu"))</f>
        <v/>
      </c>
      <c r="D1929" s="12"/>
      <c r="E1929" s="23"/>
      <c r="F1929" s="24"/>
      <c r="G1929" s="23"/>
      <c r="H1929" s="21" t="str">
        <f aca="true">IF(E1929="","",ROUND((E1929-TODAY())/30.4,1))</f>
        <v/>
      </c>
      <c r="I1929" s="17" t="str">
        <f aca="false">IF(E1929="","",IF(H1929&lt;0,IF(LEFT(A1929,1)="Q","Périmé (en quarantaine)","PÉRIMÉ → déplacer en zone Q"),IF(H1929&lt;3,"Péremption &lt; 3 mois",IF(H1929&lt;6,"Péremption &lt; 6 mois",""))))</f>
        <v/>
      </c>
      <c r="J1929" s="17" t="str">
        <f aca="false">IF(A1929="","",IF(COUNTIF(Emplacements!$A$2:$A$1001,A1929)=0,"⚠ emplacement inconnu","OK"))</f>
        <v/>
      </c>
      <c r="K1929" s="22" t="str">
        <f aca="false">IF(AND(B1929&lt;&gt;"",ISNUMBER(SEARCH(Recherche!$C$3,C1929&amp;" "&amp;B1929&amp;" "&amp;A1929&amp;" "&amp;D1929))),MAX($K$1:K1928)+1,"")</f>
        <v/>
      </c>
    </row>
    <row r="1930" customFormat="false" ht="15" hidden="false" customHeight="false" outlineLevel="0" collapsed="false">
      <c r="A1930" s="12"/>
      <c r="B1930" s="12"/>
      <c r="C1930" s="17" t="str">
        <f aca="false">IF(B1930="","",IFERROR(INDEX(Produits!$F$2:$F$1001,MATCH(B1930,Produits!$A$2:$A$1001,0)),"⚠ code article inconnu"))</f>
        <v/>
      </c>
      <c r="D1930" s="12"/>
      <c r="E1930" s="23"/>
      <c r="F1930" s="24"/>
      <c r="G1930" s="23"/>
      <c r="H1930" s="21" t="str">
        <f aca="true">IF(E1930="","",ROUND((E1930-TODAY())/30.4,1))</f>
        <v/>
      </c>
      <c r="I1930" s="17" t="str">
        <f aca="false">IF(E1930="","",IF(H1930&lt;0,IF(LEFT(A1930,1)="Q","Périmé (en quarantaine)","PÉRIMÉ → déplacer en zone Q"),IF(H1930&lt;3,"Péremption &lt; 3 mois",IF(H1930&lt;6,"Péremption &lt; 6 mois",""))))</f>
        <v/>
      </c>
      <c r="J1930" s="17" t="str">
        <f aca="false">IF(A1930="","",IF(COUNTIF(Emplacements!$A$2:$A$1001,A1930)=0,"⚠ emplacement inconnu","OK"))</f>
        <v/>
      </c>
      <c r="K1930" s="22" t="str">
        <f aca="false">IF(AND(B1930&lt;&gt;"",ISNUMBER(SEARCH(Recherche!$C$3,C1930&amp;" "&amp;B1930&amp;" "&amp;A1930&amp;" "&amp;D1930))),MAX($K$1:K1929)+1,"")</f>
        <v/>
      </c>
    </row>
    <row r="1931" customFormat="false" ht="15" hidden="false" customHeight="false" outlineLevel="0" collapsed="false">
      <c r="A1931" s="12"/>
      <c r="B1931" s="12"/>
      <c r="C1931" s="17" t="str">
        <f aca="false">IF(B1931="","",IFERROR(INDEX(Produits!$F$2:$F$1001,MATCH(B1931,Produits!$A$2:$A$1001,0)),"⚠ code article inconnu"))</f>
        <v/>
      </c>
      <c r="D1931" s="12"/>
      <c r="E1931" s="23"/>
      <c r="F1931" s="24"/>
      <c r="G1931" s="23"/>
      <c r="H1931" s="21" t="str">
        <f aca="true">IF(E1931="","",ROUND((E1931-TODAY())/30.4,1))</f>
        <v/>
      </c>
      <c r="I1931" s="17" t="str">
        <f aca="false">IF(E1931="","",IF(H1931&lt;0,IF(LEFT(A1931,1)="Q","Périmé (en quarantaine)","PÉRIMÉ → déplacer en zone Q"),IF(H1931&lt;3,"Péremption &lt; 3 mois",IF(H1931&lt;6,"Péremption &lt; 6 mois",""))))</f>
        <v/>
      </c>
      <c r="J1931" s="17" t="str">
        <f aca="false">IF(A1931="","",IF(COUNTIF(Emplacements!$A$2:$A$1001,A1931)=0,"⚠ emplacement inconnu","OK"))</f>
        <v/>
      </c>
      <c r="K1931" s="22" t="str">
        <f aca="false">IF(AND(B1931&lt;&gt;"",ISNUMBER(SEARCH(Recherche!$C$3,C1931&amp;" "&amp;B1931&amp;" "&amp;A1931&amp;" "&amp;D1931))),MAX($K$1:K1930)+1,"")</f>
        <v/>
      </c>
    </row>
    <row r="1932" customFormat="false" ht="15" hidden="false" customHeight="false" outlineLevel="0" collapsed="false">
      <c r="A1932" s="12"/>
      <c r="B1932" s="12"/>
      <c r="C1932" s="17" t="str">
        <f aca="false">IF(B1932="","",IFERROR(INDEX(Produits!$F$2:$F$1001,MATCH(B1932,Produits!$A$2:$A$1001,0)),"⚠ code article inconnu"))</f>
        <v/>
      </c>
      <c r="D1932" s="12"/>
      <c r="E1932" s="23"/>
      <c r="F1932" s="24"/>
      <c r="G1932" s="23"/>
      <c r="H1932" s="21" t="str">
        <f aca="true">IF(E1932="","",ROUND((E1932-TODAY())/30.4,1))</f>
        <v/>
      </c>
      <c r="I1932" s="17" t="str">
        <f aca="false">IF(E1932="","",IF(H1932&lt;0,IF(LEFT(A1932,1)="Q","Périmé (en quarantaine)","PÉRIMÉ → déplacer en zone Q"),IF(H1932&lt;3,"Péremption &lt; 3 mois",IF(H1932&lt;6,"Péremption &lt; 6 mois",""))))</f>
        <v/>
      </c>
      <c r="J1932" s="17" t="str">
        <f aca="false">IF(A1932="","",IF(COUNTIF(Emplacements!$A$2:$A$1001,A1932)=0,"⚠ emplacement inconnu","OK"))</f>
        <v/>
      </c>
      <c r="K1932" s="22" t="str">
        <f aca="false">IF(AND(B1932&lt;&gt;"",ISNUMBER(SEARCH(Recherche!$C$3,C1932&amp;" "&amp;B1932&amp;" "&amp;A1932&amp;" "&amp;D1932))),MAX($K$1:K1931)+1,"")</f>
        <v/>
      </c>
    </row>
    <row r="1933" customFormat="false" ht="15" hidden="false" customHeight="false" outlineLevel="0" collapsed="false">
      <c r="A1933" s="12"/>
      <c r="B1933" s="12"/>
      <c r="C1933" s="17" t="str">
        <f aca="false">IF(B1933="","",IFERROR(INDEX(Produits!$F$2:$F$1001,MATCH(B1933,Produits!$A$2:$A$1001,0)),"⚠ code article inconnu"))</f>
        <v/>
      </c>
      <c r="D1933" s="12"/>
      <c r="E1933" s="23"/>
      <c r="F1933" s="24"/>
      <c r="G1933" s="23"/>
      <c r="H1933" s="21" t="str">
        <f aca="true">IF(E1933="","",ROUND((E1933-TODAY())/30.4,1))</f>
        <v/>
      </c>
      <c r="I1933" s="17" t="str">
        <f aca="false">IF(E1933="","",IF(H1933&lt;0,IF(LEFT(A1933,1)="Q","Périmé (en quarantaine)","PÉRIMÉ → déplacer en zone Q"),IF(H1933&lt;3,"Péremption &lt; 3 mois",IF(H1933&lt;6,"Péremption &lt; 6 mois",""))))</f>
        <v/>
      </c>
      <c r="J1933" s="17" t="str">
        <f aca="false">IF(A1933="","",IF(COUNTIF(Emplacements!$A$2:$A$1001,A1933)=0,"⚠ emplacement inconnu","OK"))</f>
        <v/>
      </c>
      <c r="K1933" s="22" t="str">
        <f aca="false">IF(AND(B1933&lt;&gt;"",ISNUMBER(SEARCH(Recherche!$C$3,C1933&amp;" "&amp;B1933&amp;" "&amp;A1933&amp;" "&amp;D1933))),MAX($K$1:K1932)+1,"")</f>
        <v/>
      </c>
    </row>
    <row r="1934" customFormat="false" ht="15" hidden="false" customHeight="false" outlineLevel="0" collapsed="false">
      <c r="A1934" s="12"/>
      <c r="B1934" s="12"/>
      <c r="C1934" s="17" t="str">
        <f aca="false">IF(B1934="","",IFERROR(INDEX(Produits!$F$2:$F$1001,MATCH(B1934,Produits!$A$2:$A$1001,0)),"⚠ code article inconnu"))</f>
        <v/>
      </c>
      <c r="D1934" s="12"/>
      <c r="E1934" s="23"/>
      <c r="F1934" s="24"/>
      <c r="G1934" s="23"/>
      <c r="H1934" s="21" t="str">
        <f aca="true">IF(E1934="","",ROUND((E1934-TODAY())/30.4,1))</f>
        <v/>
      </c>
      <c r="I1934" s="17" t="str">
        <f aca="false">IF(E1934="","",IF(H1934&lt;0,IF(LEFT(A1934,1)="Q","Périmé (en quarantaine)","PÉRIMÉ → déplacer en zone Q"),IF(H1934&lt;3,"Péremption &lt; 3 mois",IF(H1934&lt;6,"Péremption &lt; 6 mois",""))))</f>
        <v/>
      </c>
      <c r="J1934" s="17" t="str">
        <f aca="false">IF(A1934="","",IF(COUNTIF(Emplacements!$A$2:$A$1001,A1934)=0,"⚠ emplacement inconnu","OK"))</f>
        <v/>
      </c>
      <c r="K1934" s="22" t="str">
        <f aca="false">IF(AND(B1934&lt;&gt;"",ISNUMBER(SEARCH(Recherche!$C$3,C1934&amp;" "&amp;B1934&amp;" "&amp;A1934&amp;" "&amp;D1934))),MAX($K$1:K1933)+1,"")</f>
        <v/>
      </c>
    </row>
    <row r="1935" customFormat="false" ht="15" hidden="false" customHeight="false" outlineLevel="0" collapsed="false">
      <c r="A1935" s="12"/>
      <c r="B1935" s="12"/>
      <c r="C1935" s="17" t="str">
        <f aca="false">IF(B1935="","",IFERROR(INDEX(Produits!$F$2:$F$1001,MATCH(B1935,Produits!$A$2:$A$1001,0)),"⚠ code article inconnu"))</f>
        <v/>
      </c>
      <c r="D1935" s="12"/>
      <c r="E1935" s="23"/>
      <c r="F1935" s="24"/>
      <c r="G1935" s="23"/>
      <c r="H1935" s="21" t="str">
        <f aca="true">IF(E1935="","",ROUND((E1935-TODAY())/30.4,1))</f>
        <v/>
      </c>
      <c r="I1935" s="17" t="str">
        <f aca="false">IF(E1935="","",IF(H1935&lt;0,IF(LEFT(A1935,1)="Q","Périmé (en quarantaine)","PÉRIMÉ → déplacer en zone Q"),IF(H1935&lt;3,"Péremption &lt; 3 mois",IF(H1935&lt;6,"Péremption &lt; 6 mois",""))))</f>
        <v/>
      </c>
      <c r="J1935" s="17" t="str">
        <f aca="false">IF(A1935="","",IF(COUNTIF(Emplacements!$A$2:$A$1001,A1935)=0,"⚠ emplacement inconnu","OK"))</f>
        <v/>
      </c>
      <c r="K1935" s="22" t="str">
        <f aca="false">IF(AND(B1935&lt;&gt;"",ISNUMBER(SEARCH(Recherche!$C$3,C1935&amp;" "&amp;B1935&amp;" "&amp;A1935&amp;" "&amp;D1935))),MAX($K$1:K1934)+1,"")</f>
        <v/>
      </c>
    </row>
    <row r="1936" customFormat="false" ht="15" hidden="false" customHeight="false" outlineLevel="0" collapsed="false">
      <c r="A1936" s="12"/>
      <c r="B1936" s="12"/>
      <c r="C1936" s="17" t="str">
        <f aca="false">IF(B1936="","",IFERROR(INDEX(Produits!$F$2:$F$1001,MATCH(B1936,Produits!$A$2:$A$1001,0)),"⚠ code article inconnu"))</f>
        <v/>
      </c>
      <c r="D1936" s="12"/>
      <c r="E1936" s="23"/>
      <c r="F1936" s="24"/>
      <c r="G1936" s="23"/>
      <c r="H1936" s="21" t="str">
        <f aca="true">IF(E1936="","",ROUND((E1936-TODAY())/30.4,1))</f>
        <v/>
      </c>
      <c r="I1936" s="17" t="str">
        <f aca="false">IF(E1936="","",IF(H1936&lt;0,IF(LEFT(A1936,1)="Q","Périmé (en quarantaine)","PÉRIMÉ → déplacer en zone Q"),IF(H1936&lt;3,"Péremption &lt; 3 mois",IF(H1936&lt;6,"Péremption &lt; 6 mois",""))))</f>
        <v/>
      </c>
      <c r="J1936" s="17" t="str">
        <f aca="false">IF(A1936="","",IF(COUNTIF(Emplacements!$A$2:$A$1001,A1936)=0,"⚠ emplacement inconnu","OK"))</f>
        <v/>
      </c>
      <c r="K1936" s="22" t="str">
        <f aca="false">IF(AND(B1936&lt;&gt;"",ISNUMBER(SEARCH(Recherche!$C$3,C1936&amp;" "&amp;B1936&amp;" "&amp;A1936&amp;" "&amp;D1936))),MAX($K$1:K1935)+1,"")</f>
        <v/>
      </c>
    </row>
    <row r="1937" customFormat="false" ht="15" hidden="false" customHeight="false" outlineLevel="0" collapsed="false">
      <c r="A1937" s="12"/>
      <c r="B1937" s="12"/>
      <c r="C1937" s="17" t="str">
        <f aca="false">IF(B1937="","",IFERROR(INDEX(Produits!$F$2:$F$1001,MATCH(B1937,Produits!$A$2:$A$1001,0)),"⚠ code article inconnu"))</f>
        <v/>
      </c>
      <c r="D1937" s="12"/>
      <c r="E1937" s="23"/>
      <c r="F1937" s="24"/>
      <c r="G1937" s="23"/>
      <c r="H1937" s="21" t="str">
        <f aca="true">IF(E1937="","",ROUND((E1937-TODAY())/30.4,1))</f>
        <v/>
      </c>
      <c r="I1937" s="17" t="str">
        <f aca="false">IF(E1937="","",IF(H1937&lt;0,IF(LEFT(A1937,1)="Q","Périmé (en quarantaine)","PÉRIMÉ → déplacer en zone Q"),IF(H1937&lt;3,"Péremption &lt; 3 mois",IF(H1937&lt;6,"Péremption &lt; 6 mois",""))))</f>
        <v/>
      </c>
      <c r="J1937" s="17" t="str">
        <f aca="false">IF(A1937="","",IF(COUNTIF(Emplacements!$A$2:$A$1001,A1937)=0,"⚠ emplacement inconnu","OK"))</f>
        <v/>
      </c>
      <c r="K1937" s="22" t="str">
        <f aca="false">IF(AND(B1937&lt;&gt;"",ISNUMBER(SEARCH(Recherche!$C$3,C1937&amp;" "&amp;B1937&amp;" "&amp;A1937&amp;" "&amp;D1937))),MAX($K$1:K1936)+1,"")</f>
        <v/>
      </c>
    </row>
    <row r="1938" customFormat="false" ht="15" hidden="false" customHeight="false" outlineLevel="0" collapsed="false">
      <c r="A1938" s="12"/>
      <c r="B1938" s="12"/>
      <c r="C1938" s="17" t="str">
        <f aca="false">IF(B1938="","",IFERROR(INDEX(Produits!$F$2:$F$1001,MATCH(B1938,Produits!$A$2:$A$1001,0)),"⚠ code article inconnu"))</f>
        <v/>
      </c>
      <c r="D1938" s="12"/>
      <c r="E1938" s="23"/>
      <c r="F1938" s="24"/>
      <c r="G1938" s="23"/>
      <c r="H1938" s="21" t="str">
        <f aca="true">IF(E1938="","",ROUND((E1938-TODAY())/30.4,1))</f>
        <v/>
      </c>
      <c r="I1938" s="17" t="str">
        <f aca="false">IF(E1938="","",IF(H1938&lt;0,IF(LEFT(A1938,1)="Q","Périmé (en quarantaine)","PÉRIMÉ → déplacer en zone Q"),IF(H1938&lt;3,"Péremption &lt; 3 mois",IF(H1938&lt;6,"Péremption &lt; 6 mois",""))))</f>
        <v/>
      </c>
      <c r="J1938" s="17" t="str">
        <f aca="false">IF(A1938="","",IF(COUNTIF(Emplacements!$A$2:$A$1001,A1938)=0,"⚠ emplacement inconnu","OK"))</f>
        <v/>
      </c>
      <c r="K1938" s="22" t="str">
        <f aca="false">IF(AND(B1938&lt;&gt;"",ISNUMBER(SEARCH(Recherche!$C$3,C1938&amp;" "&amp;B1938&amp;" "&amp;A1938&amp;" "&amp;D1938))),MAX($K$1:K1937)+1,"")</f>
        <v/>
      </c>
    </row>
    <row r="1939" customFormat="false" ht="15" hidden="false" customHeight="false" outlineLevel="0" collapsed="false">
      <c r="A1939" s="12"/>
      <c r="B1939" s="12"/>
      <c r="C1939" s="17" t="str">
        <f aca="false">IF(B1939="","",IFERROR(INDEX(Produits!$F$2:$F$1001,MATCH(B1939,Produits!$A$2:$A$1001,0)),"⚠ code article inconnu"))</f>
        <v/>
      </c>
      <c r="D1939" s="12"/>
      <c r="E1939" s="23"/>
      <c r="F1939" s="24"/>
      <c r="G1939" s="23"/>
      <c r="H1939" s="21" t="str">
        <f aca="true">IF(E1939="","",ROUND((E1939-TODAY())/30.4,1))</f>
        <v/>
      </c>
      <c r="I1939" s="17" t="str">
        <f aca="false">IF(E1939="","",IF(H1939&lt;0,IF(LEFT(A1939,1)="Q","Périmé (en quarantaine)","PÉRIMÉ → déplacer en zone Q"),IF(H1939&lt;3,"Péremption &lt; 3 mois",IF(H1939&lt;6,"Péremption &lt; 6 mois",""))))</f>
        <v/>
      </c>
      <c r="J1939" s="17" t="str">
        <f aca="false">IF(A1939="","",IF(COUNTIF(Emplacements!$A$2:$A$1001,A1939)=0,"⚠ emplacement inconnu","OK"))</f>
        <v/>
      </c>
      <c r="K1939" s="22" t="str">
        <f aca="false">IF(AND(B1939&lt;&gt;"",ISNUMBER(SEARCH(Recherche!$C$3,C1939&amp;" "&amp;B1939&amp;" "&amp;A1939&amp;" "&amp;D1939))),MAX($K$1:K1938)+1,"")</f>
        <v/>
      </c>
    </row>
    <row r="1940" customFormat="false" ht="15" hidden="false" customHeight="false" outlineLevel="0" collapsed="false">
      <c r="A1940" s="12"/>
      <c r="B1940" s="12"/>
      <c r="C1940" s="17" t="str">
        <f aca="false">IF(B1940="","",IFERROR(INDEX(Produits!$F$2:$F$1001,MATCH(B1940,Produits!$A$2:$A$1001,0)),"⚠ code article inconnu"))</f>
        <v/>
      </c>
      <c r="D1940" s="12"/>
      <c r="E1940" s="23"/>
      <c r="F1940" s="24"/>
      <c r="G1940" s="23"/>
      <c r="H1940" s="21" t="str">
        <f aca="true">IF(E1940="","",ROUND((E1940-TODAY())/30.4,1))</f>
        <v/>
      </c>
      <c r="I1940" s="17" t="str">
        <f aca="false">IF(E1940="","",IF(H1940&lt;0,IF(LEFT(A1940,1)="Q","Périmé (en quarantaine)","PÉRIMÉ → déplacer en zone Q"),IF(H1940&lt;3,"Péremption &lt; 3 mois",IF(H1940&lt;6,"Péremption &lt; 6 mois",""))))</f>
        <v/>
      </c>
      <c r="J1940" s="17" t="str">
        <f aca="false">IF(A1940="","",IF(COUNTIF(Emplacements!$A$2:$A$1001,A1940)=0,"⚠ emplacement inconnu","OK"))</f>
        <v/>
      </c>
      <c r="K1940" s="22" t="str">
        <f aca="false">IF(AND(B1940&lt;&gt;"",ISNUMBER(SEARCH(Recherche!$C$3,C1940&amp;" "&amp;B1940&amp;" "&amp;A1940&amp;" "&amp;D1940))),MAX($K$1:K1939)+1,"")</f>
        <v/>
      </c>
    </row>
    <row r="1941" customFormat="false" ht="15" hidden="false" customHeight="false" outlineLevel="0" collapsed="false">
      <c r="A1941" s="12"/>
      <c r="B1941" s="12"/>
      <c r="C1941" s="17" t="str">
        <f aca="false">IF(B1941="","",IFERROR(INDEX(Produits!$F$2:$F$1001,MATCH(B1941,Produits!$A$2:$A$1001,0)),"⚠ code article inconnu"))</f>
        <v/>
      </c>
      <c r="D1941" s="12"/>
      <c r="E1941" s="23"/>
      <c r="F1941" s="24"/>
      <c r="G1941" s="23"/>
      <c r="H1941" s="21" t="str">
        <f aca="true">IF(E1941="","",ROUND((E1941-TODAY())/30.4,1))</f>
        <v/>
      </c>
      <c r="I1941" s="17" t="str">
        <f aca="false">IF(E1941="","",IF(H1941&lt;0,IF(LEFT(A1941,1)="Q","Périmé (en quarantaine)","PÉRIMÉ → déplacer en zone Q"),IF(H1941&lt;3,"Péremption &lt; 3 mois",IF(H1941&lt;6,"Péremption &lt; 6 mois",""))))</f>
        <v/>
      </c>
      <c r="J1941" s="17" t="str">
        <f aca="false">IF(A1941="","",IF(COUNTIF(Emplacements!$A$2:$A$1001,A1941)=0,"⚠ emplacement inconnu","OK"))</f>
        <v/>
      </c>
      <c r="K1941" s="22" t="str">
        <f aca="false">IF(AND(B1941&lt;&gt;"",ISNUMBER(SEARCH(Recherche!$C$3,C1941&amp;" "&amp;B1941&amp;" "&amp;A1941&amp;" "&amp;D1941))),MAX($K$1:K1940)+1,"")</f>
        <v/>
      </c>
    </row>
    <row r="1942" customFormat="false" ht="15" hidden="false" customHeight="false" outlineLevel="0" collapsed="false">
      <c r="A1942" s="12"/>
      <c r="B1942" s="12"/>
      <c r="C1942" s="17" t="str">
        <f aca="false">IF(B1942="","",IFERROR(INDEX(Produits!$F$2:$F$1001,MATCH(B1942,Produits!$A$2:$A$1001,0)),"⚠ code article inconnu"))</f>
        <v/>
      </c>
      <c r="D1942" s="12"/>
      <c r="E1942" s="23"/>
      <c r="F1942" s="24"/>
      <c r="G1942" s="23"/>
      <c r="H1942" s="21" t="str">
        <f aca="true">IF(E1942="","",ROUND((E1942-TODAY())/30.4,1))</f>
        <v/>
      </c>
      <c r="I1942" s="17" t="str">
        <f aca="false">IF(E1942="","",IF(H1942&lt;0,IF(LEFT(A1942,1)="Q","Périmé (en quarantaine)","PÉRIMÉ → déplacer en zone Q"),IF(H1942&lt;3,"Péremption &lt; 3 mois",IF(H1942&lt;6,"Péremption &lt; 6 mois",""))))</f>
        <v/>
      </c>
      <c r="J1942" s="17" t="str">
        <f aca="false">IF(A1942="","",IF(COUNTIF(Emplacements!$A$2:$A$1001,A1942)=0,"⚠ emplacement inconnu","OK"))</f>
        <v/>
      </c>
      <c r="K1942" s="22" t="str">
        <f aca="false">IF(AND(B1942&lt;&gt;"",ISNUMBER(SEARCH(Recherche!$C$3,C1942&amp;" "&amp;B1942&amp;" "&amp;A1942&amp;" "&amp;D1942))),MAX($K$1:K1941)+1,"")</f>
        <v/>
      </c>
    </row>
    <row r="1943" customFormat="false" ht="15" hidden="false" customHeight="false" outlineLevel="0" collapsed="false">
      <c r="A1943" s="12"/>
      <c r="B1943" s="12"/>
      <c r="C1943" s="17" t="str">
        <f aca="false">IF(B1943="","",IFERROR(INDEX(Produits!$F$2:$F$1001,MATCH(B1943,Produits!$A$2:$A$1001,0)),"⚠ code article inconnu"))</f>
        <v/>
      </c>
      <c r="D1943" s="12"/>
      <c r="E1943" s="23"/>
      <c r="F1943" s="24"/>
      <c r="G1943" s="23"/>
      <c r="H1943" s="21" t="str">
        <f aca="true">IF(E1943="","",ROUND((E1943-TODAY())/30.4,1))</f>
        <v/>
      </c>
      <c r="I1943" s="17" t="str">
        <f aca="false">IF(E1943="","",IF(H1943&lt;0,IF(LEFT(A1943,1)="Q","Périmé (en quarantaine)","PÉRIMÉ → déplacer en zone Q"),IF(H1943&lt;3,"Péremption &lt; 3 mois",IF(H1943&lt;6,"Péremption &lt; 6 mois",""))))</f>
        <v/>
      </c>
      <c r="J1943" s="17" t="str">
        <f aca="false">IF(A1943="","",IF(COUNTIF(Emplacements!$A$2:$A$1001,A1943)=0,"⚠ emplacement inconnu","OK"))</f>
        <v/>
      </c>
      <c r="K1943" s="22" t="str">
        <f aca="false">IF(AND(B1943&lt;&gt;"",ISNUMBER(SEARCH(Recherche!$C$3,C1943&amp;" "&amp;B1943&amp;" "&amp;A1943&amp;" "&amp;D1943))),MAX($K$1:K1942)+1,"")</f>
        <v/>
      </c>
    </row>
    <row r="1944" customFormat="false" ht="15" hidden="false" customHeight="false" outlineLevel="0" collapsed="false">
      <c r="A1944" s="12"/>
      <c r="B1944" s="12"/>
      <c r="C1944" s="17" t="str">
        <f aca="false">IF(B1944="","",IFERROR(INDEX(Produits!$F$2:$F$1001,MATCH(B1944,Produits!$A$2:$A$1001,0)),"⚠ code article inconnu"))</f>
        <v/>
      </c>
      <c r="D1944" s="12"/>
      <c r="E1944" s="23"/>
      <c r="F1944" s="24"/>
      <c r="G1944" s="23"/>
      <c r="H1944" s="21" t="str">
        <f aca="true">IF(E1944="","",ROUND((E1944-TODAY())/30.4,1))</f>
        <v/>
      </c>
      <c r="I1944" s="17" t="str">
        <f aca="false">IF(E1944="","",IF(H1944&lt;0,IF(LEFT(A1944,1)="Q","Périmé (en quarantaine)","PÉRIMÉ → déplacer en zone Q"),IF(H1944&lt;3,"Péremption &lt; 3 mois",IF(H1944&lt;6,"Péremption &lt; 6 mois",""))))</f>
        <v/>
      </c>
      <c r="J1944" s="17" t="str">
        <f aca="false">IF(A1944="","",IF(COUNTIF(Emplacements!$A$2:$A$1001,A1944)=0,"⚠ emplacement inconnu","OK"))</f>
        <v/>
      </c>
      <c r="K1944" s="22" t="str">
        <f aca="false">IF(AND(B1944&lt;&gt;"",ISNUMBER(SEARCH(Recherche!$C$3,C1944&amp;" "&amp;B1944&amp;" "&amp;A1944&amp;" "&amp;D1944))),MAX($K$1:K1943)+1,"")</f>
        <v/>
      </c>
    </row>
    <row r="1945" customFormat="false" ht="15" hidden="false" customHeight="false" outlineLevel="0" collapsed="false">
      <c r="A1945" s="12"/>
      <c r="B1945" s="12"/>
      <c r="C1945" s="17" t="str">
        <f aca="false">IF(B1945="","",IFERROR(INDEX(Produits!$F$2:$F$1001,MATCH(B1945,Produits!$A$2:$A$1001,0)),"⚠ code article inconnu"))</f>
        <v/>
      </c>
      <c r="D1945" s="12"/>
      <c r="E1945" s="23"/>
      <c r="F1945" s="24"/>
      <c r="G1945" s="23"/>
      <c r="H1945" s="21" t="str">
        <f aca="true">IF(E1945="","",ROUND((E1945-TODAY())/30.4,1))</f>
        <v/>
      </c>
      <c r="I1945" s="17" t="str">
        <f aca="false">IF(E1945="","",IF(H1945&lt;0,IF(LEFT(A1945,1)="Q","Périmé (en quarantaine)","PÉRIMÉ → déplacer en zone Q"),IF(H1945&lt;3,"Péremption &lt; 3 mois",IF(H1945&lt;6,"Péremption &lt; 6 mois",""))))</f>
        <v/>
      </c>
      <c r="J1945" s="17" t="str">
        <f aca="false">IF(A1945="","",IF(COUNTIF(Emplacements!$A$2:$A$1001,A1945)=0,"⚠ emplacement inconnu","OK"))</f>
        <v/>
      </c>
      <c r="K1945" s="22" t="str">
        <f aca="false">IF(AND(B1945&lt;&gt;"",ISNUMBER(SEARCH(Recherche!$C$3,C1945&amp;" "&amp;B1945&amp;" "&amp;A1945&amp;" "&amp;D1945))),MAX($K$1:K1944)+1,"")</f>
        <v/>
      </c>
    </row>
    <row r="1946" customFormat="false" ht="15" hidden="false" customHeight="false" outlineLevel="0" collapsed="false">
      <c r="A1946" s="12"/>
      <c r="B1946" s="12"/>
      <c r="C1946" s="17" t="str">
        <f aca="false">IF(B1946="","",IFERROR(INDEX(Produits!$F$2:$F$1001,MATCH(B1946,Produits!$A$2:$A$1001,0)),"⚠ code article inconnu"))</f>
        <v/>
      </c>
      <c r="D1946" s="12"/>
      <c r="E1946" s="23"/>
      <c r="F1946" s="24"/>
      <c r="G1946" s="23"/>
      <c r="H1946" s="21" t="str">
        <f aca="true">IF(E1946="","",ROUND((E1946-TODAY())/30.4,1))</f>
        <v/>
      </c>
      <c r="I1946" s="17" t="str">
        <f aca="false">IF(E1946="","",IF(H1946&lt;0,IF(LEFT(A1946,1)="Q","Périmé (en quarantaine)","PÉRIMÉ → déplacer en zone Q"),IF(H1946&lt;3,"Péremption &lt; 3 mois",IF(H1946&lt;6,"Péremption &lt; 6 mois",""))))</f>
        <v/>
      </c>
      <c r="J1946" s="17" t="str">
        <f aca="false">IF(A1946="","",IF(COUNTIF(Emplacements!$A$2:$A$1001,A1946)=0,"⚠ emplacement inconnu","OK"))</f>
        <v/>
      </c>
      <c r="K1946" s="22" t="str">
        <f aca="false">IF(AND(B1946&lt;&gt;"",ISNUMBER(SEARCH(Recherche!$C$3,C1946&amp;" "&amp;B1946&amp;" "&amp;A1946&amp;" "&amp;D1946))),MAX($K$1:K1945)+1,"")</f>
        <v/>
      </c>
    </row>
    <row r="1947" customFormat="false" ht="15" hidden="false" customHeight="false" outlineLevel="0" collapsed="false">
      <c r="A1947" s="12"/>
      <c r="B1947" s="12"/>
      <c r="C1947" s="17" t="str">
        <f aca="false">IF(B1947="","",IFERROR(INDEX(Produits!$F$2:$F$1001,MATCH(B1947,Produits!$A$2:$A$1001,0)),"⚠ code article inconnu"))</f>
        <v/>
      </c>
      <c r="D1947" s="12"/>
      <c r="E1947" s="23"/>
      <c r="F1947" s="24"/>
      <c r="G1947" s="23"/>
      <c r="H1947" s="21" t="str">
        <f aca="true">IF(E1947="","",ROUND((E1947-TODAY())/30.4,1))</f>
        <v/>
      </c>
      <c r="I1947" s="17" t="str">
        <f aca="false">IF(E1947="","",IF(H1947&lt;0,IF(LEFT(A1947,1)="Q","Périmé (en quarantaine)","PÉRIMÉ → déplacer en zone Q"),IF(H1947&lt;3,"Péremption &lt; 3 mois",IF(H1947&lt;6,"Péremption &lt; 6 mois",""))))</f>
        <v/>
      </c>
      <c r="J1947" s="17" t="str">
        <f aca="false">IF(A1947="","",IF(COUNTIF(Emplacements!$A$2:$A$1001,A1947)=0,"⚠ emplacement inconnu","OK"))</f>
        <v/>
      </c>
      <c r="K1947" s="22" t="str">
        <f aca="false">IF(AND(B1947&lt;&gt;"",ISNUMBER(SEARCH(Recherche!$C$3,C1947&amp;" "&amp;B1947&amp;" "&amp;A1947&amp;" "&amp;D1947))),MAX($K$1:K1946)+1,"")</f>
        <v/>
      </c>
    </row>
    <row r="1948" customFormat="false" ht="15" hidden="false" customHeight="false" outlineLevel="0" collapsed="false">
      <c r="A1948" s="12"/>
      <c r="B1948" s="12"/>
      <c r="C1948" s="17" t="str">
        <f aca="false">IF(B1948="","",IFERROR(INDEX(Produits!$F$2:$F$1001,MATCH(B1948,Produits!$A$2:$A$1001,0)),"⚠ code article inconnu"))</f>
        <v/>
      </c>
      <c r="D1948" s="12"/>
      <c r="E1948" s="23"/>
      <c r="F1948" s="24"/>
      <c r="G1948" s="23"/>
      <c r="H1948" s="21" t="str">
        <f aca="true">IF(E1948="","",ROUND((E1948-TODAY())/30.4,1))</f>
        <v/>
      </c>
      <c r="I1948" s="17" t="str">
        <f aca="false">IF(E1948="","",IF(H1948&lt;0,IF(LEFT(A1948,1)="Q","Périmé (en quarantaine)","PÉRIMÉ → déplacer en zone Q"),IF(H1948&lt;3,"Péremption &lt; 3 mois",IF(H1948&lt;6,"Péremption &lt; 6 mois",""))))</f>
        <v/>
      </c>
      <c r="J1948" s="17" t="str">
        <f aca="false">IF(A1948="","",IF(COUNTIF(Emplacements!$A$2:$A$1001,A1948)=0,"⚠ emplacement inconnu","OK"))</f>
        <v/>
      </c>
      <c r="K1948" s="22" t="str">
        <f aca="false">IF(AND(B1948&lt;&gt;"",ISNUMBER(SEARCH(Recherche!$C$3,C1948&amp;" "&amp;B1948&amp;" "&amp;A1948&amp;" "&amp;D1948))),MAX($K$1:K1947)+1,"")</f>
        <v/>
      </c>
    </row>
    <row r="1949" customFormat="false" ht="15" hidden="false" customHeight="false" outlineLevel="0" collapsed="false">
      <c r="A1949" s="12"/>
      <c r="B1949" s="12"/>
      <c r="C1949" s="17" t="str">
        <f aca="false">IF(B1949="","",IFERROR(INDEX(Produits!$F$2:$F$1001,MATCH(B1949,Produits!$A$2:$A$1001,0)),"⚠ code article inconnu"))</f>
        <v/>
      </c>
      <c r="D1949" s="12"/>
      <c r="E1949" s="23"/>
      <c r="F1949" s="24"/>
      <c r="G1949" s="23"/>
      <c r="H1949" s="21" t="str">
        <f aca="true">IF(E1949="","",ROUND((E1949-TODAY())/30.4,1))</f>
        <v/>
      </c>
      <c r="I1949" s="17" t="str">
        <f aca="false">IF(E1949="","",IF(H1949&lt;0,IF(LEFT(A1949,1)="Q","Périmé (en quarantaine)","PÉRIMÉ → déplacer en zone Q"),IF(H1949&lt;3,"Péremption &lt; 3 mois",IF(H1949&lt;6,"Péremption &lt; 6 mois",""))))</f>
        <v/>
      </c>
      <c r="J1949" s="17" t="str">
        <f aca="false">IF(A1949="","",IF(COUNTIF(Emplacements!$A$2:$A$1001,A1949)=0,"⚠ emplacement inconnu","OK"))</f>
        <v/>
      </c>
      <c r="K1949" s="22" t="str">
        <f aca="false">IF(AND(B1949&lt;&gt;"",ISNUMBER(SEARCH(Recherche!$C$3,C1949&amp;" "&amp;B1949&amp;" "&amp;A1949&amp;" "&amp;D1949))),MAX($K$1:K1948)+1,"")</f>
        <v/>
      </c>
    </row>
    <row r="1950" customFormat="false" ht="15" hidden="false" customHeight="false" outlineLevel="0" collapsed="false">
      <c r="A1950" s="12"/>
      <c r="B1950" s="12"/>
      <c r="C1950" s="17" t="str">
        <f aca="false">IF(B1950="","",IFERROR(INDEX(Produits!$F$2:$F$1001,MATCH(B1950,Produits!$A$2:$A$1001,0)),"⚠ code article inconnu"))</f>
        <v/>
      </c>
      <c r="D1950" s="12"/>
      <c r="E1950" s="23"/>
      <c r="F1950" s="24"/>
      <c r="G1950" s="23"/>
      <c r="H1950" s="21" t="str">
        <f aca="true">IF(E1950="","",ROUND((E1950-TODAY())/30.4,1))</f>
        <v/>
      </c>
      <c r="I1950" s="17" t="str">
        <f aca="false">IF(E1950="","",IF(H1950&lt;0,IF(LEFT(A1950,1)="Q","Périmé (en quarantaine)","PÉRIMÉ → déplacer en zone Q"),IF(H1950&lt;3,"Péremption &lt; 3 mois",IF(H1950&lt;6,"Péremption &lt; 6 mois",""))))</f>
        <v/>
      </c>
      <c r="J1950" s="17" t="str">
        <f aca="false">IF(A1950="","",IF(COUNTIF(Emplacements!$A$2:$A$1001,A1950)=0,"⚠ emplacement inconnu","OK"))</f>
        <v/>
      </c>
      <c r="K1950" s="22" t="str">
        <f aca="false">IF(AND(B1950&lt;&gt;"",ISNUMBER(SEARCH(Recherche!$C$3,C1950&amp;" "&amp;B1950&amp;" "&amp;A1950&amp;" "&amp;D1950))),MAX($K$1:K1949)+1,"")</f>
        <v/>
      </c>
    </row>
    <row r="1951" customFormat="false" ht="15" hidden="false" customHeight="false" outlineLevel="0" collapsed="false">
      <c r="A1951" s="12"/>
      <c r="B1951" s="12"/>
      <c r="C1951" s="17" t="str">
        <f aca="false">IF(B1951="","",IFERROR(INDEX(Produits!$F$2:$F$1001,MATCH(B1951,Produits!$A$2:$A$1001,0)),"⚠ code article inconnu"))</f>
        <v/>
      </c>
      <c r="D1951" s="12"/>
      <c r="E1951" s="23"/>
      <c r="F1951" s="24"/>
      <c r="G1951" s="23"/>
      <c r="H1951" s="21" t="str">
        <f aca="true">IF(E1951="","",ROUND((E1951-TODAY())/30.4,1))</f>
        <v/>
      </c>
      <c r="I1951" s="17" t="str">
        <f aca="false">IF(E1951="","",IF(H1951&lt;0,IF(LEFT(A1951,1)="Q","Périmé (en quarantaine)","PÉRIMÉ → déplacer en zone Q"),IF(H1951&lt;3,"Péremption &lt; 3 mois",IF(H1951&lt;6,"Péremption &lt; 6 mois",""))))</f>
        <v/>
      </c>
      <c r="J1951" s="17" t="str">
        <f aca="false">IF(A1951="","",IF(COUNTIF(Emplacements!$A$2:$A$1001,A1951)=0,"⚠ emplacement inconnu","OK"))</f>
        <v/>
      </c>
      <c r="K1951" s="22" t="str">
        <f aca="false">IF(AND(B1951&lt;&gt;"",ISNUMBER(SEARCH(Recherche!$C$3,C1951&amp;" "&amp;B1951&amp;" "&amp;A1951&amp;" "&amp;D1951))),MAX($K$1:K1950)+1,"")</f>
        <v/>
      </c>
    </row>
    <row r="1952" customFormat="false" ht="15" hidden="false" customHeight="false" outlineLevel="0" collapsed="false">
      <c r="A1952" s="12"/>
      <c r="B1952" s="12"/>
      <c r="C1952" s="17" t="str">
        <f aca="false">IF(B1952="","",IFERROR(INDEX(Produits!$F$2:$F$1001,MATCH(B1952,Produits!$A$2:$A$1001,0)),"⚠ code article inconnu"))</f>
        <v/>
      </c>
      <c r="D1952" s="12"/>
      <c r="E1952" s="23"/>
      <c r="F1952" s="24"/>
      <c r="G1952" s="23"/>
      <c r="H1952" s="21" t="str">
        <f aca="true">IF(E1952="","",ROUND((E1952-TODAY())/30.4,1))</f>
        <v/>
      </c>
      <c r="I1952" s="17" t="str">
        <f aca="false">IF(E1952="","",IF(H1952&lt;0,IF(LEFT(A1952,1)="Q","Périmé (en quarantaine)","PÉRIMÉ → déplacer en zone Q"),IF(H1952&lt;3,"Péremption &lt; 3 mois",IF(H1952&lt;6,"Péremption &lt; 6 mois",""))))</f>
        <v/>
      </c>
      <c r="J1952" s="17" t="str">
        <f aca="false">IF(A1952="","",IF(COUNTIF(Emplacements!$A$2:$A$1001,A1952)=0,"⚠ emplacement inconnu","OK"))</f>
        <v/>
      </c>
      <c r="K1952" s="22" t="str">
        <f aca="false">IF(AND(B1952&lt;&gt;"",ISNUMBER(SEARCH(Recherche!$C$3,C1952&amp;" "&amp;B1952&amp;" "&amp;A1952&amp;" "&amp;D1952))),MAX($K$1:K1951)+1,"")</f>
        <v/>
      </c>
    </row>
    <row r="1953" customFormat="false" ht="15" hidden="false" customHeight="false" outlineLevel="0" collapsed="false">
      <c r="A1953" s="12"/>
      <c r="B1953" s="12"/>
      <c r="C1953" s="17" t="str">
        <f aca="false">IF(B1953="","",IFERROR(INDEX(Produits!$F$2:$F$1001,MATCH(B1953,Produits!$A$2:$A$1001,0)),"⚠ code article inconnu"))</f>
        <v/>
      </c>
      <c r="D1953" s="12"/>
      <c r="E1953" s="23"/>
      <c r="F1953" s="24"/>
      <c r="G1953" s="23"/>
      <c r="H1953" s="21" t="str">
        <f aca="true">IF(E1953="","",ROUND((E1953-TODAY())/30.4,1))</f>
        <v/>
      </c>
      <c r="I1953" s="17" t="str">
        <f aca="false">IF(E1953="","",IF(H1953&lt;0,IF(LEFT(A1953,1)="Q","Périmé (en quarantaine)","PÉRIMÉ → déplacer en zone Q"),IF(H1953&lt;3,"Péremption &lt; 3 mois",IF(H1953&lt;6,"Péremption &lt; 6 mois",""))))</f>
        <v/>
      </c>
      <c r="J1953" s="17" t="str">
        <f aca="false">IF(A1953="","",IF(COUNTIF(Emplacements!$A$2:$A$1001,A1953)=0,"⚠ emplacement inconnu","OK"))</f>
        <v/>
      </c>
      <c r="K1953" s="22" t="str">
        <f aca="false">IF(AND(B1953&lt;&gt;"",ISNUMBER(SEARCH(Recherche!$C$3,C1953&amp;" "&amp;B1953&amp;" "&amp;A1953&amp;" "&amp;D1953))),MAX($K$1:K1952)+1,"")</f>
        <v/>
      </c>
    </row>
    <row r="1954" customFormat="false" ht="15" hidden="false" customHeight="false" outlineLevel="0" collapsed="false">
      <c r="A1954" s="12"/>
      <c r="B1954" s="12"/>
      <c r="C1954" s="17" t="str">
        <f aca="false">IF(B1954="","",IFERROR(INDEX(Produits!$F$2:$F$1001,MATCH(B1954,Produits!$A$2:$A$1001,0)),"⚠ code article inconnu"))</f>
        <v/>
      </c>
      <c r="D1954" s="12"/>
      <c r="E1954" s="23"/>
      <c r="F1954" s="24"/>
      <c r="G1954" s="23"/>
      <c r="H1954" s="21" t="str">
        <f aca="true">IF(E1954="","",ROUND((E1954-TODAY())/30.4,1))</f>
        <v/>
      </c>
      <c r="I1954" s="17" t="str">
        <f aca="false">IF(E1954="","",IF(H1954&lt;0,IF(LEFT(A1954,1)="Q","Périmé (en quarantaine)","PÉRIMÉ → déplacer en zone Q"),IF(H1954&lt;3,"Péremption &lt; 3 mois",IF(H1954&lt;6,"Péremption &lt; 6 mois",""))))</f>
        <v/>
      </c>
      <c r="J1954" s="17" t="str">
        <f aca="false">IF(A1954="","",IF(COUNTIF(Emplacements!$A$2:$A$1001,A1954)=0,"⚠ emplacement inconnu","OK"))</f>
        <v/>
      </c>
      <c r="K1954" s="22" t="str">
        <f aca="false">IF(AND(B1954&lt;&gt;"",ISNUMBER(SEARCH(Recherche!$C$3,C1954&amp;" "&amp;B1954&amp;" "&amp;A1954&amp;" "&amp;D1954))),MAX($K$1:K1953)+1,"")</f>
        <v/>
      </c>
    </row>
    <row r="1955" customFormat="false" ht="15" hidden="false" customHeight="false" outlineLevel="0" collapsed="false">
      <c r="A1955" s="12"/>
      <c r="B1955" s="12"/>
      <c r="C1955" s="17" t="str">
        <f aca="false">IF(B1955="","",IFERROR(INDEX(Produits!$F$2:$F$1001,MATCH(B1955,Produits!$A$2:$A$1001,0)),"⚠ code article inconnu"))</f>
        <v/>
      </c>
      <c r="D1955" s="12"/>
      <c r="E1955" s="23"/>
      <c r="F1955" s="24"/>
      <c r="G1955" s="23"/>
      <c r="H1955" s="21" t="str">
        <f aca="true">IF(E1955="","",ROUND((E1955-TODAY())/30.4,1))</f>
        <v/>
      </c>
      <c r="I1955" s="17" t="str">
        <f aca="false">IF(E1955="","",IF(H1955&lt;0,IF(LEFT(A1955,1)="Q","Périmé (en quarantaine)","PÉRIMÉ → déplacer en zone Q"),IF(H1955&lt;3,"Péremption &lt; 3 mois",IF(H1955&lt;6,"Péremption &lt; 6 mois",""))))</f>
        <v/>
      </c>
      <c r="J1955" s="17" t="str">
        <f aca="false">IF(A1955="","",IF(COUNTIF(Emplacements!$A$2:$A$1001,A1955)=0,"⚠ emplacement inconnu","OK"))</f>
        <v/>
      </c>
      <c r="K1955" s="22" t="str">
        <f aca="false">IF(AND(B1955&lt;&gt;"",ISNUMBER(SEARCH(Recherche!$C$3,C1955&amp;" "&amp;B1955&amp;" "&amp;A1955&amp;" "&amp;D1955))),MAX($K$1:K1954)+1,"")</f>
        <v/>
      </c>
    </row>
    <row r="1956" customFormat="false" ht="15" hidden="false" customHeight="false" outlineLevel="0" collapsed="false">
      <c r="A1956" s="12"/>
      <c r="B1956" s="12"/>
      <c r="C1956" s="17" t="str">
        <f aca="false">IF(B1956="","",IFERROR(INDEX(Produits!$F$2:$F$1001,MATCH(B1956,Produits!$A$2:$A$1001,0)),"⚠ code article inconnu"))</f>
        <v/>
      </c>
      <c r="D1956" s="12"/>
      <c r="E1956" s="23"/>
      <c r="F1956" s="24"/>
      <c r="G1956" s="23"/>
      <c r="H1956" s="21" t="str">
        <f aca="true">IF(E1956="","",ROUND((E1956-TODAY())/30.4,1))</f>
        <v/>
      </c>
      <c r="I1956" s="17" t="str">
        <f aca="false">IF(E1956="","",IF(H1956&lt;0,IF(LEFT(A1956,1)="Q","Périmé (en quarantaine)","PÉRIMÉ → déplacer en zone Q"),IF(H1956&lt;3,"Péremption &lt; 3 mois",IF(H1956&lt;6,"Péremption &lt; 6 mois",""))))</f>
        <v/>
      </c>
      <c r="J1956" s="17" t="str">
        <f aca="false">IF(A1956="","",IF(COUNTIF(Emplacements!$A$2:$A$1001,A1956)=0,"⚠ emplacement inconnu","OK"))</f>
        <v/>
      </c>
      <c r="K1956" s="22" t="str">
        <f aca="false">IF(AND(B1956&lt;&gt;"",ISNUMBER(SEARCH(Recherche!$C$3,C1956&amp;" "&amp;B1956&amp;" "&amp;A1956&amp;" "&amp;D1956))),MAX($K$1:K1955)+1,"")</f>
        <v/>
      </c>
    </row>
    <row r="1957" customFormat="false" ht="15" hidden="false" customHeight="false" outlineLevel="0" collapsed="false">
      <c r="A1957" s="12"/>
      <c r="B1957" s="12"/>
      <c r="C1957" s="17" t="str">
        <f aca="false">IF(B1957="","",IFERROR(INDEX(Produits!$F$2:$F$1001,MATCH(B1957,Produits!$A$2:$A$1001,0)),"⚠ code article inconnu"))</f>
        <v/>
      </c>
      <c r="D1957" s="12"/>
      <c r="E1957" s="23"/>
      <c r="F1957" s="24"/>
      <c r="G1957" s="23"/>
      <c r="H1957" s="21" t="str">
        <f aca="true">IF(E1957="","",ROUND((E1957-TODAY())/30.4,1))</f>
        <v/>
      </c>
      <c r="I1957" s="17" t="str">
        <f aca="false">IF(E1957="","",IF(H1957&lt;0,IF(LEFT(A1957,1)="Q","Périmé (en quarantaine)","PÉRIMÉ → déplacer en zone Q"),IF(H1957&lt;3,"Péremption &lt; 3 mois",IF(H1957&lt;6,"Péremption &lt; 6 mois",""))))</f>
        <v/>
      </c>
      <c r="J1957" s="17" t="str">
        <f aca="false">IF(A1957="","",IF(COUNTIF(Emplacements!$A$2:$A$1001,A1957)=0,"⚠ emplacement inconnu","OK"))</f>
        <v/>
      </c>
      <c r="K1957" s="22" t="str">
        <f aca="false">IF(AND(B1957&lt;&gt;"",ISNUMBER(SEARCH(Recherche!$C$3,C1957&amp;" "&amp;B1957&amp;" "&amp;A1957&amp;" "&amp;D1957))),MAX($K$1:K1956)+1,"")</f>
        <v/>
      </c>
    </row>
    <row r="1958" customFormat="false" ht="15" hidden="false" customHeight="false" outlineLevel="0" collapsed="false">
      <c r="A1958" s="12"/>
      <c r="B1958" s="12"/>
      <c r="C1958" s="17" t="str">
        <f aca="false">IF(B1958="","",IFERROR(INDEX(Produits!$F$2:$F$1001,MATCH(B1958,Produits!$A$2:$A$1001,0)),"⚠ code article inconnu"))</f>
        <v/>
      </c>
      <c r="D1958" s="12"/>
      <c r="E1958" s="23"/>
      <c r="F1958" s="24"/>
      <c r="G1958" s="23"/>
      <c r="H1958" s="21" t="str">
        <f aca="true">IF(E1958="","",ROUND((E1958-TODAY())/30.4,1))</f>
        <v/>
      </c>
      <c r="I1958" s="17" t="str">
        <f aca="false">IF(E1958="","",IF(H1958&lt;0,IF(LEFT(A1958,1)="Q","Périmé (en quarantaine)","PÉRIMÉ → déplacer en zone Q"),IF(H1958&lt;3,"Péremption &lt; 3 mois",IF(H1958&lt;6,"Péremption &lt; 6 mois",""))))</f>
        <v/>
      </c>
      <c r="J1958" s="17" t="str">
        <f aca="false">IF(A1958="","",IF(COUNTIF(Emplacements!$A$2:$A$1001,A1958)=0,"⚠ emplacement inconnu","OK"))</f>
        <v/>
      </c>
      <c r="K1958" s="22" t="str">
        <f aca="false">IF(AND(B1958&lt;&gt;"",ISNUMBER(SEARCH(Recherche!$C$3,C1958&amp;" "&amp;B1958&amp;" "&amp;A1958&amp;" "&amp;D1958))),MAX($K$1:K1957)+1,"")</f>
        <v/>
      </c>
    </row>
    <row r="1959" customFormat="false" ht="15" hidden="false" customHeight="false" outlineLevel="0" collapsed="false">
      <c r="A1959" s="12"/>
      <c r="B1959" s="12"/>
      <c r="C1959" s="17" t="str">
        <f aca="false">IF(B1959="","",IFERROR(INDEX(Produits!$F$2:$F$1001,MATCH(B1959,Produits!$A$2:$A$1001,0)),"⚠ code article inconnu"))</f>
        <v/>
      </c>
      <c r="D1959" s="12"/>
      <c r="E1959" s="23"/>
      <c r="F1959" s="24"/>
      <c r="G1959" s="23"/>
      <c r="H1959" s="21" t="str">
        <f aca="true">IF(E1959="","",ROUND((E1959-TODAY())/30.4,1))</f>
        <v/>
      </c>
      <c r="I1959" s="17" t="str">
        <f aca="false">IF(E1959="","",IF(H1959&lt;0,IF(LEFT(A1959,1)="Q","Périmé (en quarantaine)","PÉRIMÉ → déplacer en zone Q"),IF(H1959&lt;3,"Péremption &lt; 3 mois",IF(H1959&lt;6,"Péremption &lt; 6 mois",""))))</f>
        <v/>
      </c>
      <c r="J1959" s="17" t="str">
        <f aca="false">IF(A1959="","",IF(COUNTIF(Emplacements!$A$2:$A$1001,A1959)=0,"⚠ emplacement inconnu","OK"))</f>
        <v/>
      </c>
      <c r="K1959" s="22" t="str">
        <f aca="false">IF(AND(B1959&lt;&gt;"",ISNUMBER(SEARCH(Recherche!$C$3,C1959&amp;" "&amp;B1959&amp;" "&amp;A1959&amp;" "&amp;D1959))),MAX($K$1:K1958)+1,"")</f>
        <v/>
      </c>
    </row>
    <row r="1960" customFormat="false" ht="15" hidden="false" customHeight="false" outlineLevel="0" collapsed="false">
      <c r="A1960" s="12"/>
      <c r="B1960" s="12"/>
      <c r="C1960" s="17" t="str">
        <f aca="false">IF(B1960="","",IFERROR(INDEX(Produits!$F$2:$F$1001,MATCH(B1960,Produits!$A$2:$A$1001,0)),"⚠ code article inconnu"))</f>
        <v/>
      </c>
      <c r="D1960" s="12"/>
      <c r="E1960" s="23"/>
      <c r="F1960" s="24"/>
      <c r="G1960" s="23"/>
      <c r="H1960" s="21" t="str">
        <f aca="true">IF(E1960="","",ROUND((E1960-TODAY())/30.4,1))</f>
        <v/>
      </c>
      <c r="I1960" s="17" t="str">
        <f aca="false">IF(E1960="","",IF(H1960&lt;0,IF(LEFT(A1960,1)="Q","Périmé (en quarantaine)","PÉRIMÉ → déplacer en zone Q"),IF(H1960&lt;3,"Péremption &lt; 3 mois",IF(H1960&lt;6,"Péremption &lt; 6 mois",""))))</f>
        <v/>
      </c>
      <c r="J1960" s="17" t="str">
        <f aca="false">IF(A1960="","",IF(COUNTIF(Emplacements!$A$2:$A$1001,A1960)=0,"⚠ emplacement inconnu","OK"))</f>
        <v/>
      </c>
      <c r="K1960" s="22" t="str">
        <f aca="false">IF(AND(B1960&lt;&gt;"",ISNUMBER(SEARCH(Recherche!$C$3,C1960&amp;" "&amp;B1960&amp;" "&amp;A1960&amp;" "&amp;D1960))),MAX($K$1:K1959)+1,"")</f>
        <v/>
      </c>
    </row>
    <row r="1961" customFormat="false" ht="15" hidden="false" customHeight="false" outlineLevel="0" collapsed="false">
      <c r="A1961" s="12"/>
      <c r="B1961" s="12"/>
      <c r="C1961" s="17" t="str">
        <f aca="false">IF(B1961="","",IFERROR(INDEX(Produits!$F$2:$F$1001,MATCH(B1961,Produits!$A$2:$A$1001,0)),"⚠ code article inconnu"))</f>
        <v/>
      </c>
      <c r="D1961" s="12"/>
      <c r="E1961" s="23"/>
      <c r="F1961" s="24"/>
      <c r="G1961" s="23"/>
      <c r="H1961" s="21" t="str">
        <f aca="true">IF(E1961="","",ROUND((E1961-TODAY())/30.4,1))</f>
        <v/>
      </c>
      <c r="I1961" s="17" t="str">
        <f aca="false">IF(E1961="","",IF(H1961&lt;0,IF(LEFT(A1961,1)="Q","Périmé (en quarantaine)","PÉRIMÉ → déplacer en zone Q"),IF(H1961&lt;3,"Péremption &lt; 3 mois",IF(H1961&lt;6,"Péremption &lt; 6 mois",""))))</f>
        <v/>
      </c>
      <c r="J1961" s="17" t="str">
        <f aca="false">IF(A1961="","",IF(COUNTIF(Emplacements!$A$2:$A$1001,A1961)=0,"⚠ emplacement inconnu","OK"))</f>
        <v/>
      </c>
      <c r="K1961" s="22" t="str">
        <f aca="false">IF(AND(B1961&lt;&gt;"",ISNUMBER(SEARCH(Recherche!$C$3,C1961&amp;" "&amp;B1961&amp;" "&amp;A1961&amp;" "&amp;D1961))),MAX($K$1:K1960)+1,"")</f>
        <v/>
      </c>
    </row>
    <row r="1962" customFormat="false" ht="15" hidden="false" customHeight="false" outlineLevel="0" collapsed="false">
      <c r="A1962" s="12"/>
      <c r="B1962" s="12"/>
      <c r="C1962" s="17" t="str">
        <f aca="false">IF(B1962="","",IFERROR(INDEX(Produits!$F$2:$F$1001,MATCH(B1962,Produits!$A$2:$A$1001,0)),"⚠ code article inconnu"))</f>
        <v/>
      </c>
      <c r="D1962" s="12"/>
      <c r="E1962" s="23"/>
      <c r="F1962" s="24"/>
      <c r="G1962" s="23"/>
      <c r="H1962" s="21" t="str">
        <f aca="true">IF(E1962="","",ROUND((E1962-TODAY())/30.4,1))</f>
        <v/>
      </c>
      <c r="I1962" s="17" t="str">
        <f aca="false">IF(E1962="","",IF(H1962&lt;0,IF(LEFT(A1962,1)="Q","Périmé (en quarantaine)","PÉRIMÉ → déplacer en zone Q"),IF(H1962&lt;3,"Péremption &lt; 3 mois",IF(H1962&lt;6,"Péremption &lt; 6 mois",""))))</f>
        <v/>
      </c>
      <c r="J1962" s="17" t="str">
        <f aca="false">IF(A1962="","",IF(COUNTIF(Emplacements!$A$2:$A$1001,A1962)=0,"⚠ emplacement inconnu","OK"))</f>
        <v/>
      </c>
      <c r="K1962" s="22" t="str">
        <f aca="false">IF(AND(B1962&lt;&gt;"",ISNUMBER(SEARCH(Recherche!$C$3,C1962&amp;" "&amp;B1962&amp;" "&amp;A1962&amp;" "&amp;D1962))),MAX($K$1:K1961)+1,"")</f>
        <v/>
      </c>
    </row>
    <row r="1963" customFormat="false" ht="15" hidden="false" customHeight="false" outlineLevel="0" collapsed="false">
      <c r="A1963" s="12"/>
      <c r="B1963" s="12"/>
      <c r="C1963" s="17" t="str">
        <f aca="false">IF(B1963="","",IFERROR(INDEX(Produits!$F$2:$F$1001,MATCH(B1963,Produits!$A$2:$A$1001,0)),"⚠ code article inconnu"))</f>
        <v/>
      </c>
      <c r="D1963" s="12"/>
      <c r="E1963" s="23"/>
      <c r="F1963" s="24"/>
      <c r="G1963" s="23"/>
      <c r="H1963" s="21" t="str">
        <f aca="true">IF(E1963="","",ROUND((E1963-TODAY())/30.4,1))</f>
        <v/>
      </c>
      <c r="I1963" s="17" t="str">
        <f aca="false">IF(E1963="","",IF(H1963&lt;0,IF(LEFT(A1963,1)="Q","Périmé (en quarantaine)","PÉRIMÉ → déplacer en zone Q"),IF(H1963&lt;3,"Péremption &lt; 3 mois",IF(H1963&lt;6,"Péremption &lt; 6 mois",""))))</f>
        <v/>
      </c>
      <c r="J1963" s="17" t="str">
        <f aca="false">IF(A1963="","",IF(COUNTIF(Emplacements!$A$2:$A$1001,A1963)=0,"⚠ emplacement inconnu","OK"))</f>
        <v/>
      </c>
      <c r="K1963" s="22" t="str">
        <f aca="false">IF(AND(B1963&lt;&gt;"",ISNUMBER(SEARCH(Recherche!$C$3,C1963&amp;" "&amp;B1963&amp;" "&amp;A1963&amp;" "&amp;D1963))),MAX($K$1:K1962)+1,"")</f>
        <v/>
      </c>
    </row>
    <row r="1964" customFormat="false" ht="15" hidden="false" customHeight="false" outlineLevel="0" collapsed="false">
      <c r="A1964" s="12"/>
      <c r="B1964" s="12"/>
      <c r="C1964" s="17" t="str">
        <f aca="false">IF(B1964="","",IFERROR(INDEX(Produits!$F$2:$F$1001,MATCH(B1964,Produits!$A$2:$A$1001,0)),"⚠ code article inconnu"))</f>
        <v/>
      </c>
      <c r="D1964" s="12"/>
      <c r="E1964" s="23"/>
      <c r="F1964" s="24"/>
      <c r="G1964" s="23"/>
      <c r="H1964" s="21" t="str">
        <f aca="true">IF(E1964="","",ROUND((E1964-TODAY())/30.4,1))</f>
        <v/>
      </c>
      <c r="I1964" s="17" t="str">
        <f aca="false">IF(E1964="","",IF(H1964&lt;0,IF(LEFT(A1964,1)="Q","Périmé (en quarantaine)","PÉRIMÉ → déplacer en zone Q"),IF(H1964&lt;3,"Péremption &lt; 3 mois",IF(H1964&lt;6,"Péremption &lt; 6 mois",""))))</f>
        <v/>
      </c>
      <c r="J1964" s="17" t="str">
        <f aca="false">IF(A1964="","",IF(COUNTIF(Emplacements!$A$2:$A$1001,A1964)=0,"⚠ emplacement inconnu","OK"))</f>
        <v/>
      </c>
      <c r="K1964" s="22" t="str">
        <f aca="false">IF(AND(B1964&lt;&gt;"",ISNUMBER(SEARCH(Recherche!$C$3,C1964&amp;" "&amp;B1964&amp;" "&amp;A1964&amp;" "&amp;D1964))),MAX($K$1:K1963)+1,"")</f>
        <v/>
      </c>
    </row>
    <row r="1965" customFormat="false" ht="15" hidden="false" customHeight="false" outlineLevel="0" collapsed="false">
      <c r="A1965" s="12"/>
      <c r="B1965" s="12"/>
      <c r="C1965" s="17" t="str">
        <f aca="false">IF(B1965="","",IFERROR(INDEX(Produits!$F$2:$F$1001,MATCH(B1965,Produits!$A$2:$A$1001,0)),"⚠ code article inconnu"))</f>
        <v/>
      </c>
      <c r="D1965" s="12"/>
      <c r="E1965" s="23"/>
      <c r="F1965" s="24"/>
      <c r="G1965" s="23"/>
      <c r="H1965" s="21" t="str">
        <f aca="true">IF(E1965="","",ROUND((E1965-TODAY())/30.4,1))</f>
        <v/>
      </c>
      <c r="I1965" s="17" t="str">
        <f aca="false">IF(E1965="","",IF(H1965&lt;0,IF(LEFT(A1965,1)="Q","Périmé (en quarantaine)","PÉRIMÉ → déplacer en zone Q"),IF(H1965&lt;3,"Péremption &lt; 3 mois",IF(H1965&lt;6,"Péremption &lt; 6 mois",""))))</f>
        <v/>
      </c>
      <c r="J1965" s="17" t="str">
        <f aca="false">IF(A1965="","",IF(COUNTIF(Emplacements!$A$2:$A$1001,A1965)=0,"⚠ emplacement inconnu","OK"))</f>
        <v/>
      </c>
      <c r="K1965" s="22" t="str">
        <f aca="false">IF(AND(B1965&lt;&gt;"",ISNUMBER(SEARCH(Recherche!$C$3,C1965&amp;" "&amp;B1965&amp;" "&amp;A1965&amp;" "&amp;D1965))),MAX($K$1:K1964)+1,"")</f>
        <v/>
      </c>
    </row>
    <row r="1966" customFormat="false" ht="15" hidden="false" customHeight="false" outlineLevel="0" collapsed="false">
      <c r="A1966" s="12"/>
      <c r="B1966" s="12"/>
      <c r="C1966" s="17" t="str">
        <f aca="false">IF(B1966="","",IFERROR(INDEX(Produits!$F$2:$F$1001,MATCH(B1966,Produits!$A$2:$A$1001,0)),"⚠ code article inconnu"))</f>
        <v/>
      </c>
      <c r="D1966" s="12"/>
      <c r="E1966" s="23"/>
      <c r="F1966" s="24"/>
      <c r="G1966" s="23"/>
      <c r="H1966" s="21" t="str">
        <f aca="true">IF(E1966="","",ROUND((E1966-TODAY())/30.4,1))</f>
        <v/>
      </c>
      <c r="I1966" s="17" t="str">
        <f aca="false">IF(E1966="","",IF(H1966&lt;0,IF(LEFT(A1966,1)="Q","Périmé (en quarantaine)","PÉRIMÉ → déplacer en zone Q"),IF(H1966&lt;3,"Péremption &lt; 3 mois",IF(H1966&lt;6,"Péremption &lt; 6 mois",""))))</f>
        <v/>
      </c>
      <c r="J1966" s="17" t="str">
        <f aca="false">IF(A1966="","",IF(COUNTIF(Emplacements!$A$2:$A$1001,A1966)=0,"⚠ emplacement inconnu","OK"))</f>
        <v/>
      </c>
      <c r="K1966" s="22" t="str">
        <f aca="false">IF(AND(B1966&lt;&gt;"",ISNUMBER(SEARCH(Recherche!$C$3,C1966&amp;" "&amp;B1966&amp;" "&amp;A1966&amp;" "&amp;D1966))),MAX($K$1:K1965)+1,"")</f>
        <v/>
      </c>
    </row>
    <row r="1967" customFormat="false" ht="15" hidden="false" customHeight="false" outlineLevel="0" collapsed="false">
      <c r="A1967" s="12"/>
      <c r="B1967" s="12"/>
      <c r="C1967" s="17" t="str">
        <f aca="false">IF(B1967="","",IFERROR(INDEX(Produits!$F$2:$F$1001,MATCH(B1967,Produits!$A$2:$A$1001,0)),"⚠ code article inconnu"))</f>
        <v/>
      </c>
      <c r="D1967" s="12"/>
      <c r="E1967" s="23"/>
      <c r="F1967" s="24"/>
      <c r="G1967" s="23"/>
      <c r="H1967" s="21" t="str">
        <f aca="true">IF(E1967="","",ROUND((E1967-TODAY())/30.4,1))</f>
        <v/>
      </c>
      <c r="I1967" s="17" t="str">
        <f aca="false">IF(E1967="","",IF(H1967&lt;0,IF(LEFT(A1967,1)="Q","Périmé (en quarantaine)","PÉRIMÉ → déplacer en zone Q"),IF(H1967&lt;3,"Péremption &lt; 3 mois",IF(H1967&lt;6,"Péremption &lt; 6 mois",""))))</f>
        <v/>
      </c>
      <c r="J1967" s="17" t="str">
        <f aca="false">IF(A1967="","",IF(COUNTIF(Emplacements!$A$2:$A$1001,A1967)=0,"⚠ emplacement inconnu","OK"))</f>
        <v/>
      </c>
      <c r="K1967" s="22" t="str">
        <f aca="false">IF(AND(B1967&lt;&gt;"",ISNUMBER(SEARCH(Recherche!$C$3,C1967&amp;" "&amp;B1967&amp;" "&amp;A1967&amp;" "&amp;D1967))),MAX($K$1:K1966)+1,"")</f>
        <v/>
      </c>
    </row>
    <row r="1968" customFormat="false" ht="15" hidden="false" customHeight="false" outlineLevel="0" collapsed="false">
      <c r="A1968" s="12"/>
      <c r="B1968" s="12"/>
      <c r="C1968" s="17" t="str">
        <f aca="false">IF(B1968="","",IFERROR(INDEX(Produits!$F$2:$F$1001,MATCH(B1968,Produits!$A$2:$A$1001,0)),"⚠ code article inconnu"))</f>
        <v/>
      </c>
      <c r="D1968" s="12"/>
      <c r="E1968" s="23"/>
      <c r="F1968" s="24"/>
      <c r="G1968" s="23"/>
      <c r="H1968" s="21" t="str">
        <f aca="true">IF(E1968="","",ROUND((E1968-TODAY())/30.4,1))</f>
        <v/>
      </c>
      <c r="I1968" s="17" t="str">
        <f aca="false">IF(E1968="","",IF(H1968&lt;0,IF(LEFT(A1968,1)="Q","Périmé (en quarantaine)","PÉRIMÉ → déplacer en zone Q"),IF(H1968&lt;3,"Péremption &lt; 3 mois",IF(H1968&lt;6,"Péremption &lt; 6 mois",""))))</f>
        <v/>
      </c>
      <c r="J1968" s="17" t="str">
        <f aca="false">IF(A1968="","",IF(COUNTIF(Emplacements!$A$2:$A$1001,A1968)=0,"⚠ emplacement inconnu","OK"))</f>
        <v/>
      </c>
      <c r="K1968" s="22" t="str">
        <f aca="false">IF(AND(B1968&lt;&gt;"",ISNUMBER(SEARCH(Recherche!$C$3,C1968&amp;" "&amp;B1968&amp;" "&amp;A1968&amp;" "&amp;D1968))),MAX($K$1:K1967)+1,"")</f>
        <v/>
      </c>
    </row>
    <row r="1969" customFormat="false" ht="15" hidden="false" customHeight="false" outlineLevel="0" collapsed="false">
      <c r="A1969" s="12"/>
      <c r="B1969" s="12"/>
      <c r="C1969" s="17" t="str">
        <f aca="false">IF(B1969="","",IFERROR(INDEX(Produits!$F$2:$F$1001,MATCH(B1969,Produits!$A$2:$A$1001,0)),"⚠ code article inconnu"))</f>
        <v/>
      </c>
      <c r="D1969" s="12"/>
      <c r="E1969" s="23"/>
      <c r="F1969" s="24"/>
      <c r="G1969" s="23"/>
      <c r="H1969" s="21" t="str">
        <f aca="true">IF(E1969="","",ROUND((E1969-TODAY())/30.4,1))</f>
        <v/>
      </c>
      <c r="I1969" s="17" t="str">
        <f aca="false">IF(E1969="","",IF(H1969&lt;0,IF(LEFT(A1969,1)="Q","Périmé (en quarantaine)","PÉRIMÉ → déplacer en zone Q"),IF(H1969&lt;3,"Péremption &lt; 3 mois",IF(H1969&lt;6,"Péremption &lt; 6 mois",""))))</f>
        <v/>
      </c>
      <c r="J1969" s="17" t="str">
        <f aca="false">IF(A1969="","",IF(COUNTIF(Emplacements!$A$2:$A$1001,A1969)=0,"⚠ emplacement inconnu","OK"))</f>
        <v/>
      </c>
      <c r="K1969" s="22" t="str">
        <f aca="false">IF(AND(B1969&lt;&gt;"",ISNUMBER(SEARCH(Recherche!$C$3,C1969&amp;" "&amp;B1969&amp;" "&amp;A1969&amp;" "&amp;D1969))),MAX($K$1:K1968)+1,"")</f>
        <v/>
      </c>
    </row>
    <row r="1970" customFormat="false" ht="15" hidden="false" customHeight="false" outlineLevel="0" collapsed="false">
      <c r="A1970" s="12"/>
      <c r="B1970" s="12"/>
      <c r="C1970" s="17" t="str">
        <f aca="false">IF(B1970="","",IFERROR(INDEX(Produits!$F$2:$F$1001,MATCH(B1970,Produits!$A$2:$A$1001,0)),"⚠ code article inconnu"))</f>
        <v/>
      </c>
      <c r="D1970" s="12"/>
      <c r="E1970" s="23"/>
      <c r="F1970" s="24"/>
      <c r="G1970" s="23"/>
      <c r="H1970" s="21" t="str">
        <f aca="true">IF(E1970="","",ROUND((E1970-TODAY())/30.4,1))</f>
        <v/>
      </c>
      <c r="I1970" s="17" t="str">
        <f aca="false">IF(E1970="","",IF(H1970&lt;0,IF(LEFT(A1970,1)="Q","Périmé (en quarantaine)","PÉRIMÉ → déplacer en zone Q"),IF(H1970&lt;3,"Péremption &lt; 3 mois",IF(H1970&lt;6,"Péremption &lt; 6 mois",""))))</f>
        <v/>
      </c>
      <c r="J1970" s="17" t="str">
        <f aca="false">IF(A1970="","",IF(COUNTIF(Emplacements!$A$2:$A$1001,A1970)=0,"⚠ emplacement inconnu","OK"))</f>
        <v/>
      </c>
      <c r="K1970" s="22" t="str">
        <f aca="false">IF(AND(B1970&lt;&gt;"",ISNUMBER(SEARCH(Recherche!$C$3,C1970&amp;" "&amp;B1970&amp;" "&amp;A1970&amp;" "&amp;D1970))),MAX($K$1:K1969)+1,"")</f>
        <v/>
      </c>
    </row>
    <row r="1971" customFormat="false" ht="15" hidden="false" customHeight="false" outlineLevel="0" collapsed="false">
      <c r="A1971" s="12"/>
      <c r="B1971" s="12"/>
      <c r="C1971" s="17" t="str">
        <f aca="false">IF(B1971="","",IFERROR(INDEX(Produits!$F$2:$F$1001,MATCH(B1971,Produits!$A$2:$A$1001,0)),"⚠ code article inconnu"))</f>
        <v/>
      </c>
      <c r="D1971" s="12"/>
      <c r="E1971" s="23"/>
      <c r="F1971" s="24"/>
      <c r="G1971" s="23"/>
      <c r="H1971" s="21" t="str">
        <f aca="true">IF(E1971="","",ROUND((E1971-TODAY())/30.4,1))</f>
        <v/>
      </c>
      <c r="I1971" s="17" t="str">
        <f aca="false">IF(E1971="","",IF(H1971&lt;0,IF(LEFT(A1971,1)="Q","Périmé (en quarantaine)","PÉRIMÉ → déplacer en zone Q"),IF(H1971&lt;3,"Péremption &lt; 3 mois",IF(H1971&lt;6,"Péremption &lt; 6 mois",""))))</f>
        <v/>
      </c>
      <c r="J1971" s="17" t="str">
        <f aca="false">IF(A1971="","",IF(COUNTIF(Emplacements!$A$2:$A$1001,A1971)=0,"⚠ emplacement inconnu","OK"))</f>
        <v/>
      </c>
      <c r="K1971" s="22" t="str">
        <f aca="false">IF(AND(B1971&lt;&gt;"",ISNUMBER(SEARCH(Recherche!$C$3,C1971&amp;" "&amp;B1971&amp;" "&amp;A1971&amp;" "&amp;D1971))),MAX($K$1:K1970)+1,"")</f>
        <v/>
      </c>
    </row>
    <row r="1972" customFormat="false" ht="15" hidden="false" customHeight="false" outlineLevel="0" collapsed="false">
      <c r="A1972" s="12"/>
      <c r="B1972" s="12"/>
      <c r="C1972" s="17" t="str">
        <f aca="false">IF(B1972="","",IFERROR(INDEX(Produits!$F$2:$F$1001,MATCH(B1972,Produits!$A$2:$A$1001,0)),"⚠ code article inconnu"))</f>
        <v/>
      </c>
      <c r="D1972" s="12"/>
      <c r="E1972" s="23"/>
      <c r="F1972" s="24"/>
      <c r="G1972" s="23"/>
      <c r="H1972" s="21" t="str">
        <f aca="true">IF(E1972="","",ROUND((E1972-TODAY())/30.4,1))</f>
        <v/>
      </c>
      <c r="I1972" s="17" t="str">
        <f aca="false">IF(E1972="","",IF(H1972&lt;0,IF(LEFT(A1972,1)="Q","Périmé (en quarantaine)","PÉRIMÉ → déplacer en zone Q"),IF(H1972&lt;3,"Péremption &lt; 3 mois",IF(H1972&lt;6,"Péremption &lt; 6 mois",""))))</f>
        <v/>
      </c>
      <c r="J1972" s="17" t="str">
        <f aca="false">IF(A1972="","",IF(COUNTIF(Emplacements!$A$2:$A$1001,A1972)=0,"⚠ emplacement inconnu","OK"))</f>
        <v/>
      </c>
      <c r="K1972" s="22" t="str">
        <f aca="false">IF(AND(B1972&lt;&gt;"",ISNUMBER(SEARCH(Recherche!$C$3,C1972&amp;" "&amp;B1972&amp;" "&amp;A1972&amp;" "&amp;D1972))),MAX($K$1:K1971)+1,"")</f>
        <v/>
      </c>
    </row>
    <row r="1973" customFormat="false" ht="15" hidden="false" customHeight="false" outlineLevel="0" collapsed="false">
      <c r="A1973" s="12"/>
      <c r="B1973" s="12"/>
      <c r="C1973" s="17" t="str">
        <f aca="false">IF(B1973="","",IFERROR(INDEX(Produits!$F$2:$F$1001,MATCH(B1973,Produits!$A$2:$A$1001,0)),"⚠ code article inconnu"))</f>
        <v/>
      </c>
      <c r="D1973" s="12"/>
      <c r="E1973" s="23"/>
      <c r="F1973" s="24"/>
      <c r="G1973" s="23"/>
      <c r="H1973" s="21" t="str">
        <f aca="true">IF(E1973="","",ROUND((E1973-TODAY())/30.4,1))</f>
        <v/>
      </c>
      <c r="I1973" s="17" t="str">
        <f aca="false">IF(E1973="","",IF(H1973&lt;0,IF(LEFT(A1973,1)="Q","Périmé (en quarantaine)","PÉRIMÉ → déplacer en zone Q"),IF(H1973&lt;3,"Péremption &lt; 3 mois",IF(H1973&lt;6,"Péremption &lt; 6 mois",""))))</f>
        <v/>
      </c>
      <c r="J1973" s="17" t="str">
        <f aca="false">IF(A1973="","",IF(COUNTIF(Emplacements!$A$2:$A$1001,A1973)=0,"⚠ emplacement inconnu","OK"))</f>
        <v/>
      </c>
      <c r="K1973" s="22" t="str">
        <f aca="false">IF(AND(B1973&lt;&gt;"",ISNUMBER(SEARCH(Recherche!$C$3,C1973&amp;" "&amp;B1973&amp;" "&amp;A1973&amp;" "&amp;D1973))),MAX($K$1:K1972)+1,"")</f>
        <v/>
      </c>
    </row>
    <row r="1974" customFormat="false" ht="15" hidden="false" customHeight="false" outlineLevel="0" collapsed="false">
      <c r="A1974" s="12"/>
      <c r="B1974" s="12"/>
      <c r="C1974" s="17" t="str">
        <f aca="false">IF(B1974="","",IFERROR(INDEX(Produits!$F$2:$F$1001,MATCH(B1974,Produits!$A$2:$A$1001,0)),"⚠ code article inconnu"))</f>
        <v/>
      </c>
      <c r="D1974" s="12"/>
      <c r="E1974" s="23"/>
      <c r="F1974" s="24"/>
      <c r="G1974" s="23"/>
      <c r="H1974" s="21" t="str">
        <f aca="true">IF(E1974="","",ROUND((E1974-TODAY())/30.4,1))</f>
        <v/>
      </c>
      <c r="I1974" s="17" t="str">
        <f aca="false">IF(E1974="","",IF(H1974&lt;0,IF(LEFT(A1974,1)="Q","Périmé (en quarantaine)","PÉRIMÉ → déplacer en zone Q"),IF(H1974&lt;3,"Péremption &lt; 3 mois",IF(H1974&lt;6,"Péremption &lt; 6 mois",""))))</f>
        <v/>
      </c>
      <c r="J1974" s="17" t="str">
        <f aca="false">IF(A1974="","",IF(COUNTIF(Emplacements!$A$2:$A$1001,A1974)=0,"⚠ emplacement inconnu","OK"))</f>
        <v/>
      </c>
      <c r="K1974" s="22" t="str">
        <f aca="false">IF(AND(B1974&lt;&gt;"",ISNUMBER(SEARCH(Recherche!$C$3,C1974&amp;" "&amp;B1974&amp;" "&amp;A1974&amp;" "&amp;D1974))),MAX($K$1:K1973)+1,"")</f>
        <v/>
      </c>
    </row>
    <row r="1975" customFormat="false" ht="15" hidden="false" customHeight="false" outlineLevel="0" collapsed="false">
      <c r="A1975" s="12"/>
      <c r="B1975" s="12"/>
      <c r="C1975" s="17" t="str">
        <f aca="false">IF(B1975="","",IFERROR(INDEX(Produits!$F$2:$F$1001,MATCH(B1975,Produits!$A$2:$A$1001,0)),"⚠ code article inconnu"))</f>
        <v/>
      </c>
      <c r="D1975" s="12"/>
      <c r="E1975" s="23"/>
      <c r="F1975" s="24"/>
      <c r="G1975" s="23"/>
      <c r="H1975" s="21" t="str">
        <f aca="true">IF(E1975="","",ROUND((E1975-TODAY())/30.4,1))</f>
        <v/>
      </c>
      <c r="I1975" s="17" t="str">
        <f aca="false">IF(E1975="","",IF(H1975&lt;0,IF(LEFT(A1975,1)="Q","Périmé (en quarantaine)","PÉRIMÉ → déplacer en zone Q"),IF(H1975&lt;3,"Péremption &lt; 3 mois",IF(H1975&lt;6,"Péremption &lt; 6 mois",""))))</f>
        <v/>
      </c>
      <c r="J1975" s="17" t="str">
        <f aca="false">IF(A1975="","",IF(COUNTIF(Emplacements!$A$2:$A$1001,A1975)=0,"⚠ emplacement inconnu","OK"))</f>
        <v/>
      </c>
      <c r="K1975" s="22" t="str">
        <f aca="false">IF(AND(B1975&lt;&gt;"",ISNUMBER(SEARCH(Recherche!$C$3,C1975&amp;" "&amp;B1975&amp;" "&amp;A1975&amp;" "&amp;D1975))),MAX($K$1:K1974)+1,"")</f>
        <v/>
      </c>
    </row>
    <row r="1976" customFormat="false" ht="15" hidden="false" customHeight="false" outlineLevel="0" collapsed="false">
      <c r="A1976" s="12"/>
      <c r="B1976" s="12"/>
      <c r="C1976" s="17" t="str">
        <f aca="false">IF(B1976="","",IFERROR(INDEX(Produits!$F$2:$F$1001,MATCH(B1976,Produits!$A$2:$A$1001,0)),"⚠ code article inconnu"))</f>
        <v/>
      </c>
      <c r="D1976" s="12"/>
      <c r="E1976" s="23"/>
      <c r="F1976" s="24"/>
      <c r="G1976" s="23"/>
      <c r="H1976" s="21" t="str">
        <f aca="true">IF(E1976="","",ROUND((E1976-TODAY())/30.4,1))</f>
        <v/>
      </c>
      <c r="I1976" s="17" t="str">
        <f aca="false">IF(E1976="","",IF(H1976&lt;0,IF(LEFT(A1976,1)="Q","Périmé (en quarantaine)","PÉRIMÉ → déplacer en zone Q"),IF(H1976&lt;3,"Péremption &lt; 3 mois",IF(H1976&lt;6,"Péremption &lt; 6 mois",""))))</f>
        <v/>
      </c>
      <c r="J1976" s="17" t="str">
        <f aca="false">IF(A1976="","",IF(COUNTIF(Emplacements!$A$2:$A$1001,A1976)=0,"⚠ emplacement inconnu","OK"))</f>
        <v/>
      </c>
      <c r="K1976" s="22" t="str">
        <f aca="false">IF(AND(B1976&lt;&gt;"",ISNUMBER(SEARCH(Recherche!$C$3,C1976&amp;" "&amp;B1976&amp;" "&amp;A1976&amp;" "&amp;D1976))),MAX($K$1:K1975)+1,"")</f>
        <v/>
      </c>
    </row>
    <row r="1977" customFormat="false" ht="15" hidden="false" customHeight="false" outlineLevel="0" collapsed="false">
      <c r="A1977" s="12"/>
      <c r="B1977" s="12"/>
      <c r="C1977" s="17" t="str">
        <f aca="false">IF(B1977="","",IFERROR(INDEX(Produits!$F$2:$F$1001,MATCH(B1977,Produits!$A$2:$A$1001,0)),"⚠ code article inconnu"))</f>
        <v/>
      </c>
      <c r="D1977" s="12"/>
      <c r="E1977" s="23"/>
      <c r="F1977" s="24"/>
      <c r="G1977" s="23"/>
      <c r="H1977" s="21" t="str">
        <f aca="true">IF(E1977="","",ROUND((E1977-TODAY())/30.4,1))</f>
        <v/>
      </c>
      <c r="I1977" s="17" t="str">
        <f aca="false">IF(E1977="","",IF(H1977&lt;0,IF(LEFT(A1977,1)="Q","Périmé (en quarantaine)","PÉRIMÉ → déplacer en zone Q"),IF(H1977&lt;3,"Péremption &lt; 3 mois",IF(H1977&lt;6,"Péremption &lt; 6 mois",""))))</f>
        <v/>
      </c>
      <c r="J1977" s="17" t="str">
        <f aca="false">IF(A1977="","",IF(COUNTIF(Emplacements!$A$2:$A$1001,A1977)=0,"⚠ emplacement inconnu","OK"))</f>
        <v/>
      </c>
      <c r="K1977" s="22" t="str">
        <f aca="false">IF(AND(B1977&lt;&gt;"",ISNUMBER(SEARCH(Recherche!$C$3,C1977&amp;" "&amp;B1977&amp;" "&amp;A1977&amp;" "&amp;D1977))),MAX($K$1:K1976)+1,"")</f>
        <v/>
      </c>
    </row>
    <row r="1978" customFormat="false" ht="15" hidden="false" customHeight="false" outlineLevel="0" collapsed="false">
      <c r="A1978" s="12"/>
      <c r="B1978" s="12"/>
      <c r="C1978" s="17" t="str">
        <f aca="false">IF(B1978="","",IFERROR(INDEX(Produits!$F$2:$F$1001,MATCH(B1978,Produits!$A$2:$A$1001,0)),"⚠ code article inconnu"))</f>
        <v/>
      </c>
      <c r="D1978" s="12"/>
      <c r="E1978" s="23"/>
      <c r="F1978" s="24"/>
      <c r="G1978" s="23"/>
      <c r="H1978" s="21" t="str">
        <f aca="true">IF(E1978="","",ROUND((E1978-TODAY())/30.4,1))</f>
        <v/>
      </c>
      <c r="I1978" s="17" t="str">
        <f aca="false">IF(E1978="","",IF(H1978&lt;0,IF(LEFT(A1978,1)="Q","Périmé (en quarantaine)","PÉRIMÉ → déplacer en zone Q"),IF(H1978&lt;3,"Péremption &lt; 3 mois",IF(H1978&lt;6,"Péremption &lt; 6 mois",""))))</f>
        <v/>
      </c>
      <c r="J1978" s="17" t="str">
        <f aca="false">IF(A1978="","",IF(COUNTIF(Emplacements!$A$2:$A$1001,A1978)=0,"⚠ emplacement inconnu","OK"))</f>
        <v/>
      </c>
      <c r="K1978" s="22" t="str">
        <f aca="false">IF(AND(B1978&lt;&gt;"",ISNUMBER(SEARCH(Recherche!$C$3,C1978&amp;" "&amp;B1978&amp;" "&amp;A1978&amp;" "&amp;D1978))),MAX($K$1:K1977)+1,"")</f>
        <v/>
      </c>
    </row>
    <row r="1979" customFormat="false" ht="15" hidden="false" customHeight="false" outlineLevel="0" collapsed="false">
      <c r="A1979" s="12"/>
      <c r="B1979" s="12"/>
      <c r="C1979" s="17" t="str">
        <f aca="false">IF(B1979="","",IFERROR(INDEX(Produits!$F$2:$F$1001,MATCH(B1979,Produits!$A$2:$A$1001,0)),"⚠ code article inconnu"))</f>
        <v/>
      </c>
      <c r="D1979" s="12"/>
      <c r="E1979" s="23"/>
      <c r="F1979" s="24"/>
      <c r="G1979" s="23"/>
      <c r="H1979" s="21" t="str">
        <f aca="true">IF(E1979="","",ROUND((E1979-TODAY())/30.4,1))</f>
        <v/>
      </c>
      <c r="I1979" s="17" t="str">
        <f aca="false">IF(E1979="","",IF(H1979&lt;0,IF(LEFT(A1979,1)="Q","Périmé (en quarantaine)","PÉRIMÉ → déplacer en zone Q"),IF(H1979&lt;3,"Péremption &lt; 3 mois",IF(H1979&lt;6,"Péremption &lt; 6 mois",""))))</f>
        <v/>
      </c>
      <c r="J1979" s="17" t="str">
        <f aca="false">IF(A1979="","",IF(COUNTIF(Emplacements!$A$2:$A$1001,A1979)=0,"⚠ emplacement inconnu","OK"))</f>
        <v/>
      </c>
      <c r="K1979" s="22" t="str">
        <f aca="false">IF(AND(B1979&lt;&gt;"",ISNUMBER(SEARCH(Recherche!$C$3,C1979&amp;" "&amp;B1979&amp;" "&amp;A1979&amp;" "&amp;D1979))),MAX($K$1:K1978)+1,"")</f>
        <v/>
      </c>
    </row>
    <row r="1980" customFormat="false" ht="15" hidden="false" customHeight="false" outlineLevel="0" collapsed="false">
      <c r="A1980" s="12"/>
      <c r="B1980" s="12"/>
      <c r="C1980" s="17" t="str">
        <f aca="false">IF(B1980="","",IFERROR(INDEX(Produits!$F$2:$F$1001,MATCH(B1980,Produits!$A$2:$A$1001,0)),"⚠ code article inconnu"))</f>
        <v/>
      </c>
      <c r="D1980" s="12"/>
      <c r="E1980" s="23"/>
      <c r="F1980" s="24"/>
      <c r="G1980" s="23"/>
      <c r="H1980" s="21" t="str">
        <f aca="true">IF(E1980="","",ROUND((E1980-TODAY())/30.4,1))</f>
        <v/>
      </c>
      <c r="I1980" s="17" t="str">
        <f aca="false">IF(E1980="","",IF(H1980&lt;0,IF(LEFT(A1980,1)="Q","Périmé (en quarantaine)","PÉRIMÉ → déplacer en zone Q"),IF(H1980&lt;3,"Péremption &lt; 3 mois",IF(H1980&lt;6,"Péremption &lt; 6 mois",""))))</f>
        <v/>
      </c>
      <c r="J1980" s="17" t="str">
        <f aca="false">IF(A1980="","",IF(COUNTIF(Emplacements!$A$2:$A$1001,A1980)=0,"⚠ emplacement inconnu","OK"))</f>
        <v/>
      </c>
      <c r="K1980" s="22" t="str">
        <f aca="false">IF(AND(B1980&lt;&gt;"",ISNUMBER(SEARCH(Recherche!$C$3,C1980&amp;" "&amp;B1980&amp;" "&amp;A1980&amp;" "&amp;D1980))),MAX($K$1:K1979)+1,"")</f>
        <v/>
      </c>
    </row>
    <row r="1981" customFormat="false" ht="15" hidden="false" customHeight="false" outlineLevel="0" collapsed="false">
      <c r="A1981" s="12"/>
      <c r="B1981" s="12"/>
      <c r="C1981" s="17" t="str">
        <f aca="false">IF(B1981="","",IFERROR(INDEX(Produits!$F$2:$F$1001,MATCH(B1981,Produits!$A$2:$A$1001,0)),"⚠ code article inconnu"))</f>
        <v/>
      </c>
      <c r="D1981" s="12"/>
      <c r="E1981" s="23"/>
      <c r="F1981" s="24"/>
      <c r="G1981" s="23"/>
      <c r="H1981" s="21" t="str">
        <f aca="true">IF(E1981="","",ROUND((E1981-TODAY())/30.4,1))</f>
        <v/>
      </c>
      <c r="I1981" s="17" t="str">
        <f aca="false">IF(E1981="","",IF(H1981&lt;0,IF(LEFT(A1981,1)="Q","Périmé (en quarantaine)","PÉRIMÉ → déplacer en zone Q"),IF(H1981&lt;3,"Péremption &lt; 3 mois",IF(H1981&lt;6,"Péremption &lt; 6 mois",""))))</f>
        <v/>
      </c>
      <c r="J1981" s="17" t="str">
        <f aca="false">IF(A1981="","",IF(COUNTIF(Emplacements!$A$2:$A$1001,A1981)=0,"⚠ emplacement inconnu","OK"))</f>
        <v/>
      </c>
      <c r="K1981" s="22" t="str">
        <f aca="false">IF(AND(B1981&lt;&gt;"",ISNUMBER(SEARCH(Recherche!$C$3,C1981&amp;" "&amp;B1981&amp;" "&amp;A1981&amp;" "&amp;D1981))),MAX($K$1:K1980)+1,"")</f>
        <v/>
      </c>
    </row>
    <row r="1982" customFormat="false" ht="15" hidden="false" customHeight="false" outlineLevel="0" collapsed="false">
      <c r="A1982" s="12"/>
      <c r="B1982" s="12"/>
      <c r="C1982" s="17" t="str">
        <f aca="false">IF(B1982="","",IFERROR(INDEX(Produits!$F$2:$F$1001,MATCH(B1982,Produits!$A$2:$A$1001,0)),"⚠ code article inconnu"))</f>
        <v/>
      </c>
      <c r="D1982" s="12"/>
      <c r="E1982" s="23"/>
      <c r="F1982" s="24"/>
      <c r="G1982" s="23"/>
      <c r="H1982" s="21" t="str">
        <f aca="true">IF(E1982="","",ROUND((E1982-TODAY())/30.4,1))</f>
        <v/>
      </c>
      <c r="I1982" s="17" t="str">
        <f aca="false">IF(E1982="","",IF(H1982&lt;0,IF(LEFT(A1982,1)="Q","Périmé (en quarantaine)","PÉRIMÉ → déplacer en zone Q"),IF(H1982&lt;3,"Péremption &lt; 3 mois",IF(H1982&lt;6,"Péremption &lt; 6 mois",""))))</f>
        <v/>
      </c>
      <c r="J1982" s="17" t="str">
        <f aca="false">IF(A1982="","",IF(COUNTIF(Emplacements!$A$2:$A$1001,A1982)=0,"⚠ emplacement inconnu","OK"))</f>
        <v/>
      </c>
      <c r="K1982" s="22" t="str">
        <f aca="false">IF(AND(B1982&lt;&gt;"",ISNUMBER(SEARCH(Recherche!$C$3,C1982&amp;" "&amp;B1982&amp;" "&amp;A1982&amp;" "&amp;D1982))),MAX($K$1:K1981)+1,"")</f>
        <v/>
      </c>
    </row>
    <row r="1983" customFormat="false" ht="15" hidden="false" customHeight="false" outlineLevel="0" collapsed="false">
      <c r="A1983" s="12"/>
      <c r="B1983" s="12"/>
      <c r="C1983" s="17" t="str">
        <f aca="false">IF(B1983="","",IFERROR(INDEX(Produits!$F$2:$F$1001,MATCH(B1983,Produits!$A$2:$A$1001,0)),"⚠ code article inconnu"))</f>
        <v/>
      </c>
      <c r="D1983" s="12"/>
      <c r="E1983" s="23"/>
      <c r="F1983" s="24"/>
      <c r="G1983" s="23"/>
      <c r="H1983" s="21" t="str">
        <f aca="true">IF(E1983="","",ROUND((E1983-TODAY())/30.4,1))</f>
        <v/>
      </c>
      <c r="I1983" s="17" t="str">
        <f aca="false">IF(E1983="","",IF(H1983&lt;0,IF(LEFT(A1983,1)="Q","Périmé (en quarantaine)","PÉRIMÉ → déplacer en zone Q"),IF(H1983&lt;3,"Péremption &lt; 3 mois",IF(H1983&lt;6,"Péremption &lt; 6 mois",""))))</f>
        <v/>
      </c>
      <c r="J1983" s="17" t="str">
        <f aca="false">IF(A1983="","",IF(COUNTIF(Emplacements!$A$2:$A$1001,A1983)=0,"⚠ emplacement inconnu","OK"))</f>
        <v/>
      </c>
      <c r="K1983" s="22" t="str">
        <f aca="false">IF(AND(B1983&lt;&gt;"",ISNUMBER(SEARCH(Recherche!$C$3,C1983&amp;" "&amp;B1983&amp;" "&amp;A1983&amp;" "&amp;D1983))),MAX($K$1:K1982)+1,"")</f>
        <v/>
      </c>
    </row>
    <row r="1984" customFormat="false" ht="15" hidden="false" customHeight="false" outlineLevel="0" collapsed="false">
      <c r="A1984" s="12"/>
      <c r="B1984" s="12"/>
      <c r="C1984" s="17" t="str">
        <f aca="false">IF(B1984="","",IFERROR(INDEX(Produits!$F$2:$F$1001,MATCH(B1984,Produits!$A$2:$A$1001,0)),"⚠ code article inconnu"))</f>
        <v/>
      </c>
      <c r="D1984" s="12"/>
      <c r="E1984" s="23"/>
      <c r="F1984" s="24"/>
      <c r="G1984" s="23"/>
      <c r="H1984" s="21" t="str">
        <f aca="true">IF(E1984="","",ROUND((E1984-TODAY())/30.4,1))</f>
        <v/>
      </c>
      <c r="I1984" s="17" t="str">
        <f aca="false">IF(E1984="","",IF(H1984&lt;0,IF(LEFT(A1984,1)="Q","Périmé (en quarantaine)","PÉRIMÉ → déplacer en zone Q"),IF(H1984&lt;3,"Péremption &lt; 3 mois",IF(H1984&lt;6,"Péremption &lt; 6 mois",""))))</f>
        <v/>
      </c>
      <c r="J1984" s="17" t="str">
        <f aca="false">IF(A1984="","",IF(COUNTIF(Emplacements!$A$2:$A$1001,A1984)=0,"⚠ emplacement inconnu","OK"))</f>
        <v/>
      </c>
      <c r="K1984" s="22" t="str">
        <f aca="false">IF(AND(B1984&lt;&gt;"",ISNUMBER(SEARCH(Recherche!$C$3,C1984&amp;" "&amp;B1984&amp;" "&amp;A1984&amp;" "&amp;D1984))),MAX($K$1:K1983)+1,"")</f>
        <v/>
      </c>
    </row>
    <row r="1985" customFormat="false" ht="15" hidden="false" customHeight="false" outlineLevel="0" collapsed="false">
      <c r="A1985" s="12"/>
      <c r="B1985" s="12"/>
      <c r="C1985" s="17" t="str">
        <f aca="false">IF(B1985="","",IFERROR(INDEX(Produits!$F$2:$F$1001,MATCH(B1985,Produits!$A$2:$A$1001,0)),"⚠ code article inconnu"))</f>
        <v/>
      </c>
      <c r="D1985" s="12"/>
      <c r="E1985" s="23"/>
      <c r="F1985" s="24"/>
      <c r="G1985" s="23"/>
      <c r="H1985" s="21" t="str">
        <f aca="true">IF(E1985="","",ROUND((E1985-TODAY())/30.4,1))</f>
        <v/>
      </c>
      <c r="I1985" s="17" t="str">
        <f aca="false">IF(E1985="","",IF(H1985&lt;0,IF(LEFT(A1985,1)="Q","Périmé (en quarantaine)","PÉRIMÉ → déplacer en zone Q"),IF(H1985&lt;3,"Péremption &lt; 3 mois",IF(H1985&lt;6,"Péremption &lt; 6 mois",""))))</f>
        <v/>
      </c>
      <c r="J1985" s="17" t="str">
        <f aca="false">IF(A1985="","",IF(COUNTIF(Emplacements!$A$2:$A$1001,A1985)=0,"⚠ emplacement inconnu","OK"))</f>
        <v/>
      </c>
      <c r="K1985" s="22" t="str">
        <f aca="false">IF(AND(B1985&lt;&gt;"",ISNUMBER(SEARCH(Recherche!$C$3,C1985&amp;" "&amp;B1985&amp;" "&amp;A1985&amp;" "&amp;D1985))),MAX($K$1:K1984)+1,"")</f>
        <v/>
      </c>
    </row>
    <row r="1986" customFormat="false" ht="15" hidden="false" customHeight="false" outlineLevel="0" collapsed="false">
      <c r="A1986" s="12"/>
      <c r="B1986" s="12"/>
      <c r="C1986" s="17" t="str">
        <f aca="false">IF(B1986="","",IFERROR(INDEX(Produits!$F$2:$F$1001,MATCH(B1986,Produits!$A$2:$A$1001,0)),"⚠ code article inconnu"))</f>
        <v/>
      </c>
      <c r="D1986" s="12"/>
      <c r="E1986" s="23"/>
      <c r="F1986" s="24"/>
      <c r="G1986" s="23"/>
      <c r="H1986" s="21" t="str">
        <f aca="true">IF(E1986="","",ROUND((E1986-TODAY())/30.4,1))</f>
        <v/>
      </c>
      <c r="I1986" s="17" t="str">
        <f aca="false">IF(E1986="","",IF(H1986&lt;0,IF(LEFT(A1986,1)="Q","Périmé (en quarantaine)","PÉRIMÉ → déplacer en zone Q"),IF(H1986&lt;3,"Péremption &lt; 3 mois",IF(H1986&lt;6,"Péremption &lt; 6 mois",""))))</f>
        <v/>
      </c>
      <c r="J1986" s="17" t="str">
        <f aca="false">IF(A1986="","",IF(COUNTIF(Emplacements!$A$2:$A$1001,A1986)=0,"⚠ emplacement inconnu","OK"))</f>
        <v/>
      </c>
      <c r="K1986" s="22" t="str">
        <f aca="false">IF(AND(B1986&lt;&gt;"",ISNUMBER(SEARCH(Recherche!$C$3,C1986&amp;" "&amp;B1986&amp;" "&amp;A1986&amp;" "&amp;D1986))),MAX($K$1:K1985)+1,"")</f>
        <v/>
      </c>
    </row>
    <row r="1987" customFormat="false" ht="15" hidden="false" customHeight="false" outlineLevel="0" collapsed="false">
      <c r="A1987" s="12"/>
      <c r="B1987" s="12"/>
      <c r="C1987" s="17" t="str">
        <f aca="false">IF(B1987="","",IFERROR(INDEX(Produits!$F$2:$F$1001,MATCH(B1987,Produits!$A$2:$A$1001,0)),"⚠ code article inconnu"))</f>
        <v/>
      </c>
      <c r="D1987" s="12"/>
      <c r="E1987" s="23"/>
      <c r="F1987" s="24"/>
      <c r="G1987" s="23"/>
      <c r="H1987" s="21" t="str">
        <f aca="true">IF(E1987="","",ROUND((E1987-TODAY())/30.4,1))</f>
        <v/>
      </c>
      <c r="I1987" s="17" t="str">
        <f aca="false">IF(E1987="","",IF(H1987&lt;0,IF(LEFT(A1987,1)="Q","Périmé (en quarantaine)","PÉRIMÉ → déplacer en zone Q"),IF(H1987&lt;3,"Péremption &lt; 3 mois",IF(H1987&lt;6,"Péremption &lt; 6 mois",""))))</f>
        <v/>
      </c>
      <c r="J1987" s="17" t="str">
        <f aca="false">IF(A1987="","",IF(COUNTIF(Emplacements!$A$2:$A$1001,A1987)=0,"⚠ emplacement inconnu","OK"))</f>
        <v/>
      </c>
      <c r="K1987" s="22" t="str">
        <f aca="false">IF(AND(B1987&lt;&gt;"",ISNUMBER(SEARCH(Recherche!$C$3,C1987&amp;" "&amp;B1987&amp;" "&amp;A1987&amp;" "&amp;D1987))),MAX($K$1:K1986)+1,"")</f>
        <v/>
      </c>
    </row>
    <row r="1988" customFormat="false" ht="15" hidden="false" customHeight="false" outlineLevel="0" collapsed="false">
      <c r="A1988" s="12"/>
      <c r="B1988" s="12"/>
      <c r="C1988" s="17" t="str">
        <f aca="false">IF(B1988="","",IFERROR(INDEX(Produits!$F$2:$F$1001,MATCH(B1988,Produits!$A$2:$A$1001,0)),"⚠ code article inconnu"))</f>
        <v/>
      </c>
      <c r="D1988" s="12"/>
      <c r="E1988" s="23"/>
      <c r="F1988" s="24"/>
      <c r="G1988" s="23"/>
      <c r="H1988" s="21" t="str">
        <f aca="true">IF(E1988="","",ROUND((E1988-TODAY())/30.4,1))</f>
        <v/>
      </c>
      <c r="I1988" s="17" t="str">
        <f aca="false">IF(E1988="","",IF(H1988&lt;0,IF(LEFT(A1988,1)="Q","Périmé (en quarantaine)","PÉRIMÉ → déplacer en zone Q"),IF(H1988&lt;3,"Péremption &lt; 3 mois",IF(H1988&lt;6,"Péremption &lt; 6 mois",""))))</f>
        <v/>
      </c>
      <c r="J1988" s="17" t="str">
        <f aca="false">IF(A1988="","",IF(COUNTIF(Emplacements!$A$2:$A$1001,A1988)=0,"⚠ emplacement inconnu","OK"))</f>
        <v/>
      </c>
      <c r="K1988" s="22" t="str">
        <f aca="false">IF(AND(B1988&lt;&gt;"",ISNUMBER(SEARCH(Recherche!$C$3,C1988&amp;" "&amp;B1988&amp;" "&amp;A1988&amp;" "&amp;D1988))),MAX($K$1:K1987)+1,"")</f>
        <v/>
      </c>
    </row>
    <row r="1989" customFormat="false" ht="15" hidden="false" customHeight="false" outlineLevel="0" collapsed="false">
      <c r="A1989" s="12"/>
      <c r="B1989" s="12"/>
      <c r="C1989" s="17" t="str">
        <f aca="false">IF(B1989="","",IFERROR(INDEX(Produits!$F$2:$F$1001,MATCH(B1989,Produits!$A$2:$A$1001,0)),"⚠ code article inconnu"))</f>
        <v/>
      </c>
      <c r="D1989" s="12"/>
      <c r="E1989" s="23"/>
      <c r="F1989" s="24"/>
      <c r="G1989" s="23"/>
      <c r="H1989" s="21" t="str">
        <f aca="true">IF(E1989="","",ROUND((E1989-TODAY())/30.4,1))</f>
        <v/>
      </c>
      <c r="I1989" s="17" t="str">
        <f aca="false">IF(E1989="","",IF(H1989&lt;0,IF(LEFT(A1989,1)="Q","Périmé (en quarantaine)","PÉRIMÉ → déplacer en zone Q"),IF(H1989&lt;3,"Péremption &lt; 3 mois",IF(H1989&lt;6,"Péremption &lt; 6 mois",""))))</f>
        <v/>
      </c>
      <c r="J1989" s="17" t="str">
        <f aca="false">IF(A1989="","",IF(COUNTIF(Emplacements!$A$2:$A$1001,A1989)=0,"⚠ emplacement inconnu","OK"))</f>
        <v/>
      </c>
      <c r="K1989" s="22" t="str">
        <f aca="false">IF(AND(B1989&lt;&gt;"",ISNUMBER(SEARCH(Recherche!$C$3,C1989&amp;" "&amp;B1989&amp;" "&amp;A1989&amp;" "&amp;D1989))),MAX($K$1:K1988)+1,"")</f>
        <v/>
      </c>
    </row>
    <row r="1990" customFormat="false" ht="15" hidden="false" customHeight="false" outlineLevel="0" collapsed="false">
      <c r="A1990" s="12"/>
      <c r="B1990" s="12"/>
      <c r="C1990" s="17" t="str">
        <f aca="false">IF(B1990="","",IFERROR(INDEX(Produits!$F$2:$F$1001,MATCH(B1990,Produits!$A$2:$A$1001,0)),"⚠ code article inconnu"))</f>
        <v/>
      </c>
      <c r="D1990" s="12"/>
      <c r="E1990" s="23"/>
      <c r="F1990" s="24"/>
      <c r="G1990" s="23"/>
      <c r="H1990" s="21" t="str">
        <f aca="true">IF(E1990="","",ROUND((E1990-TODAY())/30.4,1))</f>
        <v/>
      </c>
      <c r="I1990" s="17" t="str">
        <f aca="false">IF(E1990="","",IF(H1990&lt;0,IF(LEFT(A1990,1)="Q","Périmé (en quarantaine)","PÉRIMÉ → déplacer en zone Q"),IF(H1990&lt;3,"Péremption &lt; 3 mois",IF(H1990&lt;6,"Péremption &lt; 6 mois",""))))</f>
        <v/>
      </c>
      <c r="J1990" s="17" t="str">
        <f aca="false">IF(A1990="","",IF(COUNTIF(Emplacements!$A$2:$A$1001,A1990)=0,"⚠ emplacement inconnu","OK"))</f>
        <v/>
      </c>
      <c r="K1990" s="22" t="str">
        <f aca="false">IF(AND(B1990&lt;&gt;"",ISNUMBER(SEARCH(Recherche!$C$3,C1990&amp;" "&amp;B1990&amp;" "&amp;A1990&amp;" "&amp;D1990))),MAX($K$1:K1989)+1,"")</f>
        <v/>
      </c>
    </row>
    <row r="1991" customFormat="false" ht="15" hidden="false" customHeight="false" outlineLevel="0" collapsed="false">
      <c r="A1991" s="12"/>
      <c r="B1991" s="12"/>
      <c r="C1991" s="17" t="str">
        <f aca="false">IF(B1991="","",IFERROR(INDEX(Produits!$F$2:$F$1001,MATCH(B1991,Produits!$A$2:$A$1001,0)),"⚠ code article inconnu"))</f>
        <v/>
      </c>
      <c r="D1991" s="12"/>
      <c r="E1991" s="23"/>
      <c r="F1991" s="24"/>
      <c r="G1991" s="23"/>
      <c r="H1991" s="21" t="str">
        <f aca="true">IF(E1991="","",ROUND((E1991-TODAY())/30.4,1))</f>
        <v/>
      </c>
      <c r="I1991" s="17" t="str">
        <f aca="false">IF(E1991="","",IF(H1991&lt;0,IF(LEFT(A1991,1)="Q","Périmé (en quarantaine)","PÉRIMÉ → déplacer en zone Q"),IF(H1991&lt;3,"Péremption &lt; 3 mois",IF(H1991&lt;6,"Péremption &lt; 6 mois",""))))</f>
        <v/>
      </c>
      <c r="J1991" s="17" t="str">
        <f aca="false">IF(A1991="","",IF(COUNTIF(Emplacements!$A$2:$A$1001,A1991)=0,"⚠ emplacement inconnu","OK"))</f>
        <v/>
      </c>
      <c r="K1991" s="22" t="str">
        <f aca="false">IF(AND(B1991&lt;&gt;"",ISNUMBER(SEARCH(Recherche!$C$3,C1991&amp;" "&amp;B1991&amp;" "&amp;A1991&amp;" "&amp;D1991))),MAX($K$1:K1990)+1,"")</f>
        <v/>
      </c>
    </row>
    <row r="1992" customFormat="false" ht="15" hidden="false" customHeight="false" outlineLevel="0" collapsed="false">
      <c r="A1992" s="12"/>
      <c r="B1992" s="12"/>
      <c r="C1992" s="17" t="str">
        <f aca="false">IF(B1992="","",IFERROR(INDEX(Produits!$F$2:$F$1001,MATCH(B1992,Produits!$A$2:$A$1001,0)),"⚠ code article inconnu"))</f>
        <v/>
      </c>
      <c r="D1992" s="12"/>
      <c r="E1992" s="23"/>
      <c r="F1992" s="24"/>
      <c r="G1992" s="23"/>
      <c r="H1992" s="21" t="str">
        <f aca="true">IF(E1992="","",ROUND((E1992-TODAY())/30.4,1))</f>
        <v/>
      </c>
      <c r="I1992" s="17" t="str">
        <f aca="false">IF(E1992="","",IF(H1992&lt;0,IF(LEFT(A1992,1)="Q","Périmé (en quarantaine)","PÉRIMÉ → déplacer en zone Q"),IF(H1992&lt;3,"Péremption &lt; 3 mois",IF(H1992&lt;6,"Péremption &lt; 6 mois",""))))</f>
        <v/>
      </c>
      <c r="J1992" s="17" t="str">
        <f aca="false">IF(A1992="","",IF(COUNTIF(Emplacements!$A$2:$A$1001,A1992)=0,"⚠ emplacement inconnu","OK"))</f>
        <v/>
      </c>
      <c r="K1992" s="22" t="str">
        <f aca="false">IF(AND(B1992&lt;&gt;"",ISNUMBER(SEARCH(Recherche!$C$3,C1992&amp;" "&amp;B1992&amp;" "&amp;A1992&amp;" "&amp;D1992))),MAX($K$1:K1991)+1,"")</f>
        <v/>
      </c>
    </row>
    <row r="1993" customFormat="false" ht="15" hidden="false" customHeight="false" outlineLevel="0" collapsed="false">
      <c r="A1993" s="12"/>
      <c r="B1993" s="12"/>
      <c r="C1993" s="17" t="str">
        <f aca="false">IF(B1993="","",IFERROR(INDEX(Produits!$F$2:$F$1001,MATCH(B1993,Produits!$A$2:$A$1001,0)),"⚠ code article inconnu"))</f>
        <v/>
      </c>
      <c r="D1993" s="12"/>
      <c r="E1993" s="23"/>
      <c r="F1993" s="24"/>
      <c r="G1993" s="23"/>
      <c r="H1993" s="21" t="str">
        <f aca="true">IF(E1993="","",ROUND((E1993-TODAY())/30.4,1))</f>
        <v/>
      </c>
      <c r="I1993" s="17" t="str">
        <f aca="false">IF(E1993="","",IF(H1993&lt;0,IF(LEFT(A1993,1)="Q","Périmé (en quarantaine)","PÉRIMÉ → déplacer en zone Q"),IF(H1993&lt;3,"Péremption &lt; 3 mois",IF(H1993&lt;6,"Péremption &lt; 6 mois",""))))</f>
        <v/>
      </c>
      <c r="J1993" s="17" t="str">
        <f aca="false">IF(A1993="","",IF(COUNTIF(Emplacements!$A$2:$A$1001,A1993)=0,"⚠ emplacement inconnu","OK"))</f>
        <v/>
      </c>
      <c r="K1993" s="22" t="str">
        <f aca="false">IF(AND(B1993&lt;&gt;"",ISNUMBER(SEARCH(Recherche!$C$3,C1993&amp;" "&amp;B1993&amp;" "&amp;A1993&amp;" "&amp;D1993))),MAX($K$1:K1992)+1,"")</f>
        <v/>
      </c>
    </row>
    <row r="1994" customFormat="false" ht="15" hidden="false" customHeight="false" outlineLevel="0" collapsed="false">
      <c r="A1994" s="12"/>
      <c r="B1994" s="12"/>
      <c r="C1994" s="17" t="str">
        <f aca="false">IF(B1994="","",IFERROR(INDEX(Produits!$F$2:$F$1001,MATCH(B1994,Produits!$A$2:$A$1001,0)),"⚠ code article inconnu"))</f>
        <v/>
      </c>
      <c r="D1994" s="12"/>
      <c r="E1994" s="23"/>
      <c r="F1994" s="24"/>
      <c r="G1994" s="23"/>
      <c r="H1994" s="21" t="str">
        <f aca="true">IF(E1994="","",ROUND((E1994-TODAY())/30.4,1))</f>
        <v/>
      </c>
      <c r="I1994" s="17" t="str">
        <f aca="false">IF(E1994="","",IF(H1994&lt;0,IF(LEFT(A1994,1)="Q","Périmé (en quarantaine)","PÉRIMÉ → déplacer en zone Q"),IF(H1994&lt;3,"Péremption &lt; 3 mois",IF(H1994&lt;6,"Péremption &lt; 6 mois",""))))</f>
        <v/>
      </c>
      <c r="J1994" s="17" t="str">
        <f aca="false">IF(A1994="","",IF(COUNTIF(Emplacements!$A$2:$A$1001,A1994)=0,"⚠ emplacement inconnu","OK"))</f>
        <v/>
      </c>
      <c r="K1994" s="22" t="str">
        <f aca="false">IF(AND(B1994&lt;&gt;"",ISNUMBER(SEARCH(Recherche!$C$3,C1994&amp;" "&amp;B1994&amp;" "&amp;A1994&amp;" "&amp;D1994))),MAX($K$1:K1993)+1,"")</f>
        <v/>
      </c>
    </row>
    <row r="1995" customFormat="false" ht="15" hidden="false" customHeight="false" outlineLevel="0" collapsed="false">
      <c r="A1995" s="12"/>
      <c r="B1995" s="12"/>
      <c r="C1995" s="17" t="str">
        <f aca="false">IF(B1995="","",IFERROR(INDEX(Produits!$F$2:$F$1001,MATCH(B1995,Produits!$A$2:$A$1001,0)),"⚠ code article inconnu"))</f>
        <v/>
      </c>
      <c r="D1995" s="12"/>
      <c r="E1995" s="23"/>
      <c r="F1995" s="24"/>
      <c r="G1995" s="23"/>
      <c r="H1995" s="21" t="str">
        <f aca="true">IF(E1995="","",ROUND((E1995-TODAY())/30.4,1))</f>
        <v/>
      </c>
      <c r="I1995" s="17" t="str">
        <f aca="false">IF(E1995="","",IF(H1995&lt;0,IF(LEFT(A1995,1)="Q","Périmé (en quarantaine)","PÉRIMÉ → déplacer en zone Q"),IF(H1995&lt;3,"Péremption &lt; 3 mois",IF(H1995&lt;6,"Péremption &lt; 6 mois",""))))</f>
        <v/>
      </c>
      <c r="J1995" s="17" t="str">
        <f aca="false">IF(A1995="","",IF(COUNTIF(Emplacements!$A$2:$A$1001,A1995)=0,"⚠ emplacement inconnu","OK"))</f>
        <v/>
      </c>
      <c r="K1995" s="22" t="str">
        <f aca="false">IF(AND(B1995&lt;&gt;"",ISNUMBER(SEARCH(Recherche!$C$3,C1995&amp;" "&amp;B1995&amp;" "&amp;A1995&amp;" "&amp;D1995))),MAX($K$1:K1994)+1,"")</f>
        <v/>
      </c>
    </row>
    <row r="1996" customFormat="false" ht="15" hidden="false" customHeight="false" outlineLevel="0" collapsed="false">
      <c r="A1996" s="12"/>
      <c r="B1996" s="12"/>
      <c r="C1996" s="17" t="str">
        <f aca="false">IF(B1996="","",IFERROR(INDEX(Produits!$F$2:$F$1001,MATCH(B1996,Produits!$A$2:$A$1001,0)),"⚠ code article inconnu"))</f>
        <v/>
      </c>
      <c r="D1996" s="12"/>
      <c r="E1996" s="23"/>
      <c r="F1996" s="24"/>
      <c r="G1996" s="23"/>
      <c r="H1996" s="21" t="str">
        <f aca="true">IF(E1996="","",ROUND((E1996-TODAY())/30.4,1))</f>
        <v/>
      </c>
      <c r="I1996" s="17" t="str">
        <f aca="false">IF(E1996="","",IF(H1996&lt;0,IF(LEFT(A1996,1)="Q","Périmé (en quarantaine)","PÉRIMÉ → déplacer en zone Q"),IF(H1996&lt;3,"Péremption &lt; 3 mois",IF(H1996&lt;6,"Péremption &lt; 6 mois",""))))</f>
        <v/>
      </c>
      <c r="J1996" s="17" t="str">
        <f aca="false">IF(A1996="","",IF(COUNTIF(Emplacements!$A$2:$A$1001,A1996)=0,"⚠ emplacement inconnu","OK"))</f>
        <v/>
      </c>
      <c r="K1996" s="22" t="str">
        <f aca="false">IF(AND(B1996&lt;&gt;"",ISNUMBER(SEARCH(Recherche!$C$3,C1996&amp;" "&amp;B1996&amp;" "&amp;A1996&amp;" "&amp;D1996))),MAX($K$1:K1995)+1,"")</f>
        <v/>
      </c>
    </row>
    <row r="1997" customFormat="false" ht="15" hidden="false" customHeight="false" outlineLevel="0" collapsed="false">
      <c r="A1997" s="12"/>
      <c r="B1997" s="12"/>
      <c r="C1997" s="17" t="str">
        <f aca="false">IF(B1997="","",IFERROR(INDEX(Produits!$F$2:$F$1001,MATCH(B1997,Produits!$A$2:$A$1001,0)),"⚠ code article inconnu"))</f>
        <v/>
      </c>
      <c r="D1997" s="12"/>
      <c r="E1997" s="23"/>
      <c r="F1997" s="24"/>
      <c r="G1997" s="23"/>
      <c r="H1997" s="21" t="str">
        <f aca="true">IF(E1997="","",ROUND((E1997-TODAY())/30.4,1))</f>
        <v/>
      </c>
      <c r="I1997" s="17" t="str">
        <f aca="false">IF(E1997="","",IF(H1997&lt;0,IF(LEFT(A1997,1)="Q","Périmé (en quarantaine)","PÉRIMÉ → déplacer en zone Q"),IF(H1997&lt;3,"Péremption &lt; 3 mois",IF(H1997&lt;6,"Péremption &lt; 6 mois",""))))</f>
        <v/>
      </c>
      <c r="J1997" s="17" t="str">
        <f aca="false">IF(A1997="","",IF(COUNTIF(Emplacements!$A$2:$A$1001,A1997)=0,"⚠ emplacement inconnu","OK"))</f>
        <v/>
      </c>
      <c r="K1997" s="22" t="str">
        <f aca="false">IF(AND(B1997&lt;&gt;"",ISNUMBER(SEARCH(Recherche!$C$3,C1997&amp;" "&amp;B1997&amp;" "&amp;A1997&amp;" "&amp;D1997))),MAX($K$1:K1996)+1,"")</f>
        <v/>
      </c>
    </row>
    <row r="1998" customFormat="false" ht="15" hidden="false" customHeight="false" outlineLevel="0" collapsed="false">
      <c r="A1998" s="12"/>
      <c r="B1998" s="12"/>
      <c r="C1998" s="17" t="str">
        <f aca="false">IF(B1998="","",IFERROR(INDEX(Produits!$F$2:$F$1001,MATCH(B1998,Produits!$A$2:$A$1001,0)),"⚠ code article inconnu"))</f>
        <v/>
      </c>
      <c r="D1998" s="12"/>
      <c r="E1998" s="23"/>
      <c r="F1998" s="24"/>
      <c r="G1998" s="23"/>
      <c r="H1998" s="21" t="str">
        <f aca="true">IF(E1998="","",ROUND((E1998-TODAY())/30.4,1))</f>
        <v/>
      </c>
      <c r="I1998" s="17" t="str">
        <f aca="false">IF(E1998="","",IF(H1998&lt;0,IF(LEFT(A1998,1)="Q","Périmé (en quarantaine)","PÉRIMÉ → déplacer en zone Q"),IF(H1998&lt;3,"Péremption &lt; 3 mois",IF(H1998&lt;6,"Péremption &lt; 6 mois",""))))</f>
        <v/>
      </c>
      <c r="J1998" s="17" t="str">
        <f aca="false">IF(A1998="","",IF(COUNTIF(Emplacements!$A$2:$A$1001,A1998)=0,"⚠ emplacement inconnu","OK"))</f>
        <v/>
      </c>
      <c r="K1998" s="22" t="str">
        <f aca="false">IF(AND(B1998&lt;&gt;"",ISNUMBER(SEARCH(Recherche!$C$3,C1998&amp;" "&amp;B1998&amp;" "&amp;A1998&amp;" "&amp;D1998))),MAX($K$1:K1997)+1,"")</f>
        <v/>
      </c>
    </row>
    <row r="1999" customFormat="false" ht="15" hidden="false" customHeight="false" outlineLevel="0" collapsed="false">
      <c r="A1999" s="12"/>
      <c r="B1999" s="12"/>
      <c r="C1999" s="17" t="str">
        <f aca="false">IF(B1999="","",IFERROR(INDEX(Produits!$F$2:$F$1001,MATCH(B1999,Produits!$A$2:$A$1001,0)),"⚠ code article inconnu"))</f>
        <v/>
      </c>
      <c r="D1999" s="12"/>
      <c r="E1999" s="23"/>
      <c r="F1999" s="24"/>
      <c r="G1999" s="23"/>
      <c r="H1999" s="21" t="str">
        <f aca="true">IF(E1999="","",ROUND((E1999-TODAY())/30.4,1))</f>
        <v/>
      </c>
      <c r="I1999" s="17" t="str">
        <f aca="false">IF(E1999="","",IF(H1999&lt;0,IF(LEFT(A1999,1)="Q","Périmé (en quarantaine)","PÉRIMÉ → déplacer en zone Q"),IF(H1999&lt;3,"Péremption &lt; 3 mois",IF(H1999&lt;6,"Péremption &lt; 6 mois",""))))</f>
        <v/>
      </c>
      <c r="J1999" s="17" t="str">
        <f aca="false">IF(A1999="","",IF(COUNTIF(Emplacements!$A$2:$A$1001,A1999)=0,"⚠ emplacement inconnu","OK"))</f>
        <v/>
      </c>
      <c r="K1999" s="22" t="str">
        <f aca="false">IF(AND(B1999&lt;&gt;"",ISNUMBER(SEARCH(Recherche!$C$3,C1999&amp;" "&amp;B1999&amp;" "&amp;A1999&amp;" "&amp;D1999))),MAX($K$1:K1998)+1,"")</f>
        <v/>
      </c>
    </row>
    <row r="2000" customFormat="false" ht="15" hidden="false" customHeight="false" outlineLevel="0" collapsed="false">
      <c r="A2000" s="12"/>
      <c r="B2000" s="12"/>
      <c r="C2000" s="17" t="str">
        <f aca="false">IF(B2000="","",IFERROR(INDEX(Produits!$F$2:$F$1001,MATCH(B2000,Produits!$A$2:$A$1001,0)),"⚠ code article inconnu"))</f>
        <v/>
      </c>
      <c r="D2000" s="12"/>
      <c r="E2000" s="23"/>
      <c r="F2000" s="24"/>
      <c r="G2000" s="23"/>
      <c r="H2000" s="21" t="str">
        <f aca="true">IF(E2000="","",ROUND((E2000-TODAY())/30.4,1))</f>
        <v/>
      </c>
      <c r="I2000" s="17" t="str">
        <f aca="false">IF(E2000="","",IF(H2000&lt;0,IF(LEFT(A2000,1)="Q","Périmé (en quarantaine)","PÉRIMÉ → déplacer en zone Q"),IF(H2000&lt;3,"Péremption &lt; 3 mois",IF(H2000&lt;6,"Péremption &lt; 6 mois",""))))</f>
        <v/>
      </c>
      <c r="J2000" s="17" t="str">
        <f aca="false">IF(A2000="","",IF(COUNTIF(Emplacements!$A$2:$A$1001,A2000)=0,"⚠ emplacement inconnu","OK"))</f>
        <v/>
      </c>
      <c r="K2000" s="22" t="str">
        <f aca="false">IF(AND(B2000&lt;&gt;"",ISNUMBER(SEARCH(Recherche!$C$3,C2000&amp;" "&amp;B2000&amp;" "&amp;A2000&amp;" "&amp;D2000))),MAX($K$1:K1999)+1,"")</f>
        <v/>
      </c>
    </row>
    <row r="2001" customFormat="false" ht="15" hidden="false" customHeight="false" outlineLevel="0" collapsed="false">
      <c r="A2001" s="12"/>
      <c r="B2001" s="12"/>
      <c r="C2001" s="17" t="str">
        <f aca="false">IF(B2001="","",IFERROR(INDEX(Produits!$F$2:$F$1001,MATCH(B2001,Produits!$A$2:$A$1001,0)),"⚠ code article inconnu"))</f>
        <v/>
      </c>
      <c r="D2001" s="12"/>
      <c r="E2001" s="23"/>
      <c r="F2001" s="24"/>
      <c r="G2001" s="23"/>
      <c r="H2001" s="21" t="str">
        <f aca="true">IF(E2001="","",ROUND((E2001-TODAY())/30.4,1))</f>
        <v/>
      </c>
      <c r="I2001" s="17" t="str">
        <f aca="false">IF(E2001="","",IF(H2001&lt;0,IF(LEFT(A2001,1)="Q","Périmé (en quarantaine)","PÉRIMÉ → déplacer en zone Q"),IF(H2001&lt;3,"Péremption &lt; 3 mois",IF(H2001&lt;6,"Péremption &lt; 6 mois",""))))</f>
        <v/>
      </c>
      <c r="J2001" s="17" t="str">
        <f aca="false">IF(A2001="","",IF(COUNTIF(Emplacements!$A$2:$A$1001,A2001)=0,"⚠ emplacement inconnu","OK"))</f>
        <v/>
      </c>
      <c r="K2001" s="22" t="str">
        <f aca="false">IF(AND(B2001&lt;&gt;"",ISNUMBER(SEARCH(Recherche!$C$3,C2001&amp;" "&amp;B2001&amp;" "&amp;A2001&amp;" "&amp;D2001))),MAX($K$1:K2000)+1,"")</f>
        <v/>
      </c>
    </row>
  </sheetData>
  <autoFilter ref="A1:K2001"/>
  <conditionalFormatting sqref="I2:I2001">
    <cfRule type="expression" priority="2" aboveAverage="0" equalAverage="0" bottom="0" percent="0" rank="0" text="" dxfId="7">
      <formula>ISNUMBER(FIND("PÉRIMÉ",I2))</formula>
    </cfRule>
    <cfRule type="expression" priority="3" aboveAverage="0" equalAverage="0" bottom="0" percent="0" rank="0" text="" dxfId="11">
      <formula>ISNUMBER(FIND("quarantaine",I2))</formula>
    </cfRule>
    <cfRule type="expression" priority="4" aboveAverage="0" equalAverage="0" bottom="0" percent="0" rank="0" text="" dxfId="12">
      <formula>ISNUMBER(FIND("Péremption",I2))</formula>
    </cfRule>
  </conditionalFormatting>
  <conditionalFormatting sqref="J2:J2001">
    <cfRule type="expression" priority="5" aboveAverage="0" equalAverage="0" bottom="0" percent="0" rank="0" text="" dxfId="7">
      <formula>LEFT(J2,1)="⚠"</formula>
    </cfRule>
  </conditionalFormatting>
  <conditionalFormatting sqref="C2:C2001">
    <cfRule type="expression" priority="6" aboveAverage="0" equalAverage="0" bottom="0" percent="0" rank="0" text="" dxfId="7">
      <formula>LEFT(C2,1)="⚠"</formula>
    </cfRule>
  </conditionalFormatting>
  <dataValidations count="2">
    <dataValidation allowBlank="true" errorStyle="stop" operator="between" showDropDown="false" showErrorMessage="false" showInputMessage="false" sqref="A2:A2001" type="list">
      <formula1>Emplacements!$A$2:$A$1001</formula1>
      <formula2>0</formula2>
    </dataValidation>
    <dataValidation allowBlank="true" errorStyle="stop" operator="between" showDropDown="false" showErrorMessage="false" showInputMessage="false" sqref="B2:B2001" type="list">
      <formula1>Produits!$A$2:$A$1001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208</v>
      </c>
    </row>
    <row r="3" customFormat="false" ht="17.35" hidden="false" customHeight="false" outlineLevel="0" collapsed="false">
      <c r="A3" s="25" t="s">
        <v>209</v>
      </c>
      <c r="B3" s="25"/>
      <c r="C3" s="26" t="s">
        <v>210</v>
      </c>
      <c r="D3" s="27" t="str">
        <f aca="false">COUNT(Stock!$K$2:$K$2001)&amp;" ligne(s) trouvée(s)"</f>
        <v>2 ligne(s) trouvée(s)</v>
      </c>
    </row>
    <row r="4" customFormat="false" ht="15" hidden="false" customHeight="false" outlineLevel="0" collapsed="false">
      <c r="A4" s="28" t="s">
        <v>211</v>
      </c>
    </row>
    <row r="6" customFormat="false" ht="15" hidden="false" customHeight="false" outlineLevel="0" collapsed="false">
      <c r="A6" s="10" t="s">
        <v>212</v>
      </c>
      <c r="B6" s="10" t="s">
        <v>186</v>
      </c>
      <c r="C6" s="10" t="s">
        <v>187</v>
      </c>
      <c r="D6" s="10" t="s">
        <v>108</v>
      </c>
      <c r="E6" s="10" t="s">
        <v>188</v>
      </c>
      <c r="F6" s="10" t="s">
        <v>213</v>
      </c>
      <c r="G6" s="10" t="s">
        <v>214</v>
      </c>
      <c r="H6" s="10" t="s">
        <v>193</v>
      </c>
    </row>
    <row r="7" customFormat="false" ht="15" hidden="false" customHeight="false" outlineLevel="0" collapsed="false">
      <c r="A7" s="29" t="n">
        <v>1</v>
      </c>
      <c r="B7" s="30" t="str">
        <f aca="false">IFERROR(INDEX(Stock!$A$2:$A$2001,MATCH($A7,Stock!$K$2:$K$2001,0))&amp;"","")</f>
        <v>A01-1-02</v>
      </c>
      <c r="C7" s="31" t="str">
        <f aca="false">IFERROR(INDEX(Stock!$C$2:$C$2001,MATCH($A7,Stock!$K$2:$K$2001,0))&amp;"","")</f>
        <v>Amoxicilline 500 mg gélule</v>
      </c>
      <c r="D7" s="31" t="str">
        <f aca="false">IFERROR(INDEX(Stock!$B$2:$B$2001,MATCH($A7,Stock!$K$2:$K$2001,0))&amp;"","")</f>
        <v>EX-0002</v>
      </c>
      <c r="E7" s="31" t="str">
        <f aca="false">IFERROR(INDEX(Stock!$D$2:$D$2001,MATCH($A7,Stock!$K$2:$K$2001,0))&amp;"","")</f>
        <v>AMX2311</v>
      </c>
      <c r="F7" s="32" t="n">
        <f aca="false">IFERROR(INDEX(Stock!$E$2:$E$2001,MATCH($A7,Stock!$K$2:$K$2001,0)),"")</f>
        <v>46387</v>
      </c>
      <c r="G7" s="33" t="n">
        <f aca="false">IFERROR(INDEX(Stock!$F$2:$F$2001,MATCH($A7,Stock!$K$2:$K$2001,0)),"")</f>
        <v>8000</v>
      </c>
      <c r="H7" s="31" t="str">
        <f aca="false">IFERROR(INDEX(Stock!$I$2:$I$2001,MATCH($A7,Stock!$K$2:$K$2001,0))&amp;"","")</f>
        <v>Péremption &lt; 3 mois</v>
      </c>
    </row>
    <row r="8" customFormat="false" ht="15" hidden="false" customHeight="false" outlineLevel="0" collapsed="false">
      <c r="A8" s="29" t="n">
        <v>2</v>
      </c>
      <c r="B8" s="30" t="str">
        <f aca="false">IFERROR(INDEX(Stock!$A$2:$A$2001,MATCH($A8,Stock!$K$2:$K$2001,0))&amp;"","")</f>
        <v>Q01-1-01</v>
      </c>
      <c r="C8" s="31" t="str">
        <f aca="false">IFERROR(INDEX(Stock!$C$2:$C$2001,MATCH($A8,Stock!$K$2:$K$2001,0))&amp;"","")</f>
        <v>Amoxicilline 500 mg gélule</v>
      </c>
      <c r="D8" s="31" t="str">
        <f aca="false">IFERROR(INDEX(Stock!$B$2:$B$2001,MATCH($A8,Stock!$K$2:$K$2001,0))&amp;"","")</f>
        <v>EX-0002</v>
      </c>
      <c r="E8" s="31" t="str">
        <f aca="false">IFERROR(INDEX(Stock!$D$2:$D$2001,MATCH($A8,Stock!$K$2:$K$2001,0))&amp;"","")</f>
        <v>AMX2209</v>
      </c>
      <c r="F8" s="32" t="n">
        <f aca="false">IFERROR(INDEX(Stock!$E$2:$E$2001,MATCH($A8,Stock!$K$2:$K$2001,0)),"")</f>
        <v>46265</v>
      </c>
      <c r="G8" s="33" t="n">
        <f aca="false">IFERROR(INDEX(Stock!$F$2:$F$2001,MATCH($A8,Stock!$K$2:$K$2001,0)),"")</f>
        <v>500</v>
      </c>
      <c r="H8" s="31" t="str">
        <f aca="false">IFERROR(INDEX(Stock!$I$2:$I$2001,MATCH($A8,Stock!$K$2:$K$2001,0))&amp;"","")</f>
        <v>Périmé (en quarantaine)</v>
      </c>
    </row>
    <row r="9" customFormat="false" ht="15" hidden="false" customHeight="false" outlineLevel="0" collapsed="false">
      <c r="A9" s="29" t="n">
        <v>3</v>
      </c>
      <c r="B9" s="30" t="str">
        <f aca="false">IFERROR(INDEX(Stock!$A$2:$A$2001,MATCH($A9,Stock!$K$2:$K$2001,0))&amp;"","")</f>
        <v/>
      </c>
      <c r="C9" s="31" t="str">
        <f aca="false">IFERROR(INDEX(Stock!$C$2:$C$2001,MATCH($A9,Stock!$K$2:$K$2001,0))&amp;"","")</f>
        <v/>
      </c>
      <c r="D9" s="31" t="str">
        <f aca="false">IFERROR(INDEX(Stock!$B$2:$B$2001,MATCH($A9,Stock!$K$2:$K$2001,0))&amp;"","")</f>
        <v/>
      </c>
      <c r="E9" s="31" t="str">
        <f aca="false">IFERROR(INDEX(Stock!$D$2:$D$2001,MATCH($A9,Stock!$K$2:$K$2001,0))&amp;"","")</f>
        <v/>
      </c>
      <c r="F9" s="32" t="str">
        <f aca="false">IFERROR(INDEX(Stock!$E$2:$E$2001,MATCH($A9,Stock!$K$2:$K$2001,0)),"")</f>
        <v/>
      </c>
      <c r="G9" s="33" t="str">
        <f aca="false">IFERROR(INDEX(Stock!$F$2:$F$2001,MATCH($A9,Stock!$K$2:$K$2001,0)),"")</f>
        <v/>
      </c>
      <c r="H9" s="31" t="str">
        <f aca="false">IFERROR(INDEX(Stock!$I$2:$I$2001,MATCH($A9,Stock!$K$2:$K$2001,0))&amp;"","")</f>
        <v/>
      </c>
    </row>
    <row r="10" customFormat="false" ht="15" hidden="false" customHeight="false" outlineLevel="0" collapsed="false">
      <c r="A10" s="29" t="n">
        <v>4</v>
      </c>
      <c r="B10" s="30" t="str">
        <f aca="false">IFERROR(INDEX(Stock!$A$2:$A$2001,MATCH($A10,Stock!$K$2:$K$2001,0))&amp;"","")</f>
        <v/>
      </c>
      <c r="C10" s="31" t="str">
        <f aca="false">IFERROR(INDEX(Stock!$C$2:$C$2001,MATCH($A10,Stock!$K$2:$K$2001,0))&amp;"","")</f>
        <v/>
      </c>
      <c r="D10" s="31" t="str">
        <f aca="false">IFERROR(INDEX(Stock!$B$2:$B$2001,MATCH($A10,Stock!$K$2:$K$2001,0))&amp;"","")</f>
        <v/>
      </c>
      <c r="E10" s="31" t="str">
        <f aca="false">IFERROR(INDEX(Stock!$D$2:$D$2001,MATCH($A10,Stock!$K$2:$K$2001,0))&amp;"","")</f>
        <v/>
      </c>
      <c r="F10" s="32" t="str">
        <f aca="false">IFERROR(INDEX(Stock!$E$2:$E$2001,MATCH($A10,Stock!$K$2:$K$2001,0)),"")</f>
        <v/>
      </c>
      <c r="G10" s="33" t="str">
        <f aca="false">IFERROR(INDEX(Stock!$F$2:$F$2001,MATCH($A10,Stock!$K$2:$K$2001,0)),"")</f>
        <v/>
      </c>
      <c r="H10" s="31" t="str">
        <f aca="false">IFERROR(INDEX(Stock!$I$2:$I$2001,MATCH($A10,Stock!$K$2:$K$2001,0))&amp;"","")</f>
        <v/>
      </c>
    </row>
    <row r="11" customFormat="false" ht="15" hidden="false" customHeight="false" outlineLevel="0" collapsed="false">
      <c r="A11" s="29" t="n">
        <v>5</v>
      </c>
      <c r="B11" s="30" t="str">
        <f aca="false">IFERROR(INDEX(Stock!$A$2:$A$2001,MATCH($A11,Stock!$K$2:$K$2001,0))&amp;"","")</f>
        <v/>
      </c>
      <c r="C11" s="31" t="str">
        <f aca="false">IFERROR(INDEX(Stock!$C$2:$C$2001,MATCH($A11,Stock!$K$2:$K$2001,0))&amp;"","")</f>
        <v/>
      </c>
      <c r="D11" s="31" t="str">
        <f aca="false">IFERROR(INDEX(Stock!$B$2:$B$2001,MATCH($A11,Stock!$K$2:$K$2001,0))&amp;"","")</f>
        <v/>
      </c>
      <c r="E11" s="31" t="str">
        <f aca="false">IFERROR(INDEX(Stock!$D$2:$D$2001,MATCH($A11,Stock!$K$2:$K$2001,0))&amp;"","")</f>
        <v/>
      </c>
      <c r="F11" s="32" t="str">
        <f aca="false">IFERROR(INDEX(Stock!$E$2:$E$2001,MATCH($A11,Stock!$K$2:$K$2001,0)),"")</f>
        <v/>
      </c>
      <c r="G11" s="33" t="str">
        <f aca="false">IFERROR(INDEX(Stock!$F$2:$F$2001,MATCH($A11,Stock!$K$2:$K$2001,0)),"")</f>
        <v/>
      </c>
      <c r="H11" s="31" t="str">
        <f aca="false">IFERROR(INDEX(Stock!$I$2:$I$2001,MATCH($A11,Stock!$K$2:$K$2001,0))&amp;"","")</f>
        <v/>
      </c>
    </row>
    <row r="12" customFormat="false" ht="15" hidden="false" customHeight="false" outlineLevel="0" collapsed="false">
      <c r="A12" s="29" t="n">
        <v>6</v>
      </c>
      <c r="B12" s="30" t="str">
        <f aca="false">IFERROR(INDEX(Stock!$A$2:$A$2001,MATCH($A12,Stock!$K$2:$K$2001,0))&amp;"","")</f>
        <v/>
      </c>
      <c r="C12" s="31" t="str">
        <f aca="false">IFERROR(INDEX(Stock!$C$2:$C$2001,MATCH($A12,Stock!$K$2:$K$2001,0))&amp;"","")</f>
        <v/>
      </c>
      <c r="D12" s="31" t="str">
        <f aca="false">IFERROR(INDEX(Stock!$B$2:$B$2001,MATCH($A12,Stock!$K$2:$K$2001,0))&amp;"","")</f>
        <v/>
      </c>
      <c r="E12" s="31" t="str">
        <f aca="false">IFERROR(INDEX(Stock!$D$2:$D$2001,MATCH($A12,Stock!$K$2:$K$2001,0))&amp;"","")</f>
        <v/>
      </c>
      <c r="F12" s="32" t="str">
        <f aca="false">IFERROR(INDEX(Stock!$E$2:$E$2001,MATCH($A12,Stock!$K$2:$K$2001,0)),"")</f>
        <v/>
      </c>
      <c r="G12" s="33" t="str">
        <f aca="false">IFERROR(INDEX(Stock!$F$2:$F$2001,MATCH($A12,Stock!$K$2:$K$2001,0)),"")</f>
        <v/>
      </c>
      <c r="H12" s="31" t="str">
        <f aca="false">IFERROR(INDEX(Stock!$I$2:$I$2001,MATCH($A12,Stock!$K$2:$K$2001,0))&amp;"","")</f>
        <v/>
      </c>
    </row>
    <row r="13" customFormat="false" ht="15" hidden="false" customHeight="false" outlineLevel="0" collapsed="false">
      <c r="A13" s="29" t="n">
        <v>7</v>
      </c>
      <c r="B13" s="30" t="str">
        <f aca="false">IFERROR(INDEX(Stock!$A$2:$A$2001,MATCH($A13,Stock!$K$2:$K$2001,0))&amp;"","")</f>
        <v/>
      </c>
      <c r="C13" s="31" t="str">
        <f aca="false">IFERROR(INDEX(Stock!$C$2:$C$2001,MATCH($A13,Stock!$K$2:$K$2001,0))&amp;"","")</f>
        <v/>
      </c>
      <c r="D13" s="31" t="str">
        <f aca="false">IFERROR(INDEX(Stock!$B$2:$B$2001,MATCH($A13,Stock!$K$2:$K$2001,0))&amp;"","")</f>
        <v/>
      </c>
      <c r="E13" s="31" t="str">
        <f aca="false">IFERROR(INDEX(Stock!$D$2:$D$2001,MATCH($A13,Stock!$K$2:$K$2001,0))&amp;"","")</f>
        <v/>
      </c>
      <c r="F13" s="32" t="str">
        <f aca="false">IFERROR(INDEX(Stock!$E$2:$E$2001,MATCH($A13,Stock!$K$2:$K$2001,0)),"")</f>
        <v/>
      </c>
      <c r="G13" s="33" t="str">
        <f aca="false">IFERROR(INDEX(Stock!$F$2:$F$2001,MATCH($A13,Stock!$K$2:$K$2001,0)),"")</f>
        <v/>
      </c>
      <c r="H13" s="31" t="str">
        <f aca="false">IFERROR(INDEX(Stock!$I$2:$I$2001,MATCH($A13,Stock!$K$2:$K$2001,0))&amp;"","")</f>
        <v/>
      </c>
    </row>
    <row r="14" customFormat="false" ht="15" hidden="false" customHeight="false" outlineLevel="0" collapsed="false">
      <c r="A14" s="29" t="n">
        <v>8</v>
      </c>
      <c r="B14" s="30" t="str">
        <f aca="false">IFERROR(INDEX(Stock!$A$2:$A$2001,MATCH($A14,Stock!$K$2:$K$2001,0))&amp;"","")</f>
        <v/>
      </c>
      <c r="C14" s="31" t="str">
        <f aca="false">IFERROR(INDEX(Stock!$C$2:$C$2001,MATCH($A14,Stock!$K$2:$K$2001,0))&amp;"","")</f>
        <v/>
      </c>
      <c r="D14" s="31" t="str">
        <f aca="false">IFERROR(INDEX(Stock!$B$2:$B$2001,MATCH($A14,Stock!$K$2:$K$2001,0))&amp;"","")</f>
        <v/>
      </c>
      <c r="E14" s="31" t="str">
        <f aca="false">IFERROR(INDEX(Stock!$D$2:$D$2001,MATCH($A14,Stock!$K$2:$K$2001,0))&amp;"","")</f>
        <v/>
      </c>
      <c r="F14" s="32" t="str">
        <f aca="false">IFERROR(INDEX(Stock!$E$2:$E$2001,MATCH($A14,Stock!$K$2:$K$2001,0)),"")</f>
        <v/>
      </c>
      <c r="G14" s="33" t="str">
        <f aca="false">IFERROR(INDEX(Stock!$F$2:$F$2001,MATCH($A14,Stock!$K$2:$K$2001,0)),"")</f>
        <v/>
      </c>
      <c r="H14" s="31" t="str">
        <f aca="false">IFERROR(INDEX(Stock!$I$2:$I$2001,MATCH($A14,Stock!$K$2:$K$2001,0))&amp;"","")</f>
        <v/>
      </c>
    </row>
    <row r="15" customFormat="false" ht="15" hidden="false" customHeight="false" outlineLevel="0" collapsed="false">
      <c r="A15" s="29" t="n">
        <v>9</v>
      </c>
      <c r="B15" s="30" t="str">
        <f aca="false">IFERROR(INDEX(Stock!$A$2:$A$2001,MATCH($A15,Stock!$K$2:$K$2001,0))&amp;"","")</f>
        <v/>
      </c>
      <c r="C15" s="31" t="str">
        <f aca="false">IFERROR(INDEX(Stock!$C$2:$C$2001,MATCH($A15,Stock!$K$2:$K$2001,0))&amp;"","")</f>
        <v/>
      </c>
      <c r="D15" s="31" t="str">
        <f aca="false">IFERROR(INDEX(Stock!$B$2:$B$2001,MATCH($A15,Stock!$K$2:$K$2001,0))&amp;"","")</f>
        <v/>
      </c>
      <c r="E15" s="31" t="str">
        <f aca="false">IFERROR(INDEX(Stock!$D$2:$D$2001,MATCH($A15,Stock!$K$2:$K$2001,0))&amp;"","")</f>
        <v/>
      </c>
      <c r="F15" s="32" t="str">
        <f aca="false">IFERROR(INDEX(Stock!$E$2:$E$2001,MATCH($A15,Stock!$K$2:$K$2001,0)),"")</f>
        <v/>
      </c>
      <c r="G15" s="33" t="str">
        <f aca="false">IFERROR(INDEX(Stock!$F$2:$F$2001,MATCH($A15,Stock!$K$2:$K$2001,0)),"")</f>
        <v/>
      </c>
      <c r="H15" s="31" t="str">
        <f aca="false">IFERROR(INDEX(Stock!$I$2:$I$2001,MATCH($A15,Stock!$K$2:$K$2001,0))&amp;"","")</f>
        <v/>
      </c>
    </row>
    <row r="16" customFormat="false" ht="15" hidden="false" customHeight="false" outlineLevel="0" collapsed="false">
      <c r="A16" s="29" t="n">
        <v>10</v>
      </c>
      <c r="B16" s="30" t="str">
        <f aca="false">IFERROR(INDEX(Stock!$A$2:$A$2001,MATCH($A16,Stock!$K$2:$K$2001,0))&amp;"","")</f>
        <v/>
      </c>
      <c r="C16" s="31" t="str">
        <f aca="false">IFERROR(INDEX(Stock!$C$2:$C$2001,MATCH($A16,Stock!$K$2:$K$2001,0))&amp;"","")</f>
        <v/>
      </c>
      <c r="D16" s="31" t="str">
        <f aca="false">IFERROR(INDEX(Stock!$B$2:$B$2001,MATCH($A16,Stock!$K$2:$K$2001,0))&amp;"","")</f>
        <v/>
      </c>
      <c r="E16" s="31" t="str">
        <f aca="false">IFERROR(INDEX(Stock!$D$2:$D$2001,MATCH($A16,Stock!$K$2:$K$2001,0))&amp;"","")</f>
        <v/>
      </c>
      <c r="F16" s="32" t="str">
        <f aca="false">IFERROR(INDEX(Stock!$E$2:$E$2001,MATCH($A16,Stock!$K$2:$K$2001,0)),"")</f>
        <v/>
      </c>
      <c r="G16" s="33" t="str">
        <f aca="false">IFERROR(INDEX(Stock!$F$2:$F$2001,MATCH($A16,Stock!$K$2:$K$2001,0)),"")</f>
        <v/>
      </c>
      <c r="H16" s="31" t="str">
        <f aca="false">IFERROR(INDEX(Stock!$I$2:$I$2001,MATCH($A16,Stock!$K$2:$K$2001,0))&amp;"","")</f>
        <v/>
      </c>
    </row>
    <row r="17" customFormat="false" ht="15" hidden="false" customHeight="false" outlineLevel="0" collapsed="false">
      <c r="A17" s="29" t="n">
        <v>11</v>
      </c>
      <c r="B17" s="30" t="str">
        <f aca="false">IFERROR(INDEX(Stock!$A$2:$A$2001,MATCH($A17,Stock!$K$2:$K$2001,0))&amp;"","")</f>
        <v/>
      </c>
      <c r="C17" s="31" t="str">
        <f aca="false">IFERROR(INDEX(Stock!$C$2:$C$2001,MATCH($A17,Stock!$K$2:$K$2001,0))&amp;"","")</f>
        <v/>
      </c>
      <c r="D17" s="31" t="str">
        <f aca="false">IFERROR(INDEX(Stock!$B$2:$B$2001,MATCH($A17,Stock!$K$2:$K$2001,0))&amp;"","")</f>
        <v/>
      </c>
      <c r="E17" s="31" t="str">
        <f aca="false">IFERROR(INDEX(Stock!$D$2:$D$2001,MATCH($A17,Stock!$K$2:$K$2001,0))&amp;"","")</f>
        <v/>
      </c>
      <c r="F17" s="32" t="str">
        <f aca="false">IFERROR(INDEX(Stock!$E$2:$E$2001,MATCH($A17,Stock!$K$2:$K$2001,0)),"")</f>
        <v/>
      </c>
      <c r="G17" s="33" t="str">
        <f aca="false">IFERROR(INDEX(Stock!$F$2:$F$2001,MATCH($A17,Stock!$K$2:$K$2001,0)),"")</f>
        <v/>
      </c>
      <c r="H17" s="31" t="str">
        <f aca="false">IFERROR(INDEX(Stock!$I$2:$I$2001,MATCH($A17,Stock!$K$2:$K$2001,0))&amp;"","")</f>
        <v/>
      </c>
    </row>
    <row r="18" customFormat="false" ht="15" hidden="false" customHeight="false" outlineLevel="0" collapsed="false">
      <c r="A18" s="29" t="n">
        <v>12</v>
      </c>
      <c r="B18" s="30" t="str">
        <f aca="false">IFERROR(INDEX(Stock!$A$2:$A$2001,MATCH($A18,Stock!$K$2:$K$2001,0))&amp;"","")</f>
        <v/>
      </c>
      <c r="C18" s="31" t="str">
        <f aca="false">IFERROR(INDEX(Stock!$C$2:$C$2001,MATCH($A18,Stock!$K$2:$K$2001,0))&amp;"","")</f>
        <v/>
      </c>
      <c r="D18" s="31" t="str">
        <f aca="false">IFERROR(INDEX(Stock!$B$2:$B$2001,MATCH($A18,Stock!$K$2:$K$2001,0))&amp;"","")</f>
        <v/>
      </c>
      <c r="E18" s="31" t="str">
        <f aca="false">IFERROR(INDEX(Stock!$D$2:$D$2001,MATCH($A18,Stock!$K$2:$K$2001,0))&amp;"","")</f>
        <v/>
      </c>
      <c r="F18" s="32" t="str">
        <f aca="false">IFERROR(INDEX(Stock!$E$2:$E$2001,MATCH($A18,Stock!$K$2:$K$2001,0)),"")</f>
        <v/>
      </c>
      <c r="G18" s="33" t="str">
        <f aca="false">IFERROR(INDEX(Stock!$F$2:$F$2001,MATCH($A18,Stock!$K$2:$K$2001,0)),"")</f>
        <v/>
      </c>
      <c r="H18" s="31" t="str">
        <f aca="false">IFERROR(INDEX(Stock!$I$2:$I$2001,MATCH($A18,Stock!$K$2:$K$2001,0))&amp;"","")</f>
        <v/>
      </c>
    </row>
    <row r="19" customFormat="false" ht="15" hidden="false" customHeight="false" outlineLevel="0" collapsed="false">
      <c r="A19" s="29" t="n">
        <v>13</v>
      </c>
      <c r="B19" s="30" t="str">
        <f aca="false">IFERROR(INDEX(Stock!$A$2:$A$2001,MATCH($A19,Stock!$K$2:$K$2001,0))&amp;"","")</f>
        <v/>
      </c>
      <c r="C19" s="31" t="str">
        <f aca="false">IFERROR(INDEX(Stock!$C$2:$C$2001,MATCH($A19,Stock!$K$2:$K$2001,0))&amp;"","")</f>
        <v/>
      </c>
      <c r="D19" s="31" t="str">
        <f aca="false">IFERROR(INDEX(Stock!$B$2:$B$2001,MATCH($A19,Stock!$K$2:$K$2001,0))&amp;"","")</f>
        <v/>
      </c>
      <c r="E19" s="31" t="str">
        <f aca="false">IFERROR(INDEX(Stock!$D$2:$D$2001,MATCH($A19,Stock!$K$2:$K$2001,0))&amp;"","")</f>
        <v/>
      </c>
      <c r="F19" s="32" t="str">
        <f aca="false">IFERROR(INDEX(Stock!$E$2:$E$2001,MATCH($A19,Stock!$K$2:$K$2001,0)),"")</f>
        <v/>
      </c>
      <c r="G19" s="33" t="str">
        <f aca="false">IFERROR(INDEX(Stock!$F$2:$F$2001,MATCH($A19,Stock!$K$2:$K$2001,0)),"")</f>
        <v/>
      </c>
      <c r="H19" s="31" t="str">
        <f aca="false">IFERROR(INDEX(Stock!$I$2:$I$2001,MATCH($A19,Stock!$K$2:$K$2001,0))&amp;"","")</f>
        <v/>
      </c>
    </row>
    <row r="20" customFormat="false" ht="15" hidden="false" customHeight="false" outlineLevel="0" collapsed="false">
      <c r="A20" s="29" t="n">
        <v>14</v>
      </c>
      <c r="B20" s="30" t="str">
        <f aca="false">IFERROR(INDEX(Stock!$A$2:$A$2001,MATCH($A20,Stock!$K$2:$K$2001,0))&amp;"","")</f>
        <v/>
      </c>
      <c r="C20" s="31" t="str">
        <f aca="false">IFERROR(INDEX(Stock!$C$2:$C$2001,MATCH($A20,Stock!$K$2:$K$2001,0))&amp;"","")</f>
        <v/>
      </c>
      <c r="D20" s="31" t="str">
        <f aca="false">IFERROR(INDEX(Stock!$B$2:$B$2001,MATCH($A20,Stock!$K$2:$K$2001,0))&amp;"","")</f>
        <v/>
      </c>
      <c r="E20" s="31" t="str">
        <f aca="false">IFERROR(INDEX(Stock!$D$2:$D$2001,MATCH($A20,Stock!$K$2:$K$2001,0))&amp;"","")</f>
        <v/>
      </c>
      <c r="F20" s="32" t="str">
        <f aca="false">IFERROR(INDEX(Stock!$E$2:$E$2001,MATCH($A20,Stock!$K$2:$K$2001,0)),"")</f>
        <v/>
      </c>
      <c r="G20" s="33" t="str">
        <f aca="false">IFERROR(INDEX(Stock!$F$2:$F$2001,MATCH($A20,Stock!$K$2:$K$2001,0)),"")</f>
        <v/>
      </c>
      <c r="H20" s="31" t="str">
        <f aca="false">IFERROR(INDEX(Stock!$I$2:$I$2001,MATCH($A20,Stock!$K$2:$K$2001,0))&amp;"","")</f>
        <v/>
      </c>
    </row>
    <row r="21" customFormat="false" ht="15" hidden="false" customHeight="false" outlineLevel="0" collapsed="false">
      <c r="A21" s="29" t="n">
        <v>15</v>
      </c>
      <c r="B21" s="30" t="str">
        <f aca="false">IFERROR(INDEX(Stock!$A$2:$A$2001,MATCH($A21,Stock!$K$2:$K$2001,0))&amp;"","")</f>
        <v/>
      </c>
      <c r="C21" s="31" t="str">
        <f aca="false">IFERROR(INDEX(Stock!$C$2:$C$2001,MATCH($A21,Stock!$K$2:$K$2001,0))&amp;"","")</f>
        <v/>
      </c>
      <c r="D21" s="31" t="str">
        <f aca="false">IFERROR(INDEX(Stock!$B$2:$B$2001,MATCH($A21,Stock!$K$2:$K$2001,0))&amp;"","")</f>
        <v/>
      </c>
      <c r="E21" s="31" t="str">
        <f aca="false">IFERROR(INDEX(Stock!$D$2:$D$2001,MATCH($A21,Stock!$K$2:$K$2001,0))&amp;"","")</f>
        <v/>
      </c>
      <c r="F21" s="32" t="str">
        <f aca="false">IFERROR(INDEX(Stock!$E$2:$E$2001,MATCH($A21,Stock!$K$2:$K$2001,0)),"")</f>
        <v/>
      </c>
      <c r="G21" s="33" t="str">
        <f aca="false">IFERROR(INDEX(Stock!$F$2:$F$2001,MATCH($A21,Stock!$K$2:$K$2001,0)),"")</f>
        <v/>
      </c>
      <c r="H21" s="31" t="str">
        <f aca="false">IFERROR(INDEX(Stock!$I$2:$I$2001,MATCH($A21,Stock!$K$2:$K$2001,0))&amp;"","")</f>
        <v/>
      </c>
    </row>
    <row r="22" customFormat="false" ht="15" hidden="false" customHeight="false" outlineLevel="0" collapsed="false">
      <c r="A22" s="29" t="n">
        <v>16</v>
      </c>
      <c r="B22" s="30" t="str">
        <f aca="false">IFERROR(INDEX(Stock!$A$2:$A$2001,MATCH($A22,Stock!$K$2:$K$2001,0))&amp;"","")</f>
        <v/>
      </c>
      <c r="C22" s="31" t="str">
        <f aca="false">IFERROR(INDEX(Stock!$C$2:$C$2001,MATCH($A22,Stock!$K$2:$K$2001,0))&amp;"","")</f>
        <v/>
      </c>
      <c r="D22" s="31" t="str">
        <f aca="false">IFERROR(INDEX(Stock!$B$2:$B$2001,MATCH($A22,Stock!$K$2:$K$2001,0))&amp;"","")</f>
        <v/>
      </c>
      <c r="E22" s="31" t="str">
        <f aca="false">IFERROR(INDEX(Stock!$D$2:$D$2001,MATCH($A22,Stock!$K$2:$K$2001,0))&amp;"","")</f>
        <v/>
      </c>
      <c r="F22" s="32" t="str">
        <f aca="false">IFERROR(INDEX(Stock!$E$2:$E$2001,MATCH($A22,Stock!$K$2:$K$2001,0)),"")</f>
        <v/>
      </c>
      <c r="G22" s="33" t="str">
        <f aca="false">IFERROR(INDEX(Stock!$F$2:$F$2001,MATCH($A22,Stock!$K$2:$K$2001,0)),"")</f>
        <v/>
      </c>
      <c r="H22" s="31" t="str">
        <f aca="false">IFERROR(INDEX(Stock!$I$2:$I$2001,MATCH($A22,Stock!$K$2:$K$2001,0))&amp;"","")</f>
        <v/>
      </c>
    </row>
    <row r="23" customFormat="false" ht="15" hidden="false" customHeight="false" outlineLevel="0" collapsed="false">
      <c r="A23" s="29" t="n">
        <v>17</v>
      </c>
      <c r="B23" s="30" t="str">
        <f aca="false">IFERROR(INDEX(Stock!$A$2:$A$2001,MATCH($A23,Stock!$K$2:$K$2001,0))&amp;"","")</f>
        <v/>
      </c>
      <c r="C23" s="31" t="str">
        <f aca="false">IFERROR(INDEX(Stock!$C$2:$C$2001,MATCH($A23,Stock!$K$2:$K$2001,0))&amp;"","")</f>
        <v/>
      </c>
      <c r="D23" s="31" t="str">
        <f aca="false">IFERROR(INDEX(Stock!$B$2:$B$2001,MATCH($A23,Stock!$K$2:$K$2001,0))&amp;"","")</f>
        <v/>
      </c>
      <c r="E23" s="31" t="str">
        <f aca="false">IFERROR(INDEX(Stock!$D$2:$D$2001,MATCH($A23,Stock!$K$2:$K$2001,0))&amp;"","")</f>
        <v/>
      </c>
      <c r="F23" s="32" t="str">
        <f aca="false">IFERROR(INDEX(Stock!$E$2:$E$2001,MATCH($A23,Stock!$K$2:$K$2001,0)),"")</f>
        <v/>
      </c>
      <c r="G23" s="33" t="str">
        <f aca="false">IFERROR(INDEX(Stock!$F$2:$F$2001,MATCH($A23,Stock!$K$2:$K$2001,0)),"")</f>
        <v/>
      </c>
      <c r="H23" s="31" t="str">
        <f aca="false">IFERROR(INDEX(Stock!$I$2:$I$2001,MATCH($A23,Stock!$K$2:$K$2001,0))&amp;"","")</f>
        <v/>
      </c>
    </row>
    <row r="24" customFormat="false" ht="15" hidden="false" customHeight="false" outlineLevel="0" collapsed="false">
      <c r="A24" s="29" t="n">
        <v>18</v>
      </c>
      <c r="B24" s="30" t="str">
        <f aca="false">IFERROR(INDEX(Stock!$A$2:$A$2001,MATCH($A24,Stock!$K$2:$K$2001,0))&amp;"","")</f>
        <v/>
      </c>
      <c r="C24" s="31" t="str">
        <f aca="false">IFERROR(INDEX(Stock!$C$2:$C$2001,MATCH($A24,Stock!$K$2:$K$2001,0))&amp;"","")</f>
        <v/>
      </c>
      <c r="D24" s="31" t="str">
        <f aca="false">IFERROR(INDEX(Stock!$B$2:$B$2001,MATCH($A24,Stock!$K$2:$K$2001,0))&amp;"","")</f>
        <v/>
      </c>
      <c r="E24" s="31" t="str">
        <f aca="false">IFERROR(INDEX(Stock!$D$2:$D$2001,MATCH($A24,Stock!$K$2:$K$2001,0))&amp;"","")</f>
        <v/>
      </c>
      <c r="F24" s="32" t="str">
        <f aca="false">IFERROR(INDEX(Stock!$E$2:$E$2001,MATCH($A24,Stock!$K$2:$K$2001,0)),"")</f>
        <v/>
      </c>
      <c r="G24" s="33" t="str">
        <f aca="false">IFERROR(INDEX(Stock!$F$2:$F$2001,MATCH($A24,Stock!$K$2:$K$2001,0)),"")</f>
        <v/>
      </c>
      <c r="H24" s="31" t="str">
        <f aca="false">IFERROR(INDEX(Stock!$I$2:$I$2001,MATCH($A24,Stock!$K$2:$K$2001,0))&amp;"","")</f>
        <v/>
      </c>
    </row>
    <row r="25" customFormat="false" ht="15" hidden="false" customHeight="false" outlineLevel="0" collapsed="false">
      <c r="A25" s="29" t="n">
        <v>19</v>
      </c>
      <c r="B25" s="30" t="str">
        <f aca="false">IFERROR(INDEX(Stock!$A$2:$A$2001,MATCH($A25,Stock!$K$2:$K$2001,0))&amp;"","")</f>
        <v/>
      </c>
      <c r="C25" s="31" t="str">
        <f aca="false">IFERROR(INDEX(Stock!$C$2:$C$2001,MATCH($A25,Stock!$K$2:$K$2001,0))&amp;"","")</f>
        <v/>
      </c>
      <c r="D25" s="31" t="str">
        <f aca="false">IFERROR(INDEX(Stock!$B$2:$B$2001,MATCH($A25,Stock!$K$2:$K$2001,0))&amp;"","")</f>
        <v/>
      </c>
      <c r="E25" s="31" t="str">
        <f aca="false">IFERROR(INDEX(Stock!$D$2:$D$2001,MATCH($A25,Stock!$K$2:$K$2001,0))&amp;"","")</f>
        <v/>
      </c>
      <c r="F25" s="32" t="str">
        <f aca="false">IFERROR(INDEX(Stock!$E$2:$E$2001,MATCH($A25,Stock!$K$2:$K$2001,0)),"")</f>
        <v/>
      </c>
      <c r="G25" s="33" t="str">
        <f aca="false">IFERROR(INDEX(Stock!$F$2:$F$2001,MATCH($A25,Stock!$K$2:$K$2001,0)),"")</f>
        <v/>
      </c>
      <c r="H25" s="31" t="str">
        <f aca="false">IFERROR(INDEX(Stock!$I$2:$I$2001,MATCH($A25,Stock!$K$2:$K$2001,0))&amp;"","")</f>
        <v/>
      </c>
    </row>
    <row r="26" customFormat="false" ht="15" hidden="false" customHeight="false" outlineLevel="0" collapsed="false">
      <c r="A26" s="29" t="n">
        <v>20</v>
      </c>
      <c r="B26" s="30" t="str">
        <f aca="false">IFERROR(INDEX(Stock!$A$2:$A$2001,MATCH($A26,Stock!$K$2:$K$2001,0))&amp;"","")</f>
        <v/>
      </c>
      <c r="C26" s="31" t="str">
        <f aca="false">IFERROR(INDEX(Stock!$C$2:$C$2001,MATCH($A26,Stock!$K$2:$K$2001,0))&amp;"","")</f>
        <v/>
      </c>
      <c r="D26" s="31" t="str">
        <f aca="false">IFERROR(INDEX(Stock!$B$2:$B$2001,MATCH($A26,Stock!$K$2:$K$2001,0))&amp;"","")</f>
        <v/>
      </c>
      <c r="E26" s="31" t="str">
        <f aca="false">IFERROR(INDEX(Stock!$D$2:$D$2001,MATCH($A26,Stock!$K$2:$K$2001,0))&amp;"","")</f>
        <v/>
      </c>
      <c r="F26" s="32" t="str">
        <f aca="false">IFERROR(INDEX(Stock!$E$2:$E$2001,MATCH($A26,Stock!$K$2:$K$2001,0)),"")</f>
        <v/>
      </c>
      <c r="G26" s="33" t="str">
        <f aca="false">IFERROR(INDEX(Stock!$F$2:$F$2001,MATCH($A26,Stock!$K$2:$K$2001,0)),"")</f>
        <v/>
      </c>
      <c r="H26" s="31" t="str">
        <f aca="false">IFERROR(INDEX(Stock!$I$2:$I$2001,MATCH($A26,Stock!$K$2:$K$2001,0))&amp;"","")</f>
        <v/>
      </c>
    </row>
    <row r="27" customFormat="false" ht="15" hidden="false" customHeight="false" outlineLevel="0" collapsed="false">
      <c r="A27" s="29" t="n">
        <v>21</v>
      </c>
      <c r="B27" s="30" t="str">
        <f aca="false">IFERROR(INDEX(Stock!$A$2:$A$2001,MATCH($A27,Stock!$K$2:$K$2001,0))&amp;"","")</f>
        <v/>
      </c>
      <c r="C27" s="31" t="str">
        <f aca="false">IFERROR(INDEX(Stock!$C$2:$C$2001,MATCH($A27,Stock!$K$2:$K$2001,0))&amp;"","")</f>
        <v/>
      </c>
      <c r="D27" s="31" t="str">
        <f aca="false">IFERROR(INDEX(Stock!$B$2:$B$2001,MATCH($A27,Stock!$K$2:$K$2001,0))&amp;"","")</f>
        <v/>
      </c>
      <c r="E27" s="31" t="str">
        <f aca="false">IFERROR(INDEX(Stock!$D$2:$D$2001,MATCH($A27,Stock!$K$2:$K$2001,0))&amp;"","")</f>
        <v/>
      </c>
      <c r="F27" s="32" t="str">
        <f aca="false">IFERROR(INDEX(Stock!$E$2:$E$2001,MATCH($A27,Stock!$K$2:$K$2001,0)),"")</f>
        <v/>
      </c>
      <c r="G27" s="33" t="str">
        <f aca="false">IFERROR(INDEX(Stock!$F$2:$F$2001,MATCH($A27,Stock!$K$2:$K$2001,0)),"")</f>
        <v/>
      </c>
      <c r="H27" s="31" t="str">
        <f aca="false">IFERROR(INDEX(Stock!$I$2:$I$2001,MATCH($A27,Stock!$K$2:$K$2001,0))&amp;"","")</f>
        <v/>
      </c>
    </row>
    <row r="28" customFormat="false" ht="15" hidden="false" customHeight="false" outlineLevel="0" collapsed="false">
      <c r="A28" s="29" t="n">
        <v>22</v>
      </c>
      <c r="B28" s="30" t="str">
        <f aca="false">IFERROR(INDEX(Stock!$A$2:$A$2001,MATCH($A28,Stock!$K$2:$K$2001,0))&amp;"","")</f>
        <v/>
      </c>
      <c r="C28" s="31" t="str">
        <f aca="false">IFERROR(INDEX(Stock!$C$2:$C$2001,MATCH($A28,Stock!$K$2:$K$2001,0))&amp;"","")</f>
        <v/>
      </c>
      <c r="D28" s="31" t="str">
        <f aca="false">IFERROR(INDEX(Stock!$B$2:$B$2001,MATCH($A28,Stock!$K$2:$K$2001,0))&amp;"","")</f>
        <v/>
      </c>
      <c r="E28" s="31" t="str">
        <f aca="false">IFERROR(INDEX(Stock!$D$2:$D$2001,MATCH($A28,Stock!$K$2:$K$2001,0))&amp;"","")</f>
        <v/>
      </c>
      <c r="F28" s="32" t="str">
        <f aca="false">IFERROR(INDEX(Stock!$E$2:$E$2001,MATCH($A28,Stock!$K$2:$K$2001,0)),"")</f>
        <v/>
      </c>
      <c r="G28" s="33" t="str">
        <f aca="false">IFERROR(INDEX(Stock!$F$2:$F$2001,MATCH($A28,Stock!$K$2:$K$2001,0)),"")</f>
        <v/>
      </c>
      <c r="H28" s="31" t="str">
        <f aca="false">IFERROR(INDEX(Stock!$I$2:$I$2001,MATCH($A28,Stock!$K$2:$K$2001,0))&amp;"","")</f>
        <v/>
      </c>
    </row>
    <row r="29" customFormat="false" ht="15" hidden="false" customHeight="false" outlineLevel="0" collapsed="false">
      <c r="A29" s="29" t="n">
        <v>23</v>
      </c>
      <c r="B29" s="30" t="str">
        <f aca="false">IFERROR(INDEX(Stock!$A$2:$A$2001,MATCH($A29,Stock!$K$2:$K$2001,0))&amp;"","")</f>
        <v/>
      </c>
      <c r="C29" s="31" t="str">
        <f aca="false">IFERROR(INDEX(Stock!$C$2:$C$2001,MATCH($A29,Stock!$K$2:$K$2001,0))&amp;"","")</f>
        <v/>
      </c>
      <c r="D29" s="31" t="str">
        <f aca="false">IFERROR(INDEX(Stock!$B$2:$B$2001,MATCH($A29,Stock!$K$2:$K$2001,0))&amp;"","")</f>
        <v/>
      </c>
      <c r="E29" s="31" t="str">
        <f aca="false">IFERROR(INDEX(Stock!$D$2:$D$2001,MATCH($A29,Stock!$K$2:$K$2001,0))&amp;"","")</f>
        <v/>
      </c>
      <c r="F29" s="32" t="str">
        <f aca="false">IFERROR(INDEX(Stock!$E$2:$E$2001,MATCH($A29,Stock!$K$2:$K$2001,0)),"")</f>
        <v/>
      </c>
      <c r="G29" s="33" t="str">
        <f aca="false">IFERROR(INDEX(Stock!$F$2:$F$2001,MATCH($A29,Stock!$K$2:$K$2001,0)),"")</f>
        <v/>
      </c>
      <c r="H29" s="31" t="str">
        <f aca="false">IFERROR(INDEX(Stock!$I$2:$I$2001,MATCH($A29,Stock!$K$2:$K$2001,0))&amp;"","")</f>
        <v/>
      </c>
    </row>
    <row r="30" customFormat="false" ht="15" hidden="false" customHeight="false" outlineLevel="0" collapsed="false">
      <c r="A30" s="29" t="n">
        <v>24</v>
      </c>
      <c r="B30" s="30" t="str">
        <f aca="false">IFERROR(INDEX(Stock!$A$2:$A$2001,MATCH($A30,Stock!$K$2:$K$2001,0))&amp;"","")</f>
        <v/>
      </c>
      <c r="C30" s="31" t="str">
        <f aca="false">IFERROR(INDEX(Stock!$C$2:$C$2001,MATCH($A30,Stock!$K$2:$K$2001,0))&amp;"","")</f>
        <v/>
      </c>
      <c r="D30" s="31" t="str">
        <f aca="false">IFERROR(INDEX(Stock!$B$2:$B$2001,MATCH($A30,Stock!$K$2:$K$2001,0))&amp;"","")</f>
        <v/>
      </c>
      <c r="E30" s="31" t="str">
        <f aca="false">IFERROR(INDEX(Stock!$D$2:$D$2001,MATCH($A30,Stock!$K$2:$K$2001,0))&amp;"","")</f>
        <v/>
      </c>
      <c r="F30" s="32" t="str">
        <f aca="false">IFERROR(INDEX(Stock!$E$2:$E$2001,MATCH($A30,Stock!$K$2:$K$2001,0)),"")</f>
        <v/>
      </c>
      <c r="G30" s="33" t="str">
        <f aca="false">IFERROR(INDEX(Stock!$F$2:$F$2001,MATCH($A30,Stock!$K$2:$K$2001,0)),"")</f>
        <v/>
      </c>
      <c r="H30" s="31" t="str">
        <f aca="false">IFERROR(INDEX(Stock!$I$2:$I$2001,MATCH($A30,Stock!$K$2:$K$2001,0))&amp;"","")</f>
        <v/>
      </c>
    </row>
    <row r="31" customFormat="false" ht="15" hidden="false" customHeight="false" outlineLevel="0" collapsed="false">
      <c r="A31" s="29" t="n">
        <v>25</v>
      </c>
      <c r="B31" s="30" t="str">
        <f aca="false">IFERROR(INDEX(Stock!$A$2:$A$2001,MATCH($A31,Stock!$K$2:$K$2001,0))&amp;"","")</f>
        <v/>
      </c>
      <c r="C31" s="31" t="str">
        <f aca="false">IFERROR(INDEX(Stock!$C$2:$C$2001,MATCH($A31,Stock!$K$2:$K$2001,0))&amp;"","")</f>
        <v/>
      </c>
      <c r="D31" s="31" t="str">
        <f aca="false">IFERROR(INDEX(Stock!$B$2:$B$2001,MATCH($A31,Stock!$K$2:$K$2001,0))&amp;"","")</f>
        <v/>
      </c>
      <c r="E31" s="31" t="str">
        <f aca="false">IFERROR(INDEX(Stock!$D$2:$D$2001,MATCH($A31,Stock!$K$2:$K$2001,0))&amp;"","")</f>
        <v/>
      </c>
      <c r="F31" s="32" t="str">
        <f aca="false">IFERROR(INDEX(Stock!$E$2:$E$2001,MATCH($A31,Stock!$K$2:$K$2001,0)),"")</f>
        <v/>
      </c>
      <c r="G31" s="33" t="str">
        <f aca="false">IFERROR(INDEX(Stock!$F$2:$F$2001,MATCH($A31,Stock!$K$2:$K$2001,0)),"")</f>
        <v/>
      </c>
      <c r="H31" s="31" t="str">
        <f aca="false">IFERROR(INDEX(Stock!$I$2:$I$2001,MATCH($A31,Stock!$K$2:$K$2001,0))&amp;"","")</f>
        <v/>
      </c>
    </row>
    <row r="32" customFormat="false" ht="15" hidden="false" customHeight="false" outlineLevel="0" collapsed="false">
      <c r="A32" s="29" t="n">
        <v>26</v>
      </c>
      <c r="B32" s="30" t="str">
        <f aca="false">IFERROR(INDEX(Stock!$A$2:$A$2001,MATCH($A32,Stock!$K$2:$K$2001,0))&amp;"","")</f>
        <v/>
      </c>
      <c r="C32" s="31" t="str">
        <f aca="false">IFERROR(INDEX(Stock!$C$2:$C$2001,MATCH($A32,Stock!$K$2:$K$2001,0))&amp;"","")</f>
        <v/>
      </c>
      <c r="D32" s="31" t="str">
        <f aca="false">IFERROR(INDEX(Stock!$B$2:$B$2001,MATCH($A32,Stock!$K$2:$K$2001,0))&amp;"","")</f>
        <v/>
      </c>
      <c r="E32" s="31" t="str">
        <f aca="false">IFERROR(INDEX(Stock!$D$2:$D$2001,MATCH($A32,Stock!$K$2:$K$2001,0))&amp;"","")</f>
        <v/>
      </c>
      <c r="F32" s="32" t="str">
        <f aca="false">IFERROR(INDEX(Stock!$E$2:$E$2001,MATCH($A32,Stock!$K$2:$K$2001,0)),"")</f>
        <v/>
      </c>
      <c r="G32" s="33" t="str">
        <f aca="false">IFERROR(INDEX(Stock!$F$2:$F$2001,MATCH($A32,Stock!$K$2:$K$2001,0)),"")</f>
        <v/>
      </c>
      <c r="H32" s="31" t="str">
        <f aca="false">IFERROR(INDEX(Stock!$I$2:$I$2001,MATCH($A32,Stock!$K$2:$K$2001,0))&amp;"","")</f>
        <v/>
      </c>
    </row>
    <row r="33" customFormat="false" ht="15" hidden="false" customHeight="false" outlineLevel="0" collapsed="false">
      <c r="A33" s="29" t="n">
        <v>27</v>
      </c>
      <c r="B33" s="30" t="str">
        <f aca="false">IFERROR(INDEX(Stock!$A$2:$A$2001,MATCH($A33,Stock!$K$2:$K$2001,0))&amp;"","")</f>
        <v/>
      </c>
      <c r="C33" s="31" t="str">
        <f aca="false">IFERROR(INDEX(Stock!$C$2:$C$2001,MATCH($A33,Stock!$K$2:$K$2001,0))&amp;"","")</f>
        <v/>
      </c>
      <c r="D33" s="31" t="str">
        <f aca="false">IFERROR(INDEX(Stock!$B$2:$B$2001,MATCH($A33,Stock!$K$2:$K$2001,0))&amp;"","")</f>
        <v/>
      </c>
      <c r="E33" s="31" t="str">
        <f aca="false">IFERROR(INDEX(Stock!$D$2:$D$2001,MATCH($A33,Stock!$K$2:$K$2001,0))&amp;"","")</f>
        <v/>
      </c>
      <c r="F33" s="32" t="str">
        <f aca="false">IFERROR(INDEX(Stock!$E$2:$E$2001,MATCH($A33,Stock!$K$2:$K$2001,0)),"")</f>
        <v/>
      </c>
      <c r="G33" s="33" t="str">
        <f aca="false">IFERROR(INDEX(Stock!$F$2:$F$2001,MATCH($A33,Stock!$K$2:$K$2001,0)),"")</f>
        <v/>
      </c>
      <c r="H33" s="31" t="str">
        <f aca="false">IFERROR(INDEX(Stock!$I$2:$I$2001,MATCH($A33,Stock!$K$2:$K$2001,0))&amp;"","")</f>
        <v/>
      </c>
    </row>
    <row r="34" customFormat="false" ht="15" hidden="false" customHeight="false" outlineLevel="0" collapsed="false">
      <c r="A34" s="29" t="n">
        <v>28</v>
      </c>
      <c r="B34" s="30" t="str">
        <f aca="false">IFERROR(INDEX(Stock!$A$2:$A$2001,MATCH($A34,Stock!$K$2:$K$2001,0))&amp;"","")</f>
        <v/>
      </c>
      <c r="C34" s="31" t="str">
        <f aca="false">IFERROR(INDEX(Stock!$C$2:$C$2001,MATCH($A34,Stock!$K$2:$K$2001,0))&amp;"","")</f>
        <v/>
      </c>
      <c r="D34" s="31" t="str">
        <f aca="false">IFERROR(INDEX(Stock!$B$2:$B$2001,MATCH($A34,Stock!$K$2:$K$2001,0))&amp;"","")</f>
        <v/>
      </c>
      <c r="E34" s="31" t="str">
        <f aca="false">IFERROR(INDEX(Stock!$D$2:$D$2001,MATCH($A34,Stock!$K$2:$K$2001,0))&amp;"","")</f>
        <v/>
      </c>
      <c r="F34" s="32" t="str">
        <f aca="false">IFERROR(INDEX(Stock!$E$2:$E$2001,MATCH($A34,Stock!$K$2:$K$2001,0)),"")</f>
        <v/>
      </c>
      <c r="G34" s="33" t="str">
        <f aca="false">IFERROR(INDEX(Stock!$F$2:$F$2001,MATCH($A34,Stock!$K$2:$K$2001,0)),"")</f>
        <v/>
      </c>
      <c r="H34" s="31" t="str">
        <f aca="false">IFERROR(INDEX(Stock!$I$2:$I$2001,MATCH($A34,Stock!$K$2:$K$2001,0))&amp;"","")</f>
        <v/>
      </c>
    </row>
    <row r="35" customFormat="false" ht="15" hidden="false" customHeight="false" outlineLevel="0" collapsed="false">
      <c r="A35" s="29" t="n">
        <v>29</v>
      </c>
      <c r="B35" s="30" t="str">
        <f aca="false">IFERROR(INDEX(Stock!$A$2:$A$2001,MATCH($A35,Stock!$K$2:$K$2001,0))&amp;"","")</f>
        <v/>
      </c>
      <c r="C35" s="31" t="str">
        <f aca="false">IFERROR(INDEX(Stock!$C$2:$C$2001,MATCH($A35,Stock!$K$2:$K$2001,0))&amp;"","")</f>
        <v/>
      </c>
      <c r="D35" s="31" t="str">
        <f aca="false">IFERROR(INDEX(Stock!$B$2:$B$2001,MATCH($A35,Stock!$K$2:$K$2001,0))&amp;"","")</f>
        <v/>
      </c>
      <c r="E35" s="31" t="str">
        <f aca="false">IFERROR(INDEX(Stock!$D$2:$D$2001,MATCH($A35,Stock!$K$2:$K$2001,0))&amp;"","")</f>
        <v/>
      </c>
      <c r="F35" s="32" t="str">
        <f aca="false">IFERROR(INDEX(Stock!$E$2:$E$2001,MATCH($A35,Stock!$K$2:$K$2001,0)),"")</f>
        <v/>
      </c>
      <c r="G35" s="33" t="str">
        <f aca="false">IFERROR(INDEX(Stock!$F$2:$F$2001,MATCH($A35,Stock!$K$2:$K$2001,0)),"")</f>
        <v/>
      </c>
      <c r="H35" s="31" t="str">
        <f aca="false">IFERROR(INDEX(Stock!$I$2:$I$2001,MATCH($A35,Stock!$K$2:$K$2001,0))&amp;"","")</f>
        <v/>
      </c>
    </row>
    <row r="36" customFormat="false" ht="15" hidden="false" customHeight="false" outlineLevel="0" collapsed="false">
      <c r="A36" s="29" t="n">
        <v>30</v>
      </c>
      <c r="B36" s="30" t="str">
        <f aca="false">IFERROR(INDEX(Stock!$A$2:$A$2001,MATCH($A36,Stock!$K$2:$K$2001,0))&amp;"","")</f>
        <v/>
      </c>
      <c r="C36" s="31" t="str">
        <f aca="false">IFERROR(INDEX(Stock!$C$2:$C$2001,MATCH($A36,Stock!$K$2:$K$2001,0))&amp;"","")</f>
        <v/>
      </c>
      <c r="D36" s="31" t="str">
        <f aca="false">IFERROR(INDEX(Stock!$B$2:$B$2001,MATCH($A36,Stock!$K$2:$K$2001,0))&amp;"","")</f>
        <v/>
      </c>
      <c r="E36" s="31" t="str">
        <f aca="false">IFERROR(INDEX(Stock!$D$2:$D$2001,MATCH($A36,Stock!$K$2:$K$2001,0))&amp;"","")</f>
        <v/>
      </c>
      <c r="F36" s="32" t="str">
        <f aca="false">IFERROR(INDEX(Stock!$E$2:$E$2001,MATCH($A36,Stock!$K$2:$K$2001,0)),"")</f>
        <v/>
      </c>
      <c r="G36" s="33" t="str">
        <f aca="false">IFERROR(INDEX(Stock!$F$2:$F$2001,MATCH($A36,Stock!$K$2:$K$2001,0)),"")</f>
        <v/>
      </c>
      <c r="H36" s="31" t="str">
        <f aca="false">IFERROR(INDEX(Stock!$I$2:$I$2001,MATCH($A36,Stock!$K$2:$K$2001,0))&amp;"","")</f>
        <v/>
      </c>
    </row>
    <row r="37" customFormat="false" ht="15" hidden="false" customHeight="false" outlineLevel="0" collapsed="false">
      <c r="A37" s="29" t="n">
        <v>31</v>
      </c>
      <c r="B37" s="30" t="str">
        <f aca="false">IFERROR(INDEX(Stock!$A$2:$A$2001,MATCH($A37,Stock!$K$2:$K$2001,0))&amp;"","")</f>
        <v/>
      </c>
      <c r="C37" s="31" t="str">
        <f aca="false">IFERROR(INDEX(Stock!$C$2:$C$2001,MATCH($A37,Stock!$K$2:$K$2001,0))&amp;"","")</f>
        <v/>
      </c>
      <c r="D37" s="31" t="str">
        <f aca="false">IFERROR(INDEX(Stock!$B$2:$B$2001,MATCH($A37,Stock!$K$2:$K$2001,0))&amp;"","")</f>
        <v/>
      </c>
      <c r="E37" s="31" t="str">
        <f aca="false">IFERROR(INDEX(Stock!$D$2:$D$2001,MATCH($A37,Stock!$K$2:$K$2001,0))&amp;"","")</f>
        <v/>
      </c>
      <c r="F37" s="32" t="str">
        <f aca="false">IFERROR(INDEX(Stock!$E$2:$E$2001,MATCH($A37,Stock!$K$2:$K$2001,0)),"")</f>
        <v/>
      </c>
      <c r="G37" s="33" t="str">
        <f aca="false">IFERROR(INDEX(Stock!$F$2:$F$2001,MATCH($A37,Stock!$K$2:$K$2001,0)),"")</f>
        <v/>
      </c>
      <c r="H37" s="31" t="str">
        <f aca="false">IFERROR(INDEX(Stock!$I$2:$I$2001,MATCH($A37,Stock!$K$2:$K$2001,0))&amp;"","")</f>
        <v/>
      </c>
    </row>
    <row r="38" customFormat="false" ht="15" hidden="false" customHeight="false" outlineLevel="0" collapsed="false">
      <c r="A38" s="29" t="n">
        <v>32</v>
      </c>
      <c r="B38" s="30" t="str">
        <f aca="false">IFERROR(INDEX(Stock!$A$2:$A$2001,MATCH($A38,Stock!$K$2:$K$2001,0))&amp;"","")</f>
        <v/>
      </c>
      <c r="C38" s="31" t="str">
        <f aca="false">IFERROR(INDEX(Stock!$C$2:$C$2001,MATCH($A38,Stock!$K$2:$K$2001,0))&amp;"","")</f>
        <v/>
      </c>
      <c r="D38" s="31" t="str">
        <f aca="false">IFERROR(INDEX(Stock!$B$2:$B$2001,MATCH($A38,Stock!$K$2:$K$2001,0))&amp;"","")</f>
        <v/>
      </c>
      <c r="E38" s="31" t="str">
        <f aca="false">IFERROR(INDEX(Stock!$D$2:$D$2001,MATCH($A38,Stock!$K$2:$K$2001,0))&amp;"","")</f>
        <v/>
      </c>
      <c r="F38" s="32" t="str">
        <f aca="false">IFERROR(INDEX(Stock!$E$2:$E$2001,MATCH($A38,Stock!$K$2:$K$2001,0)),"")</f>
        <v/>
      </c>
      <c r="G38" s="33" t="str">
        <f aca="false">IFERROR(INDEX(Stock!$F$2:$F$2001,MATCH($A38,Stock!$K$2:$K$2001,0)),"")</f>
        <v/>
      </c>
      <c r="H38" s="31" t="str">
        <f aca="false">IFERROR(INDEX(Stock!$I$2:$I$2001,MATCH($A38,Stock!$K$2:$K$2001,0))&amp;"","")</f>
        <v/>
      </c>
    </row>
    <row r="39" customFormat="false" ht="15" hidden="false" customHeight="false" outlineLevel="0" collapsed="false">
      <c r="A39" s="29" t="n">
        <v>33</v>
      </c>
      <c r="B39" s="30" t="str">
        <f aca="false">IFERROR(INDEX(Stock!$A$2:$A$2001,MATCH($A39,Stock!$K$2:$K$2001,0))&amp;"","")</f>
        <v/>
      </c>
      <c r="C39" s="31" t="str">
        <f aca="false">IFERROR(INDEX(Stock!$C$2:$C$2001,MATCH($A39,Stock!$K$2:$K$2001,0))&amp;"","")</f>
        <v/>
      </c>
      <c r="D39" s="31" t="str">
        <f aca="false">IFERROR(INDEX(Stock!$B$2:$B$2001,MATCH($A39,Stock!$K$2:$K$2001,0))&amp;"","")</f>
        <v/>
      </c>
      <c r="E39" s="31" t="str">
        <f aca="false">IFERROR(INDEX(Stock!$D$2:$D$2001,MATCH($A39,Stock!$K$2:$K$2001,0))&amp;"","")</f>
        <v/>
      </c>
      <c r="F39" s="32" t="str">
        <f aca="false">IFERROR(INDEX(Stock!$E$2:$E$2001,MATCH($A39,Stock!$K$2:$K$2001,0)),"")</f>
        <v/>
      </c>
      <c r="G39" s="33" t="str">
        <f aca="false">IFERROR(INDEX(Stock!$F$2:$F$2001,MATCH($A39,Stock!$K$2:$K$2001,0)),"")</f>
        <v/>
      </c>
      <c r="H39" s="31" t="str">
        <f aca="false">IFERROR(INDEX(Stock!$I$2:$I$2001,MATCH($A39,Stock!$K$2:$K$2001,0))&amp;"","")</f>
        <v/>
      </c>
    </row>
    <row r="40" customFormat="false" ht="15" hidden="false" customHeight="false" outlineLevel="0" collapsed="false">
      <c r="A40" s="29" t="n">
        <v>34</v>
      </c>
      <c r="B40" s="30" t="str">
        <f aca="false">IFERROR(INDEX(Stock!$A$2:$A$2001,MATCH($A40,Stock!$K$2:$K$2001,0))&amp;"","")</f>
        <v/>
      </c>
      <c r="C40" s="31" t="str">
        <f aca="false">IFERROR(INDEX(Stock!$C$2:$C$2001,MATCH($A40,Stock!$K$2:$K$2001,0))&amp;"","")</f>
        <v/>
      </c>
      <c r="D40" s="31" t="str">
        <f aca="false">IFERROR(INDEX(Stock!$B$2:$B$2001,MATCH($A40,Stock!$K$2:$K$2001,0))&amp;"","")</f>
        <v/>
      </c>
      <c r="E40" s="31" t="str">
        <f aca="false">IFERROR(INDEX(Stock!$D$2:$D$2001,MATCH($A40,Stock!$K$2:$K$2001,0))&amp;"","")</f>
        <v/>
      </c>
      <c r="F40" s="32" t="str">
        <f aca="false">IFERROR(INDEX(Stock!$E$2:$E$2001,MATCH($A40,Stock!$K$2:$K$2001,0)),"")</f>
        <v/>
      </c>
      <c r="G40" s="33" t="str">
        <f aca="false">IFERROR(INDEX(Stock!$F$2:$F$2001,MATCH($A40,Stock!$K$2:$K$2001,0)),"")</f>
        <v/>
      </c>
      <c r="H40" s="31" t="str">
        <f aca="false">IFERROR(INDEX(Stock!$I$2:$I$2001,MATCH($A40,Stock!$K$2:$K$2001,0))&amp;"","")</f>
        <v/>
      </c>
    </row>
    <row r="41" customFormat="false" ht="15" hidden="false" customHeight="false" outlineLevel="0" collapsed="false">
      <c r="A41" s="29" t="n">
        <v>35</v>
      </c>
      <c r="B41" s="30" t="str">
        <f aca="false">IFERROR(INDEX(Stock!$A$2:$A$2001,MATCH($A41,Stock!$K$2:$K$2001,0))&amp;"","")</f>
        <v/>
      </c>
      <c r="C41" s="31" t="str">
        <f aca="false">IFERROR(INDEX(Stock!$C$2:$C$2001,MATCH($A41,Stock!$K$2:$K$2001,0))&amp;"","")</f>
        <v/>
      </c>
      <c r="D41" s="31" t="str">
        <f aca="false">IFERROR(INDEX(Stock!$B$2:$B$2001,MATCH($A41,Stock!$K$2:$K$2001,0))&amp;"","")</f>
        <v/>
      </c>
      <c r="E41" s="31" t="str">
        <f aca="false">IFERROR(INDEX(Stock!$D$2:$D$2001,MATCH($A41,Stock!$K$2:$K$2001,0))&amp;"","")</f>
        <v/>
      </c>
      <c r="F41" s="32" t="str">
        <f aca="false">IFERROR(INDEX(Stock!$E$2:$E$2001,MATCH($A41,Stock!$K$2:$K$2001,0)),"")</f>
        <v/>
      </c>
      <c r="G41" s="33" t="str">
        <f aca="false">IFERROR(INDEX(Stock!$F$2:$F$2001,MATCH($A41,Stock!$K$2:$K$2001,0)),"")</f>
        <v/>
      </c>
      <c r="H41" s="31" t="str">
        <f aca="false">IFERROR(INDEX(Stock!$I$2:$I$2001,MATCH($A41,Stock!$K$2:$K$2001,0))&amp;"","")</f>
        <v/>
      </c>
    </row>
    <row r="42" customFormat="false" ht="15" hidden="false" customHeight="false" outlineLevel="0" collapsed="false">
      <c r="A42" s="29" t="n">
        <v>36</v>
      </c>
      <c r="B42" s="30" t="str">
        <f aca="false">IFERROR(INDEX(Stock!$A$2:$A$2001,MATCH($A42,Stock!$K$2:$K$2001,0))&amp;"","")</f>
        <v/>
      </c>
      <c r="C42" s="31" t="str">
        <f aca="false">IFERROR(INDEX(Stock!$C$2:$C$2001,MATCH($A42,Stock!$K$2:$K$2001,0))&amp;"","")</f>
        <v/>
      </c>
      <c r="D42" s="31" t="str">
        <f aca="false">IFERROR(INDEX(Stock!$B$2:$B$2001,MATCH($A42,Stock!$K$2:$K$2001,0))&amp;"","")</f>
        <v/>
      </c>
      <c r="E42" s="31" t="str">
        <f aca="false">IFERROR(INDEX(Stock!$D$2:$D$2001,MATCH($A42,Stock!$K$2:$K$2001,0))&amp;"","")</f>
        <v/>
      </c>
      <c r="F42" s="32" t="str">
        <f aca="false">IFERROR(INDEX(Stock!$E$2:$E$2001,MATCH($A42,Stock!$K$2:$K$2001,0)),"")</f>
        <v/>
      </c>
      <c r="G42" s="33" t="str">
        <f aca="false">IFERROR(INDEX(Stock!$F$2:$F$2001,MATCH($A42,Stock!$K$2:$K$2001,0)),"")</f>
        <v/>
      </c>
      <c r="H42" s="31" t="str">
        <f aca="false">IFERROR(INDEX(Stock!$I$2:$I$2001,MATCH($A42,Stock!$K$2:$K$2001,0))&amp;"","")</f>
        <v/>
      </c>
    </row>
    <row r="43" customFormat="false" ht="15" hidden="false" customHeight="false" outlineLevel="0" collapsed="false">
      <c r="A43" s="29" t="n">
        <v>37</v>
      </c>
      <c r="B43" s="30" t="str">
        <f aca="false">IFERROR(INDEX(Stock!$A$2:$A$2001,MATCH($A43,Stock!$K$2:$K$2001,0))&amp;"","")</f>
        <v/>
      </c>
      <c r="C43" s="31" t="str">
        <f aca="false">IFERROR(INDEX(Stock!$C$2:$C$2001,MATCH($A43,Stock!$K$2:$K$2001,0))&amp;"","")</f>
        <v/>
      </c>
      <c r="D43" s="31" t="str">
        <f aca="false">IFERROR(INDEX(Stock!$B$2:$B$2001,MATCH($A43,Stock!$K$2:$K$2001,0))&amp;"","")</f>
        <v/>
      </c>
      <c r="E43" s="31" t="str">
        <f aca="false">IFERROR(INDEX(Stock!$D$2:$D$2001,MATCH($A43,Stock!$K$2:$K$2001,0))&amp;"","")</f>
        <v/>
      </c>
      <c r="F43" s="32" t="str">
        <f aca="false">IFERROR(INDEX(Stock!$E$2:$E$2001,MATCH($A43,Stock!$K$2:$K$2001,0)),"")</f>
        <v/>
      </c>
      <c r="G43" s="33" t="str">
        <f aca="false">IFERROR(INDEX(Stock!$F$2:$F$2001,MATCH($A43,Stock!$K$2:$K$2001,0)),"")</f>
        <v/>
      </c>
      <c r="H43" s="31" t="str">
        <f aca="false">IFERROR(INDEX(Stock!$I$2:$I$2001,MATCH($A43,Stock!$K$2:$K$2001,0))&amp;"","")</f>
        <v/>
      </c>
    </row>
    <row r="44" customFormat="false" ht="15" hidden="false" customHeight="false" outlineLevel="0" collapsed="false">
      <c r="A44" s="29" t="n">
        <v>38</v>
      </c>
      <c r="B44" s="30" t="str">
        <f aca="false">IFERROR(INDEX(Stock!$A$2:$A$2001,MATCH($A44,Stock!$K$2:$K$2001,0))&amp;"","")</f>
        <v/>
      </c>
      <c r="C44" s="31" t="str">
        <f aca="false">IFERROR(INDEX(Stock!$C$2:$C$2001,MATCH($A44,Stock!$K$2:$K$2001,0))&amp;"","")</f>
        <v/>
      </c>
      <c r="D44" s="31" t="str">
        <f aca="false">IFERROR(INDEX(Stock!$B$2:$B$2001,MATCH($A44,Stock!$K$2:$K$2001,0))&amp;"","")</f>
        <v/>
      </c>
      <c r="E44" s="31" t="str">
        <f aca="false">IFERROR(INDEX(Stock!$D$2:$D$2001,MATCH($A44,Stock!$K$2:$K$2001,0))&amp;"","")</f>
        <v/>
      </c>
      <c r="F44" s="32" t="str">
        <f aca="false">IFERROR(INDEX(Stock!$E$2:$E$2001,MATCH($A44,Stock!$K$2:$K$2001,0)),"")</f>
        <v/>
      </c>
      <c r="G44" s="33" t="str">
        <f aca="false">IFERROR(INDEX(Stock!$F$2:$F$2001,MATCH($A44,Stock!$K$2:$K$2001,0)),"")</f>
        <v/>
      </c>
      <c r="H44" s="31" t="str">
        <f aca="false">IFERROR(INDEX(Stock!$I$2:$I$2001,MATCH($A44,Stock!$K$2:$K$2001,0))&amp;"","")</f>
        <v/>
      </c>
    </row>
    <row r="45" customFormat="false" ht="15" hidden="false" customHeight="false" outlineLevel="0" collapsed="false">
      <c r="A45" s="29" t="n">
        <v>39</v>
      </c>
      <c r="B45" s="30" t="str">
        <f aca="false">IFERROR(INDEX(Stock!$A$2:$A$2001,MATCH($A45,Stock!$K$2:$K$2001,0))&amp;"","")</f>
        <v/>
      </c>
      <c r="C45" s="31" t="str">
        <f aca="false">IFERROR(INDEX(Stock!$C$2:$C$2001,MATCH($A45,Stock!$K$2:$K$2001,0))&amp;"","")</f>
        <v/>
      </c>
      <c r="D45" s="31" t="str">
        <f aca="false">IFERROR(INDEX(Stock!$B$2:$B$2001,MATCH($A45,Stock!$K$2:$K$2001,0))&amp;"","")</f>
        <v/>
      </c>
      <c r="E45" s="31" t="str">
        <f aca="false">IFERROR(INDEX(Stock!$D$2:$D$2001,MATCH($A45,Stock!$K$2:$K$2001,0))&amp;"","")</f>
        <v/>
      </c>
      <c r="F45" s="32" t="str">
        <f aca="false">IFERROR(INDEX(Stock!$E$2:$E$2001,MATCH($A45,Stock!$K$2:$K$2001,0)),"")</f>
        <v/>
      </c>
      <c r="G45" s="33" t="str">
        <f aca="false">IFERROR(INDEX(Stock!$F$2:$F$2001,MATCH($A45,Stock!$K$2:$K$2001,0)),"")</f>
        <v/>
      </c>
      <c r="H45" s="31" t="str">
        <f aca="false">IFERROR(INDEX(Stock!$I$2:$I$2001,MATCH($A45,Stock!$K$2:$K$2001,0))&amp;"","")</f>
        <v/>
      </c>
    </row>
    <row r="46" customFormat="false" ht="15" hidden="false" customHeight="false" outlineLevel="0" collapsed="false">
      <c r="A46" s="29" t="n">
        <v>40</v>
      </c>
      <c r="B46" s="30" t="str">
        <f aca="false">IFERROR(INDEX(Stock!$A$2:$A$2001,MATCH($A46,Stock!$K$2:$K$2001,0))&amp;"","")</f>
        <v/>
      </c>
      <c r="C46" s="31" t="str">
        <f aca="false">IFERROR(INDEX(Stock!$C$2:$C$2001,MATCH($A46,Stock!$K$2:$K$2001,0))&amp;"","")</f>
        <v/>
      </c>
      <c r="D46" s="31" t="str">
        <f aca="false">IFERROR(INDEX(Stock!$B$2:$B$2001,MATCH($A46,Stock!$K$2:$K$2001,0))&amp;"","")</f>
        <v/>
      </c>
      <c r="E46" s="31" t="str">
        <f aca="false">IFERROR(INDEX(Stock!$D$2:$D$2001,MATCH($A46,Stock!$K$2:$K$2001,0))&amp;"","")</f>
        <v/>
      </c>
      <c r="F46" s="32" t="str">
        <f aca="false">IFERROR(INDEX(Stock!$E$2:$E$2001,MATCH($A46,Stock!$K$2:$K$2001,0)),"")</f>
        <v/>
      </c>
      <c r="G46" s="33" t="str">
        <f aca="false">IFERROR(INDEX(Stock!$F$2:$F$2001,MATCH($A46,Stock!$K$2:$K$2001,0)),"")</f>
        <v/>
      </c>
      <c r="H46" s="31" t="str">
        <f aca="false">IFERROR(INDEX(Stock!$I$2:$I$2001,MATCH($A46,Stock!$K$2:$K$2001,0))&amp;"","")</f>
        <v/>
      </c>
    </row>
  </sheetData>
  <mergeCells count="1">
    <mergeCell ref="A3:B3"/>
  </mergeCells>
  <conditionalFormatting sqref="H7:H46">
    <cfRule type="expression" priority="2" aboveAverage="0" equalAverage="0" bottom="0" percent="0" rank="0" text="" dxfId="7">
      <formula>ISNUMBER(FIND("PÉRIMÉ",H7))</formula>
    </cfRule>
    <cfRule type="expression" priority="3" aboveAverage="0" equalAverage="0" bottom="0" percent="0" rank="0" text="" dxfId="12">
      <formula>ISNUMBER(FIND("Péremption",H7))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28" t="s">
        <v>215</v>
      </c>
    </row>
    <row r="3" customFormat="false" ht="43.5" hidden="false" customHeight="true" outlineLevel="0" collapsed="false">
      <c r="A3" s="34" t="str">
        <f aca="false">IF(Emplacements!$A$2="","",Emplacements!$A$2)</f>
        <v>A01-1-01</v>
      </c>
      <c r="C3" s="34" t="str">
        <f aca="false">IF(Emplacements!$A$3="","",Emplacements!$A$3)</f>
        <v>A01-1-02</v>
      </c>
    </row>
    <row r="4" customFormat="false" ht="18" hidden="false" customHeight="true" outlineLevel="0" collapsed="false">
      <c r="A4" s="35" t="str">
        <f aca="false">IF(Emplacements!$A$2="","",Emplacements!$F$2)</f>
        <v>Stock général</v>
      </c>
      <c r="C4" s="35" t="str">
        <f aca="false">IF(Emplacements!$A$3="","",Emplacements!$F$3)</f>
        <v>Stock général</v>
      </c>
    </row>
    <row r="5" customFormat="false" ht="43.5" hidden="false" customHeight="true" outlineLevel="0" collapsed="false">
      <c r="A5" s="34" t="str">
        <f aca="false">IF(Emplacements!$A$4="","",Emplacements!$A$4)</f>
        <v>A01-1-03</v>
      </c>
      <c r="C5" s="34" t="str">
        <f aca="false">IF(Emplacements!$A$5="","",Emplacements!$A$5)</f>
        <v>A01-2-01</v>
      </c>
    </row>
    <row r="6" customFormat="false" ht="18" hidden="false" customHeight="true" outlineLevel="0" collapsed="false">
      <c r="A6" s="35" t="str">
        <f aca="false">IF(Emplacements!$A$4="","",Emplacements!$F$4)</f>
        <v>Stock général</v>
      </c>
      <c r="C6" s="35" t="str">
        <f aca="false">IF(Emplacements!$A$5="","",Emplacements!$F$5)</f>
        <v>Stock général</v>
      </c>
    </row>
    <row r="7" customFormat="false" ht="43.5" hidden="false" customHeight="true" outlineLevel="0" collapsed="false">
      <c r="A7" s="34" t="str">
        <f aca="false">IF(Emplacements!$A$6="","",Emplacements!$A$6)</f>
        <v>A01-2-02</v>
      </c>
      <c r="C7" s="34" t="str">
        <f aca="false">IF(Emplacements!$A$7="","",Emplacements!$A$7)</f>
        <v>A01-2-03</v>
      </c>
    </row>
    <row r="8" customFormat="false" ht="18" hidden="false" customHeight="true" outlineLevel="0" collapsed="false">
      <c r="A8" s="35" t="str">
        <f aca="false">IF(Emplacements!$A$6="","",Emplacements!$F$6)</f>
        <v>Stock général</v>
      </c>
      <c r="C8" s="35" t="str">
        <f aca="false">IF(Emplacements!$A$7="","",Emplacements!$F$7)</f>
        <v>Stock général</v>
      </c>
    </row>
    <row r="9" customFormat="false" ht="43.5" hidden="false" customHeight="true" outlineLevel="0" collapsed="false">
      <c r="A9" s="34" t="str">
        <f aca="false">IF(Emplacements!$A$8="","",Emplacements!$A$8)</f>
        <v>A01-3-01</v>
      </c>
      <c r="C9" s="34" t="str">
        <f aca="false">IF(Emplacements!$A$9="","",Emplacements!$A$9)</f>
        <v>A01-3-02</v>
      </c>
    </row>
    <row r="10" customFormat="false" ht="18" hidden="false" customHeight="true" outlineLevel="0" collapsed="false">
      <c r="A10" s="35" t="str">
        <f aca="false">IF(Emplacements!$A$8="","",Emplacements!$F$8)</f>
        <v>Stock général</v>
      </c>
      <c r="C10" s="35" t="str">
        <f aca="false">IF(Emplacements!$A$9="","",Emplacements!$F$9)</f>
        <v>Stock général</v>
      </c>
    </row>
    <row r="11" customFormat="false" ht="43.5" hidden="false" customHeight="true" outlineLevel="0" collapsed="false">
      <c r="A11" s="34" t="str">
        <f aca="false">IF(Emplacements!$A$10="","",Emplacements!$A$10)</f>
        <v>A01-3-03</v>
      </c>
      <c r="C11" s="34" t="str">
        <f aca="false">IF(Emplacements!$A$11="","",Emplacements!$A$11)</f>
        <v>A01-4-01</v>
      </c>
    </row>
    <row r="12" customFormat="false" ht="18" hidden="false" customHeight="true" outlineLevel="0" collapsed="false">
      <c r="A12" s="35" t="str">
        <f aca="false">IF(Emplacements!$A$10="","",Emplacements!$F$10)</f>
        <v>Stock général</v>
      </c>
      <c r="C12" s="35" t="str">
        <f aca="false">IF(Emplacements!$A$11="","",Emplacements!$F$11)</f>
        <v>Stock général</v>
      </c>
    </row>
    <row r="13" customFormat="false" ht="43.5" hidden="false" customHeight="true" outlineLevel="0" collapsed="false">
      <c r="A13" s="34" t="str">
        <f aca="false">IF(Emplacements!$A$12="","",Emplacements!$A$12)</f>
        <v>A01-4-02</v>
      </c>
      <c r="C13" s="34" t="str">
        <f aca="false">IF(Emplacements!$A$13="","",Emplacements!$A$13)</f>
        <v>A01-4-03</v>
      </c>
    </row>
    <row r="14" customFormat="false" ht="18" hidden="false" customHeight="true" outlineLevel="0" collapsed="false">
      <c r="A14" s="35" t="str">
        <f aca="false">IF(Emplacements!$A$12="","",Emplacements!$F$12)</f>
        <v>Stock général</v>
      </c>
      <c r="C14" s="35" t="str">
        <f aca="false">IF(Emplacements!$A$13="","",Emplacements!$F$13)</f>
        <v>Stock général</v>
      </c>
    </row>
    <row r="15" customFormat="false" ht="43.5" hidden="false" customHeight="true" outlineLevel="0" collapsed="false">
      <c r="A15" s="34" t="str">
        <f aca="false">IF(Emplacements!$A$14="","",Emplacements!$A$14)</f>
        <v>A02-1-01</v>
      </c>
      <c r="C15" s="34" t="str">
        <f aca="false">IF(Emplacements!$A$15="","",Emplacements!$A$15)</f>
        <v>A02-1-02</v>
      </c>
    </row>
    <row r="16" customFormat="false" ht="18" hidden="false" customHeight="true" outlineLevel="0" collapsed="false">
      <c r="A16" s="35" t="str">
        <f aca="false">IF(Emplacements!$A$14="","",Emplacements!$F$14)</f>
        <v>Stock général</v>
      </c>
      <c r="C16" s="35" t="str">
        <f aca="false">IF(Emplacements!$A$15="","",Emplacements!$F$15)</f>
        <v>Stock général</v>
      </c>
    </row>
    <row r="17" customFormat="false" ht="43.5" hidden="false" customHeight="true" outlineLevel="0" collapsed="false">
      <c r="A17" s="34" t="str">
        <f aca="false">IF(Emplacements!$A$16="","",Emplacements!$A$16)</f>
        <v>A02-1-03</v>
      </c>
      <c r="C17" s="34" t="str">
        <f aca="false">IF(Emplacements!$A$17="","",Emplacements!$A$17)</f>
        <v>A02-2-01</v>
      </c>
    </row>
    <row r="18" customFormat="false" ht="18" hidden="false" customHeight="true" outlineLevel="0" collapsed="false">
      <c r="A18" s="35" t="str">
        <f aca="false">IF(Emplacements!$A$16="","",Emplacements!$F$16)</f>
        <v>Stock général</v>
      </c>
      <c r="C18" s="35" t="str">
        <f aca="false">IF(Emplacements!$A$17="","",Emplacements!$F$17)</f>
        <v>Stock général</v>
      </c>
    </row>
    <row r="19" customFormat="false" ht="43.5" hidden="false" customHeight="true" outlineLevel="0" collapsed="false">
      <c r="A19" s="34" t="str">
        <f aca="false">IF(Emplacements!$A$18="","",Emplacements!$A$18)</f>
        <v>A02-2-02</v>
      </c>
      <c r="C19" s="34" t="str">
        <f aca="false">IF(Emplacements!$A$19="","",Emplacements!$A$19)</f>
        <v>A02-2-03</v>
      </c>
    </row>
    <row r="20" customFormat="false" ht="18" hidden="false" customHeight="true" outlineLevel="0" collapsed="false">
      <c r="A20" s="35" t="str">
        <f aca="false">IF(Emplacements!$A$18="","",Emplacements!$F$18)</f>
        <v>Stock général</v>
      </c>
      <c r="C20" s="35" t="str">
        <f aca="false">IF(Emplacements!$A$19="","",Emplacements!$F$19)</f>
        <v>Stock général</v>
      </c>
    </row>
    <row r="21" customFormat="false" ht="43.5" hidden="false" customHeight="true" outlineLevel="0" collapsed="false">
      <c r="A21" s="34" t="str">
        <f aca="false">IF(Emplacements!$A$20="","",Emplacements!$A$20)</f>
        <v>A02-3-01</v>
      </c>
      <c r="C21" s="34" t="str">
        <f aca="false">IF(Emplacements!$A$21="","",Emplacements!$A$21)</f>
        <v>A02-3-02</v>
      </c>
    </row>
    <row r="22" customFormat="false" ht="18" hidden="false" customHeight="true" outlineLevel="0" collapsed="false">
      <c r="A22" s="35" t="str">
        <f aca="false">IF(Emplacements!$A$20="","",Emplacements!$F$20)</f>
        <v>Stock général</v>
      </c>
      <c r="C22" s="35" t="str">
        <f aca="false">IF(Emplacements!$A$21="","",Emplacements!$F$21)</f>
        <v>Stock général</v>
      </c>
    </row>
    <row r="23" customFormat="false" ht="43.5" hidden="false" customHeight="true" outlineLevel="0" collapsed="false">
      <c r="A23" s="34" t="str">
        <f aca="false">IF(Emplacements!$A$22="","",Emplacements!$A$22)</f>
        <v>A02-3-03</v>
      </c>
      <c r="C23" s="34" t="str">
        <f aca="false">IF(Emplacements!$A$23="","",Emplacements!$A$23)</f>
        <v>A02-4-01</v>
      </c>
    </row>
    <row r="24" customFormat="false" ht="18" hidden="false" customHeight="true" outlineLevel="0" collapsed="false">
      <c r="A24" s="35" t="str">
        <f aca="false">IF(Emplacements!$A$22="","",Emplacements!$F$22)</f>
        <v>Stock général</v>
      </c>
      <c r="C24" s="35" t="str">
        <f aca="false">IF(Emplacements!$A$23="","",Emplacements!$F$23)</f>
        <v>Stock général</v>
      </c>
    </row>
    <row r="25" customFormat="false" ht="43.5" hidden="false" customHeight="true" outlineLevel="0" collapsed="false">
      <c r="A25" s="34" t="str">
        <f aca="false">IF(Emplacements!$A$24="","",Emplacements!$A$24)</f>
        <v>A02-4-02</v>
      </c>
      <c r="C25" s="34" t="str">
        <f aca="false">IF(Emplacements!$A$25="","",Emplacements!$A$25)</f>
        <v>A02-4-03</v>
      </c>
    </row>
    <row r="26" customFormat="false" ht="18" hidden="false" customHeight="true" outlineLevel="0" collapsed="false">
      <c r="A26" s="35" t="str">
        <f aca="false">IF(Emplacements!$A$24="","",Emplacements!$F$24)</f>
        <v>Stock général</v>
      </c>
      <c r="C26" s="35" t="str">
        <f aca="false">IF(Emplacements!$A$25="","",Emplacements!$F$25)</f>
        <v>Stock général</v>
      </c>
    </row>
    <row r="27" customFormat="false" ht="43.5" hidden="false" customHeight="true" outlineLevel="0" collapsed="false">
      <c r="A27" s="34" t="str">
        <f aca="false">IF(Emplacements!$A$26="","",Emplacements!$A$26)</f>
        <v>F01-1-01</v>
      </c>
      <c r="C27" s="34" t="str">
        <f aca="false">IF(Emplacements!$A$27="","",Emplacements!$A$27)</f>
        <v>F01-2-01</v>
      </c>
    </row>
    <row r="28" customFormat="false" ht="18" hidden="false" customHeight="true" outlineLevel="0" collapsed="false">
      <c r="A28" s="35" t="str">
        <f aca="false">IF(Emplacements!$A$26="","",Emplacements!$F$26)</f>
        <v>Chaîne de froid</v>
      </c>
      <c r="C28" s="35" t="str">
        <f aca="false">IF(Emplacements!$A$27="","",Emplacements!$F$27)</f>
        <v>Chaîne de froid</v>
      </c>
    </row>
    <row r="29" customFormat="false" ht="43.5" hidden="false" customHeight="true" outlineLevel="0" collapsed="false">
      <c r="A29" s="34" t="str">
        <f aca="false">IF(Emplacements!$A$28="","",Emplacements!$A$28)</f>
        <v>F01-3-01</v>
      </c>
      <c r="C29" s="34" t="str">
        <f aca="false">IF(Emplacements!$A$29="","",Emplacements!$A$29)</f>
        <v>S01-1-01</v>
      </c>
    </row>
    <row r="30" customFormat="false" ht="18" hidden="false" customHeight="true" outlineLevel="0" collapsed="false">
      <c r="A30" s="35" t="str">
        <f aca="false">IF(Emplacements!$A$28="","",Emplacements!$F$28)</f>
        <v>Chaîne de froid</v>
      </c>
      <c r="C30" s="35" t="str">
        <f aca="false">IF(Emplacements!$A$29="","",Emplacements!$F$29)</f>
        <v>Sécurisé</v>
      </c>
    </row>
    <row r="31" customFormat="false" ht="43.5" hidden="false" customHeight="true" outlineLevel="0" collapsed="false">
      <c r="A31" s="34" t="str">
        <f aca="false">IF(Emplacements!$A$30="","",Emplacements!$A$30)</f>
        <v>S01-2-01</v>
      </c>
      <c r="C31" s="34" t="str">
        <f aca="false">IF(Emplacements!$A$31="","",Emplacements!$A$31)</f>
        <v>N01-1-01</v>
      </c>
    </row>
    <row r="32" customFormat="false" ht="18" hidden="false" customHeight="true" outlineLevel="0" collapsed="false">
      <c r="A32" s="35" t="str">
        <f aca="false">IF(Emplacements!$A$30="","",Emplacements!$F$30)</f>
        <v>Sécurisé</v>
      </c>
      <c r="C32" s="35" t="str">
        <f aca="false">IF(Emplacements!$A$31="","",Emplacements!$F$31)</f>
        <v>Inflammables</v>
      </c>
    </row>
    <row r="33" customFormat="false" ht="43.5" hidden="false" customHeight="true" outlineLevel="0" collapsed="false">
      <c r="A33" s="34" t="str">
        <f aca="false">IF(Emplacements!$A$32="","",Emplacements!$A$32)</f>
        <v>P01-1-01</v>
      </c>
      <c r="C33" s="34" t="str">
        <f aca="false">IF(Emplacements!$A$33="","",Emplacements!$A$33)</f>
        <v>P01-1-02</v>
      </c>
    </row>
    <row r="34" customFormat="false" ht="18" hidden="false" customHeight="true" outlineLevel="0" collapsed="false">
      <c r="A34" s="35" t="str">
        <f aca="false">IF(Emplacements!$A$32="","",Emplacements!$F$32)</f>
        <v>Palettes / vrac</v>
      </c>
      <c r="C34" s="35" t="str">
        <f aca="false">IF(Emplacements!$A$33="","",Emplacements!$F$33)</f>
        <v>Palettes / vrac</v>
      </c>
    </row>
    <row r="35" customFormat="false" ht="43.5" hidden="false" customHeight="true" outlineLevel="0" collapsed="false">
      <c r="A35" s="34" t="str">
        <f aca="false">IF(Emplacements!$A$34="","",Emplacements!$A$34)</f>
        <v>P01-1-03</v>
      </c>
      <c r="C35" s="34" t="str">
        <f aca="false">IF(Emplacements!$A$35="","",Emplacements!$A$35)</f>
        <v>P01-1-04</v>
      </c>
    </row>
    <row r="36" customFormat="false" ht="18" hidden="false" customHeight="true" outlineLevel="0" collapsed="false">
      <c r="A36" s="35" t="str">
        <f aca="false">IF(Emplacements!$A$34="","",Emplacements!$F$34)</f>
        <v>Palettes / vrac</v>
      </c>
      <c r="C36" s="35" t="str">
        <f aca="false">IF(Emplacements!$A$35="","",Emplacements!$F$35)</f>
        <v>Palettes / vrac</v>
      </c>
    </row>
    <row r="37" customFormat="false" ht="43.5" hidden="false" customHeight="true" outlineLevel="0" collapsed="false">
      <c r="A37" s="34" t="str">
        <f aca="false">IF(Emplacements!$A$36="","",Emplacements!$A$36)</f>
        <v>Q01-1-01</v>
      </c>
      <c r="C37" s="34" t="str">
        <f aca="false">IF(Emplacements!$A$37="","",Emplacements!$A$37)</f>
        <v>Q01-1-02</v>
      </c>
    </row>
    <row r="38" customFormat="false" ht="18" hidden="false" customHeight="true" outlineLevel="0" collapsed="false">
      <c r="A38" s="35" t="str">
        <f aca="false">IF(Emplacements!$A$36="","",Emplacements!$F$36)</f>
        <v>Quarantaine</v>
      </c>
      <c r="C38" s="35" t="str">
        <f aca="false">IF(Emplacements!$A$37="","",Emplacements!$F$37)</f>
        <v>Quarantaine</v>
      </c>
    </row>
    <row r="39" customFormat="false" ht="43.5" hidden="false" customHeight="true" outlineLevel="0" collapsed="false">
      <c r="A39" s="34" t="str">
        <f aca="false">IF(Emplacements!$A$38="","",Emplacements!$A$38)</f>
        <v>R01-1-01</v>
      </c>
      <c r="C39" s="34" t="str">
        <f aca="false">IF(Emplacements!$A$39="","",Emplacements!$A$39)</f>
        <v>E01-1-01</v>
      </c>
    </row>
    <row r="40" customFormat="false" ht="18" hidden="false" customHeight="true" outlineLevel="0" collapsed="false">
      <c r="A40" s="35" t="str">
        <f aca="false">IF(Emplacements!$A$38="","",Emplacements!$F$38)</f>
        <v>Réception</v>
      </c>
      <c r="C40" s="35" t="str">
        <f aca="false">IF(Emplacements!$A$39="","",Emplacements!$F$39)</f>
        <v>Expédition</v>
      </c>
    </row>
    <row r="41" customFormat="false" ht="43.5" hidden="false" customHeight="true" outlineLevel="0" collapsed="false">
      <c r="A41" s="34" t="str">
        <f aca="false">IF(Emplacements!$A$40="","",Emplacements!$A$40)</f>
        <v/>
      </c>
      <c r="C41" s="34" t="str">
        <f aca="false">IF(Emplacements!$A$41="","",Emplacements!$A$41)</f>
        <v/>
      </c>
    </row>
    <row r="42" customFormat="false" ht="18" hidden="false" customHeight="true" outlineLevel="0" collapsed="false">
      <c r="A42" s="35" t="str">
        <f aca="false">IF(Emplacements!$A$40="","",Emplacements!$F$40)</f>
        <v/>
      </c>
      <c r="C42" s="35" t="str">
        <f aca="false">IF(Emplacements!$A$41="","",Emplacements!$F$41)</f>
        <v/>
      </c>
    </row>
    <row r="43" customFormat="false" ht="43.5" hidden="false" customHeight="true" outlineLevel="0" collapsed="false">
      <c r="A43" s="34" t="str">
        <f aca="false">IF(Emplacements!$A$42="","",Emplacements!$A$42)</f>
        <v/>
      </c>
      <c r="C43" s="34" t="str">
        <f aca="false">IF(Emplacements!$A$43="","",Emplacements!$A$43)</f>
        <v/>
      </c>
    </row>
    <row r="44" customFormat="false" ht="18" hidden="false" customHeight="true" outlineLevel="0" collapsed="false">
      <c r="A44" s="35" t="str">
        <f aca="false">IF(Emplacements!$A$42="","",Emplacements!$F$42)</f>
        <v/>
      </c>
      <c r="C44" s="35" t="str">
        <f aca="false">IF(Emplacements!$A$43="","",Emplacements!$F$43)</f>
        <v/>
      </c>
    </row>
    <row r="45" customFormat="false" ht="43.5" hidden="false" customHeight="true" outlineLevel="0" collapsed="false">
      <c r="A45" s="34" t="str">
        <f aca="false">IF(Emplacements!$A$44="","",Emplacements!$A$44)</f>
        <v/>
      </c>
      <c r="C45" s="34" t="str">
        <f aca="false">IF(Emplacements!$A$45="","",Emplacements!$A$45)</f>
        <v/>
      </c>
    </row>
    <row r="46" customFormat="false" ht="18" hidden="false" customHeight="true" outlineLevel="0" collapsed="false">
      <c r="A46" s="35" t="str">
        <f aca="false">IF(Emplacements!$A$44="","",Emplacements!$F$44)</f>
        <v/>
      </c>
      <c r="C46" s="35" t="str">
        <f aca="false">IF(Emplacements!$A$45="","",Emplacements!$F$45)</f>
        <v/>
      </c>
    </row>
    <row r="47" customFormat="false" ht="43.5" hidden="false" customHeight="true" outlineLevel="0" collapsed="false">
      <c r="A47" s="34" t="str">
        <f aca="false">IF(Emplacements!$A$46="","",Emplacements!$A$46)</f>
        <v/>
      </c>
      <c r="C47" s="34" t="str">
        <f aca="false">IF(Emplacements!$A$47="","",Emplacements!$A$47)</f>
        <v/>
      </c>
    </row>
    <row r="48" customFormat="false" ht="18" hidden="false" customHeight="true" outlineLevel="0" collapsed="false">
      <c r="A48" s="35" t="str">
        <f aca="false">IF(Emplacements!$A$46="","",Emplacements!$F$46)</f>
        <v/>
      </c>
      <c r="C48" s="35" t="str">
        <f aca="false">IF(Emplacements!$A$47="","",Emplacements!$F$47)</f>
        <v/>
      </c>
    </row>
    <row r="49" customFormat="false" ht="43.5" hidden="false" customHeight="true" outlineLevel="0" collapsed="false">
      <c r="A49" s="34" t="str">
        <f aca="false">IF(Emplacements!$A$48="","",Emplacements!$A$48)</f>
        <v/>
      </c>
      <c r="C49" s="34" t="str">
        <f aca="false">IF(Emplacements!$A$49="","",Emplacements!$A$49)</f>
        <v/>
      </c>
    </row>
    <row r="50" customFormat="false" ht="18" hidden="false" customHeight="true" outlineLevel="0" collapsed="false">
      <c r="A50" s="35" t="str">
        <f aca="false">IF(Emplacements!$A$48="","",Emplacements!$F$48)</f>
        <v/>
      </c>
      <c r="C50" s="35" t="str">
        <f aca="false">IF(Emplacements!$A$49="","",Emplacements!$F$49)</f>
        <v/>
      </c>
    </row>
    <row r="51" customFormat="false" ht="43.5" hidden="false" customHeight="true" outlineLevel="0" collapsed="false">
      <c r="A51" s="34" t="str">
        <f aca="false">IF(Emplacements!$A$50="","",Emplacements!$A$50)</f>
        <v/>
      </c>
      <c r="C51" s="34" t="str">
        <f aca="false">IF(Emplacements!$A$51="","",Emplacements!$A$51)</f>
        <v/>
      </c>
    </row>
    <row r="52" customFormat="false" ht="18" hidden="false" customHeight="true" outlineLevel="0" collapsed="false">
      <c r="A52" s="35" t="str">
        <f aca="false">IF(Emplacements!$A$50="","",Emplacements!$F$50)</f>
        <v/>
      </c>
      <c r="C52" s="35" t="str">
        <f aca="false">IF(Emplacements!$A$51="","",Emplacements!$F$51)</f>
        <v/>
      </c>
    </row>
    <row r="53" customFormat="false" ht="43.5" hidden="false" customHeight="true" outlineLevel="0" collapsed="false">
      <c r="A53" s="34" t="str">
        <f aca="false">IF(Emplacements!$A$52="","",Emplacements!$A$52)</f>
        <v/>
      </c>
      <c r="C53" s="34" t="str">
        <f aca="false">IF(Emplacements!$A$53="","",Emplacements!$A$53)</f>
        <v/>
      </c>
    </row>
    <row r="54" customFormat="false" ht="18" hidden="false" customHeight="true" outlineLevel="0" collapsed="false">
      <c r="A54" s="35" t="str">
        <f aca="false">IF(Emplacements!$A$52="","",Emplacements!$F$52)</f>
        <v/>
      </c>
      <c r="C54" s="35" t="str">
        <f aca="false">IF(Emplacements!$A$53="","",Emplacements!$F$53)</f>
        <v/>
      </c>
    </row>
    <row r="55" customFormat="false" ht="43.5" hidden="false" customHeight="true" outlineLevel="0" collapsed="false">
      <c r="A55" s="34" t="str">
        <f aca="false">IF(Emplacements!$A$54="","",Emplacements!$A$54)</f>
        <v/>
      </c>
      <c r="C55" s="34" t="str">
        <f aca="false">IF(Emplacements!$A$55="","",Emplacements!$A$55)</f>
        <v/>
      </c>
    </row>
    <row r="56" customFormat="false" ht="18" hidden="false" customHeight="true" outlineLevel="0" collapsed="false">
      <c r="A56" s="35" t="str">
        <f aca="false">IF(Emplacements!$A$54="","",Emplacements!$F$54)</f>
        <v/>
      </c>
      <c r="C56" s="35" t="str">
        <f aca="false">IF(Emplacements!$A$55="","",Emplacements!$F$55)</f>
        <v/>
      </c>
    </row>
    <row r="57" customFormat="false" ht="43.5" hidden="false" customHeight="true" outlineLevel="0" collapsed="false">
      <c r="A57" s="34" t="str">
        <f aca="false">IF(Emplacements!$A$56="","",Emplacements!$A$56)</f>
        <v/>
      </c>
      <c r="C57" s="34" t="str">
        <f aca="false">IF(Emplacements!$A$57="","",Emplacements!$A$57)</f>
        <v/>
      </c>
    </row>
    <row r="58" customFormat="false" ht="18" hidden="false" customHeight="true" outlineLevel="0" collapsed="false">
      <c r="A58" s="35" t="str">
        <f aca="false">IF(Emplacements!$A$56="","",Emplacements!$F$56)</f>
        <v/>
      </c>
      <c r="C58" s="35" t="str">
        <f aca="false">IF(Emplacements!$A$57="","",Emplacements!$F$57)</f>
        <v/>
      </c>
    </row>
    <row r="59" customFormat="false" ht="43.5" hidden="false" customHeight="true" outlineLevel="0" collapsed="false">
      <c r="A59" s="34" t="str">
        <f aca="false">IF(Emplacements!$A$58="","",Emplacements!$A$58)</f>
        <v/>
      </c>
      <c r="C59" s="34" t="str">
        <f aca="false">IF(Emplacements!$A$59="","",Emplacements!$A$59)</f>
        <v/>
      </c>
    </row>
    <row r="60" customFormat="false" ht="18" hidden="false" customHeight="true" outlineLevel="0" collapsed="false">
      <c r="A60" s="35" t="str">
        <f aca="false">IF(Emplacements!$A$58="","",Emplacements!$F$58)</f>
        <v/>
      </c>
      <c r="C60" s="35" t="str">
        <f aca="false">IF(Emplacements!$A$59="","",Emplacements!$F$59)</f>
        <v/>
      </c>
    </row>
    <row r="61" customFormat="false" ht="43.5" hidden="false" customHeight="true" outlineLevel="0" collapsed="false">
      <c r="A61" s="34" t="str">
        <f aca="false">IF(Emplacements!$A$60="","",Emplacements!$A$60)</f>
        <v/>
      </c>
      <c r="C61" s="34" t="str">
        <f aca="false">IF(Emplacements!$A$61="","",Emplacements!$A$61)</f>
        <v/>
      </c>
    </row>
    <row r="62" customFormat="false" ht="18" hidden="false" customHeight="true" outlineLevel="0" collapsed="false">
      <c r="A62" s="35" t="str">
        <f aca="false">IF(Emplacements!$A$60="","",Emplacements!$F$60)</f>
        <v/>
      </c>
      <c r="C62" s="35" t="str">
        <f aca="false">IF(Emplacements!$A$61="","",Emplacements!$F$61)</f>
        <v/>
      </c>
    </row>
    <row r="63" customFormat="false" ht="43.5" hidden="false" customHeight="true" outlineLevel="0" collapsed="false">
      <c r="A63" s="34" t="str">
        <f aca="false">IF(Emplacements!$A$62="","",Emplacements!$A$62)</f>
        <v/>
      </c>
      <c r="C63" s="34" t="str">
        <f aca="false">IF(Emplacements!$A$63="","",Emplacements!$A$63)</f>
        <v/>
      </c>
    </row>
    <row r="64" customFormat="false" ht="18" hidden="false" customHeight="true" outlineLevel="0" collapsed="false">
      <c r="A64" s="35" t="str">
        <f aca="false">IF(Emplacements!$A$62="","",Emplacements!$F$62)</f>
        <v/>
      </c>
      <c r="C64" s="35" t="str">
        <f aca="false">IF(Emplacements!$A$63="","",Emplacements!$F$63)</f>
        <v/>
      </c>
    </row>
    <row r="65" customFormat="false" ht="43.5" hidden="false" customHeight="true" outlineLevel="0" collapsed="false">
      <c r="A65" s="34" t="str">
        <f aca="false">IF(Emplacements!$A$64="","",Emplacements!$A$64)</f>
        <v/>
      </c>
      <c r="C65" s="34" t="str">
        <f aca="false">IF(Emplacements!$A$65="","",Emplacements!$A$65)</f>
        <v/>
      </c>
    </row>
    <row r="66" customFormat="false" ht="18" hidden="false" customHeight="true" outlineLevel="0" collapsed="false">
      <c r="A66" s="35" t="str">
        <f aca="false">IF(Emplacements!$A$64="","",Emplacements!$F$64)</f>
        <v/>
      </c>
      <c r="C66" s="35" t="str">
        <f aca="false">IF(Emplacements!$A$65="","",Emplacements!$F$65)</f>
        <v/>
      </c>
    </row>
    <row r="67" customFormat="false" ht="43.5" hidden="false" customHeight="true" outlineLevel="0" collapsed="false">
      <c r="A67" s="34" t="str">
        <f aca="false">IF(Emplacements!$A$66="","",Emplacements!$A$66)</f>
        <v/>
      </c>
      <c r="C67" s="34" t="str">
        <f aca="false">IF(Emplacements!$A$67="","",Emplacements!$A$67)</f>
        <v/>
      </c>
    </row>
    <row r="68" customFormat="false" ht="18" hidden="false" customHeight="true" outlineLevel="0" collapsed="false">
      <c r="A68" s="35" t="str">
        <f aca="false">IF(Emplacements!$A$66="","",Emplacements!$F$66)</f>
        <v/>
      </c>
      <c r="C68" s="35" t="str">
        <f aca="false">IF(Emplacements!$A$67="","",Emplacements!$F$67)</f>
        <v/>
      </c>
    </row>
    <row r="69" customFormat="false" ht="43.5" hidden="false" customHeight="true" outlineLevel="0" collapsed="false">
      <c r="A69" s="34" t="str">
        <f aca="false">IF(Emplacements!$A$68="","",Emplacements!$A$68)</f>
        <v/>
      </c>
      <c r="C69" s="34" t="str">
        <f aca="false">IF(Emplacements!$A$69="","",Emplacements!$A$69)</f>
        <v/>
      </c>
    </row>
    <row r="70" customFormat="false" ht="18" hidden="false" customHeight="true" outlineLevel="0" collapsed="false">
      <c r="A70" s="35" t="str">
        <f aca="false">IF(Emplacements!$A$68="","",Emplacements!$F$68)</f>
        <v/>
      </c>
      <c r="C70" s="35" t="str">
        <f aca="false">IF(Emplacements!$A$69="","",Emplacements!$F$69)</f>
        <v/>
      </c>
    </row>
    <row r="71" customFormat="false" ht="43.5" hidden="false" customHeight="true" outlineLevel="0" collapsed="false">
      <c r="A71" s="34" t="str">
        <f aca="false">IF(Emplacements!$A$70="","",Emplacements!$A$70)</f>
        <v/>
      </c>
      <c r="C71" s="34" t="str">
        <f aca="false">IF(Emplacements!$A$71="","",Emplacements!$A$71)</f>
        <v/>
      </c>
    </row>
    <row r="72" customFormat="false" ht="18" hidden="false" customHeight="true" outlineLevel="0" collapsed="false">
      <c r="A72" s="35" t="str">
        <f aca="false">IF(Emplacements!$A$70="","",Emplacements!$F$70)</f>
        <v/>
      </c>
      <c r="C72" s="35" t="str">
        <f aca="false">IF(Emplacements!$A$71="","",Emplacements!$F$71)</f>
        <v/>
      </c>
    </row>
    <row r="73" customFormat="false" ht="43.5" hidden="false" customHeight="true" outlineLevel="0" collapsed="false">
      <c r="A73" s="34" t="str">
        <f aca="false">IF(Emplacements!$A$72="","",Emplacements!$A$72)</f>
        <v/>
      </c>
      <c r="C73" s="34" t="str">
        <f aca="false">IF(Emplacements!$A$73="","",Emplacements!$A$73)</f>
        <v/>
      </c>
    </row>
    <row r="74" customFormat="false" ht="18" hidden="false" customHeight="true" outlineLevel="0" collapsed="false">
      <c r="A74" s="35" t="str">
        <f aca="false">IF(Emplacements!$A$72="","",Emplacements!$F$72)</f>
        <v/>
      </c>
      <c r="C74" s="35" t="str">
        <f aca="false">IF(Emplacements!$A$73="","",Emplacements!$F$73)</f>
        <v/>
      </c>
    </row>
    <row r="75" customFormat="false" ht="43.5" hidden="false" customHeight="true" outlineLevel="0" collapsed="false">
      <c r="A75" s="34" t="str">
        <f aca="false">IF(Emplacements!$A$74="","",Emplacements!$A$74)</f>
        <v/>
      </c>
      <c r="C75" s="34" t="str">
        <f aca="false">IF(Emplacements!$A$75="","",Emplacements!$A$75)</f>
        <v/>
      </c>
    </row>
    <row r="76" customFormat="false" ht="18" hidden="false" customHeight="true" outlineLevel="0" collapsed="false">
      <c r="A76" s="35" t="str">
        <f aca="false">IF(Emplacements!$A$74="","",Emplacements!$F$74)</f>
        <v/>
      </c>
      <c r="C76" s="35" t="str">
        <f aca="false">IF(Emplacements!$A$75="","",Emplacements!$F$75)</f>
        <v/>
      </c>
    </row>
    <row r="77" customFormat="false" ht="43.5" hidden="false" customHeight="true" outlineLevel="0" collapsed="false">
      <c r="A77" s="34" t="str">
        <f aca="false">IF(Emplacements!$A$76="","",Emplacements!$A$76)</f>
        <v/>
      </c>
      <c r="C77" s="34" t="str">
        <f aca="false">IF(Emplacements!$A$77="","",Emplacements!$A$77)</f>
        <v/>
      </c>
    </row>
    <row r="78" customFormat="false" ht="18" hidden="false" customHeight="true" outlineLevel="0" collapsed="false">
      <c r="A78" s="35" t="str">
        <f aca="false">IF(Emplacements!$A$76="","",Emplacements!$F$76)</f>
        <v/>
      </c>
      <c r="C78" s="35" t="str">
        <f aca="false">IF(Emplacements!$A$77="","",Emplacements!$F$77)</f>
        <v/>
      </c>
    </row>
    <row r="79" customFormat="false" ht="43.5" hidden="false" customHeight="true" outlineLevel="0" collapsed="false">
      <c r="A79" s="34" t="str">
        <f aca="false">IF(Emplacements!$A$78="","",Emplacements!$A$78)</f>
        <v/>
      </c>
      <c r="C79" s="34" t="str">
        <f aca="false">IF(Emplacements!$A$79="","",Emplacements!$A$79)</f>
        <v/>
      </c>
    </row>
    <row r="80" customFormat="false" ht="18" hidden="false" customHeight="true" outlineLevel="0" collapsed="false">
      <c r="A80" s="35" t="str">
        <f aca="false">IF(Emplacements!$A$78="","",Emplacements!$F$78)</f>
        <v/>
      </c>
      <c r="C80" s="35" t="str">
        <f aca="false">IF(Emplacements!$A$79="","",Emplacements!$F$79)</f>
        <v/>
      </c>
    </row>
    <row r="81" customFormat="false" ht="43.5" hidden="false" customHeight="true" outlineLevel="0" collapsed="false">
      <c r="A81" s="34" t="str">
        <f aca="false">IF(Emplacements!$A$80="","",Emplacements!$A$80)</f>
        <v/>
      </c>
      <c r="C81" s="34" t="str">
        <f aca="false">IF(Emplacements!$A$81="","",Emplacements!$A$81)</f>
        <v/>
      </c>
    </row>
    <row r="82" customFormat="false" ht="18" hidden="false" customHeight="true" outlineLevel="0" collapsed="false">
      <c r="A82" s="35" t="str">
        <f aca="false">IF(Emplacements!$A$80="","",Emplacements!$F$80)</f>
        <v/>
      </c>
      <c r="C82" s="35" t="str">
        <f aca="false">IF(Emplacements!$A$81="","",Emplacements!$F$81)</f>
        <v/>
      </c>
    </row>
    <row r="83" customFormat="false" ht="43.5" hidden="false" customHeight="true" outlineLevel="0" collapsed="false">
      <c r="A83" s="34" t="str">
        <f aca="false">IF(Emplacements!$A$82="","",Emplacements!$A$82)</f>
        <v/>
      </c>
      <c r="C83" s="34" t="str">
        <f aca="false">IF(Emplacements!$A$83="","",Emplacements!$A$83)</f>
        <v/>
      </c>
    </row>
    <row r="84" customFormat="false" ht="18" hidden="false" customHeight="true" outlineLevel="0" collapsed="false">
      <c r="A84" s="35" t="str">
        <f aca="false">IF(Emplacements!$A$82="","",Emplacements!$F$82)</f>
        <v/>
      </c>
      <c r="C84" s="35" t="str">
        <f aca="false">IF(Emplacements!$A$83="","",Emplacements!$F$83)</f>
        <v/>
      </c>
    </row>
    <row r="85" customFormat="false" ht="43.5" hidden="false" customHeight="true" outlineLevel="0" collapsed="false">
      <c r="A85" s="34" t="str">
        <f aca="false">IF(Emplacements!$A$84="","",Emplacements!$A$84)</f>
        <v/>
      </c>
      <c r="C85" s="34" t="str">
        <f aca="false">IF(Emplacements!$A$85="","",Emplacements!$A$85)</f>
        <v/>
      </c>
    </row>
    <row r="86" customFormat="false" ht="18" hidden="false" customHeight="true" outlineLevel="0" collapsed="false">
      <c r="A86" s="35" t="str">
        <f aca="false">IF(Emplacements!$A$84="","",Emplacements!$F$84)</f>
        <v/>
      </c>
      <c r="C86" s="35" t="str">
        <f aca="false">IF(Emplacements!$A$85="","",Emplacements!$F$85)</f>
        <v/>
      </c>
    </row>
    <row r="87" customFormat="false" ht="43.5" hidden="false" customHeight="true" outlineLevel="0" collapsed="false">
      <c r="A87" s="34" t="str">
        <f aca="false">IF(Emplacements!$A$86="","",Emplacements!$A$86)</f>
        <v/>
      </c>
      <c r="C87" s="34" t="str">
        <f aca="false">IF(Emplacements!$A$87="","",Emplacements!$A$87)</f>
        <v/>
      </c>
    </row>
    <row r="88" customFormat="false" ht="18" hidden="false" customHeight="true" outlineLevel="0" collapsed="false">
      <c r="A88" s="35" t="str">
        <f aca="false">IF(Emplacements!$A$86="","",Emplacements!$F$86)</f>
        <v/>
      </c>
      <c r="C88" s="35" t="str">
        <f aca="false">IF(Emplacements!$A$87="","",Emplacements!$F$87)</f>
        <v/>
      </c>
    </row>
    <row r="89" customFormat="false" ht="43.5" hidden="false" customHeight="true" outlineLevel="0" collapsed="false">
      <c r="A89" s="34" t="str">
        <f aca="false">IF(Emplacements!$A$88="","",Emplacements!$A$88)</f>
        <v/>
      </c>
      <c r="C89" s="34" t="str">
        <f aca="false">IF(Emplacements!$A$89="","",Emplacements!$A$89)</f>
        <v/>
      </c>
    </row>
    <row r="90" customFormat="false" ht="18" hidden="false" customHeight="true" outlineLevel="0" collapsed="false">
      <c r="A90" s="35" t="str">
        <f aca="false">IF(Emplacements!$A$88="","",Emplacements!$F$88)</f>
        <v/>
      </c>
      <c r="C90" s="35" t="str">
        <f aca="false">IF(Emplacements!$A$89="","",Emplacements!$F$89)</f>
        <v/>
      </c>
    </row>
    <row r="91" customFormat="false" ht="43.5" hidden="false" customHeight="true" outlineLevel="0" collapsed="false">
      <c r="A91" s="34" t="str">
        <f aca="false">IF(Emplacements!$A$90="","",Emplacements!$A$90)</f>
        <v/>
      </c>
      <c r="C91" s="34" t="str">
        <f aca="false">IF(Emplacements!$A$91="","",Emplacements!$A$91)</f>
        <v/>
      </c>
    </row>
    <row r="92" customFormat="false" ht="18" hidden="false" customHeight="true" outlineLevel="0" collapsed="false">
      <c r="A92" s="35" t="str">
        <f aca="false">IF(Emplacements!$A$90="","",Emplacements!$F$90)</f>
        <v/>
      </c>
      <c r="C92" s="35" t="str">
        <f aca="false">IF(Emplacements!$A$91="","",Emplacements!$F$91)</f>
        <v/>
      </c>
    </row>
    <row r="93" customFormat="false" ht="43.5" hidden="false" customHeight="true" outlineLevel="0" collapsed="false">
      <c r="A93" s="34" t="str">
        <f aca="false">IF(Emplacements!$A$92="","",Emplacements!$A$92)</f>
        <v/>
      </c>
      <c r="C93" s="34" t="str">
        <f aca="false">IF(Emplacements!$A$93="","",Emplacements!$A$93)</f>
        <v/>
      </c>
    </row>
    <row r="94" customFormat="false" ht="18" hidden="false" customHeight="true" outlineLevel="0" collapsed="false">
      <c r="A94" s="35" t="str">
        <f aca="false">IF(Emplacements!$A$92="","",Emplacements!$F$92)</f>
        <v/>
      </c>
      <c r="C94" s="35" t="str">
        <f aca="false">IF(Emplacements!$A$93="","",Emplacements!$F$93)</f>
        <v/>
      </c>
    </row>
    <row r="95" customFormat="false" ht="43.5" hidden="false" customHeight="true" outlineLevel="0" collapsed="false">
      <c r="A95" s="34" t="str">
        <f aca="false">IF(Emplacements!$A$94="","",Emplacements!$A$94)</f>
        <v/>
      </c>
      <c r="C95" s="34" t="str">
        <f aca="false">IF(Emplacements!$A$95="","",Emplacements!$A$95)</f>
        <v/>
      </c>
    </row>
    <row r="96" customFormat="false" ht="18" hidden="false" customHeight="true" outlineLevel="0" collapsed="false">
      <c r="A96" s="35" t="str">
        <f aca="false">IF(Emplacements!$A$94="","",Emplacements!$F$94)</f>
        <v/>
      </c>
      <c r="C96" s="35" t="str">
        <f aca="false">IF(Emplacements!$A$95="","",Emplacements!$F$95)</f>
        <v/>
      </c>
    </row>
    <row r="97" customFormat="false" ht="43.5" hidden="false" customHeight="true" outlineLevel="0" collapsed="false">
      <c r="A97" s="34" t="str">
        <f aca="false">IF(Emplacements!$A$96="","",Emplacements!$A$96)</f>
        <v/>
      </c>
      <c r="C97" s="34" t="str">
        <f aca="false">IF(Emplacements!$A$97="","",Emplacements!$A$97)</f>
        <v/>
      </c>
    </row>
    <row r="98" customFormat="false" ht="18" hidden="false" customHeight="true" outlineLevel="0" collapsed="false">
      <c r="A98" s="35" t="str">
        <f aca="false">IF(Emplacements!$A$96="","",Emplacements!$F$96)</f>
        <v/>
      </c>
      <c r="C98" s="35" t="str">
        <f aca="false">IF(Emplacements!$A$97="","",Emplacements!$F$97)</f>
        <v/>
      </c>
    </row>
    <row r="99" customFormat="false" ht="43.5" hidden="false" customHeight="true" outlineLevel="0" collapsed="false">
      <c r="A99" s="34" t="str">
        <f aca="false">IF(Emplacements!$A$98="","",Emplacements!$A$98)</f>
        <v/>
      </c>
      <c r="C99" s="34" t="str">
        <f aca="false">IF(Emplacements!$A$99="","",Emplacements!$A$99)</f>
        <v/>
      </c>
    </row>
    <row r="100" customFormat="false" ht="18" hidden="false" customHeight="true" outlineLevel="0" collapsed="false">
      <c r="A100" s="35" t="str">
        <f aca="false">IF(Emplacements!$A$98="","",Emplacements!$F$98)</f>
        <v/>
      </c>
      <c r="C100" s="35" t="str">
        <f aca="false">IF(Emplacements!$A$99="","",Emplacements!$F$99)</f>
        <v/>
      </c>
    </row>
    <row r="101" customFormat="false" ht="43.5" hidden="false" customHeight="true" outlineLevel="0" collapsed="false">
      <c r="A101" s="34" t="str">
        <f aca="false">IF(Emplacements!$A$100="","",Emplacements!$A$100)</f>
        <v/>
      </c>
      <c r="C101" s="34" t="str">
        <f aca="false">IF(Emplacements!$A$101="","",Emplacements!$A$101)</f>
        <v/>
      </c>
    </row>
    <row r="102" customFormat="false" ht="18" hidden="false" customHeight="true" outlineLevel="0" collapsed="false">
      <c r="A102" s="35" t="str">
        <f aca="false">IF(Emplacements!$A$100="","",Emplacements!$F$100)</f>
        <v/>
      </c>
      <c r="C102" s="35" t="str">
        <f aca="false">IF(Emplacements!$A$101="","",Emplacements!$F$101)</f>
        <v/>
      </c>
    </row>
    <row r="103" customFormat="false" ht="43.5" hidden="false" customHeight="true" outlineLevel="0" collapsed="false">
      <c r="A103" s="34" t="str">
        <f aca="false">IF(Emplacements!$A$102="","",Emplacements!$A$102)</f>
        <v/>
      </c>
      <c r="C103" s="34" t="str">
        <f aca="false">IF(Emplacements!$A$103="","",Emplacements!$A$103)</f>
        <v/>
      </c>
    </row>
    <row r="104" customFormat="false" ht="18" hidden="false" customHeight="true" outlineLevel="0" collapsed="false">
      <c r="A104" s="35" t="str">
        <f aca="false">IF(Emplacements!$A$102="","",Emplacements!$F$102)</f>
        <v/>
      </c>
      <c r="C104" s="35" t="str">
        <f aca="false">IF(Emplacements!$A$103="","",Emplacements!$F$103)</f>
        <v/>
      </c>
    </row>
    <row r="105" customFormat="false" ht="43.5" hidden="false" customHeight="true" outlineLevel="0" collapsed="false">
      <c r="A105" s="34" t="str">
        <f aca="false">IF(Emplacements!$A$104="","",Emplacements!$A$104)</f>
        <v/>
      </c>
      <c r="C105" s="34" t="str">
        <f aca="false">IF(Emplacements!$A$105="","",Emplacements!$A$105)</f>
        <v/>
      </c>
    </row>
    <row r="106" customFormat="false" ht="18" hidden="false" customHeight="true" outlineLevel="0" collapsed="false">
      <c r="A106" s="35" t="str">
        <f aca="false">IF(Emplacements!$A$104="","",Emplacements!$F$104)</f>
        <v/>
      </c>
      <c r="C106" s="35" t="str">
        <f aca="false">IF(Emplacements!$A$105="","",Emplacements!$F$105)</f>
        <v/>
      </c>
    </row>
    <row r="107" customFormat="false" ht="43.5" hidden="false" customHeight="true" outlineLevel="0" collapsed="false">
      <c r="A107" s="34" t="str">
        <f aca="false">IF(Emplacements!$A$106="","",Emplacements!$A$106)</f>
        <v/>
      </c>
      <c r="C107" s="34" t="str">
        <f aca="false">IF(Emplacements!$A$107="","",Emplacements!$A$107)</f>
        <v/>
      </c>
    </row>
    <row r="108" customFormat="false" ht="18" hidden="false" customHeight="true" outlineLevel="0" collapsed="false">
      <c r="A108" s="35" t="str">
        <f aca="false">IF(Emplacements!$A$106="","",Emplacements!$F$106)</f>
        <v/>
      </c>
      <c r="C108" s="35" t="str">
        <f aca="false">IF(Emplacements!$A$107="","",Emplacements!$F$107)</f>
        <v/>
      </c>
    </row>
    <row r="109" customFormat="false" ht="43.5" hidden="false" customHeight="true" outlineLevel="0" collapsed="false">
      <c r="A109" s="34" t="str">
        <f aca="false">IF(Emplacements!$A$108="","",Emplacements!$A$108)</f>
        <v/>
      </c>
      <c r="C109" s="34" t="str">
        <f aca="false">IF(Emplacements!$A$109="","",Emplacements!$A$109)</f>
        <v/>
      </c>
    </row>
    <row r="110" customFormat="false" ht="18" hidden="false" customHeight="true" outlineLevel="0" collapsed="false">
      <c r="A110" s="35" t="str">
        <f aca="false">IF(Emplacements!$A$108="","",Emplacements!$F$108)</f>
        <v/>
      </c>
      <c r="C110" s="35" t="str">
        <f aca="false">IF(Emplacements!$A$109="","",Emplacements!$F$109)</f>
        <v/>
      </c>
    </row>
    <row r="111" customFormat="false" ht="43.5" hidden="false" customHeight="true" outlineLevel="0" collapsed="false">
      <c r="A111" s="34" t="str">
        <f aca="false">IF(Emplacements!$A$110="","",Emplacements!$A$110)</f>
        <v/>
      </c>
      <c r="C111" s="34" t="str">
        <f aca="false">IF(Emplacements!$A$111="","",Emplacements!$A$111)</f>
        <v/>
      </c>
    </row>
    <row r="112" customFormat="false" ht="18" hidden="false" customHeight="true" outlineLevel="0" collapsed="false">
      <c r="A112" s="35" t="str">
        <f aca="false">IF(Emplacements!$A$110="","",Emplacements!$F$110)</f>
        <v/>
      </c>
      <c r="C112" s="35" t="str">
        <f aca="false">IF(Emplacements!$A$111="","",Emplacements!$F$111)</f>
        <v/>
      </c>
    </row>
    <row r="113" customFormat="false" ht="43.5" hidden="false" customHeight="true" outlineLevel="0" collapsed="false">
      <c r="A113" s="34" t="str">
        <f aca="false">IF(Emplacements!$A$112="","",Emplacements!$A$112)</f>
        <v/>
      </c>
      <c r="C113" s="34" t="str">
        <f aca="false">IF(Emplacements!$A$113="","",Emplacements!$A$113)</f>
        <v/>
      </c>
    </row>
    <row r="114" customFormat="false" ht="18" hidden="false" customHeight="true" outlineLevel="0" collapsed="false">
      <c r="A114" s="35" t="str">
        <f aca="false">IF(Emplacements!$A$112="","",Emplacements!$F$112)</f>
        <v/>
      </c>
      <c r="C114" s="35" t="str">
        <f aca="false">IF(Emplacements!$A$113="","",Emplacements!$F$113)</f>
        <v/>
      </c>
    </row>
    <row r="115" customFormat="false" ht="43.5" hidden="false" customHeight="true" outlineLevel="0" collapsed="false">
      <c r="A115" s="34" t="str">
        <f aca="false">IF(Emplacements!$A$114="","",Emplacements!$A$114)</f>
        <v/>
      </c>
      <c r="C115" s="34" t="str">
        <f aca="false">IF(Emplacements!$A$115="","",Emplacements!$A$115)</f>
        <v/>
      </c>
    </row>
    <row r="116" customFormat="false" ht="18" hidden="false" customHeight="true" outlineLevel="0" collapsed="false">
      <c r="A116" s="35" t="str">
        <f aca="false">IF(Emplacements!$A$114="","",Emplacements!$F$114)</f>
        <v/>
      </c>
      <c r="C116" s="35" t="str">
        <f aca="false">IF(Emplacements!$A$115="","",Emplacements!$F$115)</f>
        <v/>
      </c>
    </row>
    <row r="117" customFormat="false" ht="43.5" hidden="false" customHeight="true" outlineLevel="0" collapsed="false">
      <c r="A117" s="34" t="str">
        <f aca="false">IF(Emplacements!$A$116="","",Emplacements!$A$116)</f>
        <v/>
      </c>
      <c r="C117" s="34" t="str">
        <f aca="false">IF(Emplacements!$A$117="","",Emplacements!$A$117)</f>
        <v/>
      </c>
    </row>
    <row r="118" customFormat="false" ht="18" hidden="false" customHeight="true" outlineLevel="0" collapsed="false">
      <c r="A118" s="35" t="str">
        <f aca="false">IF(Emplacements!$A$116="","",Emplacements!$F$116)</f>
        <v/>
      </c>
      <c r="C118" s="35" t="str">
        <f aca="false">IF(Emplacements!$A$117="","",Emplacements!$F$117)</f>
        <v/>
      </c>
    </row>
    <row r="119" customFormat="false" ht="43.5" hidden="false" customHeight="true" outlineLevel="0" collapsed="false">
      <c r="A119" s="34" t="str">
        <f aca="false">IF(Emplacements!$A$118="","",Emplacements!$A$118)</f>
        <v/>
      </c>
      <c r="C119" s="34" t="str">
        <f aca="false">IF(Emplacements!$A$119="","",Emplacements!$A$119)</f>
        <v/>
      </c>
    </row>
    <row r="120" customFormat="false" ht="18" hidden="false" customHeight="true" outlineLevel="0" collapsed="false">
      <c r="A120" s="35" t="str">
        <f aca="false">IF(Emplacements!$A$118="","",Emplacements!$F$118)</f>
        <v/>
      </c>
      <c r="C120" s="35" t="str">
        <f aca="false">IF(Emplacements!$A$119="","",Emplacements!$F$119)</f>
        <v/>
      </c>
    </row>
    <row r="121" customFormat="false" ht="43.5" hidden="false" customHeight="true" outlineLevel="0" collapsed="false">
      <c r="A121" s="34" t="str">
        <f aca="false">IF(Emplacements!$A$120="","",Emplacements!$A$120)</f>
        <v/>
      </c>
      <c r="C121" s="34" t="str">
        <f aca="false">IF(Emplacements!$A$121="","",Emplacements!$A$121)</f>
        <v/>
      </c>
    </row>
    <row r="122" customFormat="false" ht="18" hidden="false" customHeight="true" outlineLevel="0" collapsed="false">
      <c r="A122" s="35" t="str">
        <f aca="false">IF(Emplacements!$A$120="","",Emplacements!$F$120)</f>
        <v/>
      </c>
      <c r="C122" s="35" t="str">
        <f aca="false">IF(Emplacements!$A$121="","",Emplacements!$F$121)</f>
        <v/>
      </c>
    </row>
    <row r="123" customFormat="false" ht="43.5" hidden="false" customHeight="true" outlineLevel="0" collapsed="false">
      <c r="A123" s="34" t="str">
        <f aca="false">IF(Emplacements!$A$122="","",Emplacements!$A$122)</f>
        <v/>
      </c>
      <c r="C123" s="34" t="str">
        <f aca="false">IF(Emplacements!$A$123="","",Emplacements!$A$123)</f>
        <v/>
      </c>
    </row>
    <row r="124" customFormat="false" ht="18" hidden="false" customHeight="true" outlineLevel="0" collapsed="false">
      <c r="A124" s="35" t="str">
        <f aca="false">IF(Emplacements!$A$122="","",Emplacements!$F$122)</f>
        <v/>
      </c>
      <c r="C124" s="35" t="str">
        <f aca="false">IF(Emplacements!$A$123="","",Emplacements!$F$123)</f>
        <v/>
      </c>
    </row>
    <row r="125" customFormat="false" ht="43.5" hidden="false" customHeight="true" outlineLevel="0" collapsed="false">
      <c r="A125" s="34" t="str">
        <f aca="false">IF(Emplacements!$A$124="","",Emplacements!$A$124)</f>
        <v/>
      </c>
      <c r="C125" s="34" t="str">
        <f aca="false">IF(Emplacements!$A$125="","",Emplacements!$A$125)</f>
        <v/>
      </c>
    </row>
    <row r="126" customFormat="false" ht="18" hidden="false" customHeight="true" outlineLevel="0" collapsed="false">
      <c r="A126" s="35" t="str">
        <f aca="false">IF(Emplacements!$A$124="","",Emplacements!$F$124)</f>
        <v/>
      </c>
      <c r="C126" s="35" t="str">
        <f aca="false">IF(Emplacements!$A$125="","",Emplacements!$F$125)</f>
        <v/>
      </c>
    </row>
    <row r="127" customFormat="false" ht="43.5" hidden="false" customHeight="true" outlineLevel="0" collapsed="false">
      <c r="A127" s="34" t="str">
        <f aca="false">IF(Emplacements!$A$126="","",Emplacements!$A$126)</f>
        <v/>
      </c>
      <c r="C127" s="34" t="str">
        <f aca="false">IF(Emplacements!$A$127="","",Emplacements!$A$127)</f>
        <v/>
      </c>
    </row>
    <row r="128" customFormat="false" ht="18" hidden="false" customHeight="true" outlineLevel="0" collapsed="false">
      <c r="A128" s="35" t="str">
        <f aca="false">IF(Emplacements!$A$126="","",Emplacements!$F$126)</f>
        <v/>
      </c>
      <c r="C128" s="35" t="str">
        <f aca="false">IF(Emplacements!$A$127="","",Emplacements!$F$127)</f>
        <v/>
      </c>
    </row>
    <row r="129" customFormat="false" ht="43.5" hidden="false" customHeight="true" outlineLevel="0" collapsed="false">
      <c r="A129" s="34" t="str">
        <f aca="false">IF(Emplacements!$A$128="","",Emplacements!$A$128)</f>
        <v/>
      </c>
      <c r="C129" s="34" t="str">
        <f aca="false">IF(Emplacements!$A$129="","",Emplacements!$A$129)</f>
        <v/>
      </c>
    </row>
    <row r="130" customFormat="false" ht="18" hidden="false" customHeight="true" outlineLevel="0" collapsed="false">
      <c r="A130" s="35" t="str">
        <f aca="false">IF(Emplacements!$A$128="","",Emplacements!$F$128)</f>
        <v/>
      </c>
      <c r="C130" s="35" t="str">
        <f aca="false">IF(Emplacements!$A$129="","",Emplacements!$F$129)</f>
        <v/>
      </c>
    </row>
    <row r="131" customFormat="false" ht="43.5" hidden="false" customHeight="true" outlineLevel="0" collapsed="false">
      <c r="A131" s="34" t="str">
        <f aca="false">IF(Emplacements!$A$130="","",Emplacements!$A$130)</f>
        <v/>
      </c>
      <c r="C131" s="34" t="str">
        <f aca="false">IF(Emplacements!$A$131="","",Emplacements!$A$131)</f>
        <v/>
      </c>
    </row>
    <row r="132" customFormat="false" ht="18" hidden="false" customHeight="true" outlineLevel="0" collapsed="false">
      <c r="A132" s="35" t="str">
        <f aca="false">IF(Emplacements!$A$130="","",Emplacements!$F$130)</f>
        <v/>
      </c>
      <c r="C132" s="35" t="str">
        <f aca="false">IF(Emplacements!$A$131="","",Emplacements!$F$131)</f>
        <v/>
      </c>
    </row>
    <row r="133" customFormat="false" ht="43.5" hidden="false" customHeight="true" outlineLevel="0" collapsed="false">
      <c r="A133" s="34" t="str">
        <f aca="false">IF(Emplacements!$A$132="","",Emplacements!$A$132)</f>
        <v/>
      </c>
      <c r="C133" s="34" t="str">
        <f aca="false">IF(Emplacements!$A$133="","",Emplacements!$A$133)</f>
        <v/>
      </c>
    </row>
    <row r="134" customFormat="false" ht="18" hidden="false" customHeight="true" outlineLevel="0" collapsed="false">
      <c r="A134" s="35" t="str">
        <f aca="false">IF(Emplacements!$A$132="","",Emplacements!$F$132)</f>
        <v/>
      </c>
      <c r="C134" s="35" t="str">
        <f aca="false">IF(Emplacements!$A$133="","",Emplacements!$F$133)</f>
        <v/>
      </c>
    </row>
    <row r="135" customFormat="false" ht="43.5" hidden="false" customHeight="true" outlineLevel="0" collapsed="false">
      <c r="A135" s="34" t="str">
        <f aca="false">IF(Emplacements!$A$134="","",Emplacements!$A$134)</f>
        <v/>
      </c>
      <c r="C135" s="34" t="str">
        <f aca="false">IF(Emplacements!$A$135="","",Emplacements!$A$135)</f>
        <v/>
      </c>
    </row>
    <row r="136" customFormat="false" ht="18" hidden="false" customHeight="true" outlineLevel="0" collapsed="false">
      <c r="A136" s="35" t="str">
        <f aca="false">IF(Emplacements!$A$134="","",Emplacements!$F$134)</f>
        <v/>
      </c>
      <c r="C136" s="35" t="str">
        <f aca="false">IF(Emplacements!$A$135="","",Emplacements!$F$135)</f>
        <v/>
      </c>
    </row>
    <row r="137" customFormat="false" ht="43.5" hidden="false" customHeight="true" outlineLevel="0" collapsed="false">
      <c r="A137" s="34" t="str">
        <f aca="false">IF(Emplacements!$A$136="","",Emplacements!$A$136)</f>
        <v/>
      </c>
      <c r="C137" s="34" t="str">
        <f aca="false">IF(Emplacements!$A$137="","",Emplacements!$A$137)</f>
        <v/>
      </c>
    </row>
    <row r="138" customFormat="false" ht="18" hidden="false" customHeight="true" outlineLevel="0" collapsed="false">
      <c r="A138" s="35" t="str">
        <f aca="false">IF(Emplacements!$A$136="","",Emplacements!$F$136)</f>
        <v/>
      </c>
      <c r="C138" s="35" t="str">
        <f aca="false">IF(Emplacements!$A$137="","",Emplacements!$F$137)</f>
        <v/>
      </c>
    </row>
    <row r="139" customFormat="false" ht="43.5" hidden="false" customHeight="true" outlineLevel="0" collapsed="false">
      <c r="A139" s="34" t="str">
        <f aca="false">IF(Emplacements!$A$138="","",Emplacements!$A$138)</f>
        <v/>
      </c>
      <c r="C139" s="34" t="str">
        <f aca="false">IF(Emplacements!$A$139="","",Emplacements!$A$139)</f>
        <v/>
      </c>
    </row>
    <row r="140" customFormat="false" ht="18" hidden="false" customHeight="true" outlineLevel="0" collapsed="false">
      <c r="A140" s="35" t="str">
        <f aca="false">IF(Emplacements!$A$138="","",Emplacements!$F$138)</f>
        <v/>
      </c>
      <c r="C140" s="35" t="str">
        <f aca="false">IF(Emplacements!$A$139="","",Emplacements!$F$139)</f>
        <v/>
      </c>
    </row>
    <row r="141" customFormat="false" ht="43.5" hidden="false" customHeight="true" outlineLevel="0" collapsed="false">
      <c r="A141" s="34" t="str">
        <f aca="false">IF(Emplacements!$A$140="","",Emplacements!$A$140)</f>
        <v/>
      </c>
      <c r="C141" s="34" t="str">
        <f aca="false">IF(Emplacements!$A$141="","",Emplacements!$A$141)</f>
        <v/>
      </c>
    </row>
    <row r="142" customFormat="false" ht="18" hidden="false" customHeight="true" outlineLevel="0" collapsed="false">
      <c r="A142" s="35" t="str">
        <f aca="false">IF(Emplacements!$A$140="","",Emplacements!$F$140)</f>
        <v/>
      </c>
      <c r="C142" s="35" t="str">
        <f aca="false">IF(Emplacements!$A$141="","",Emplacements!$F$141)</f>
        <v/>
      </c>
    </row>
    <row r="143" customFormat="false" ht="43.5" hidden="false" customHeight="true" outlineLevel="0" collapsed="false">
      <c r="A143" s="34" t="str">
        <f aca="false">IF(Emplacements!$A$142="","",Emplacements!$A$142)</f>
        <v/>
      </c>
      <c r="C143" s="34" t="str">
        <f aca="false">IF(Emplacements!$A$143="","",Emplacements!$A$143)</f>
        <v/>
      </c>
    </row>
    <row r="144" customFormat="false" ht="18" hidden="false" customHeight="true" outlineLevel="0" collapsed="false">
      <c r="A144" s="35" t="str">
        <f aca="false">IF(Emplacements!$A$142="","",Emplacements!$F$142)</f>
        <v/>
      </c>
      <c r="C144" s="35" t="str">
        <f aca="false">IF(Emplacements!$A$143="","",Emplacements!$F$143)</f>
        <v/>
      </c>
    </row>
    <row r="145" customFormat="false" ht="43.5" hidden="false" customHeight="true" outlineLevel="0" collapsed="false">
      <c r="A145" s="34" t="str">
        <f aca="false">IF(Emplacements!$A$144="","",Emplacements!$A$144)</f>
        <v/>
      </c>
      <c r="C145" s="34" t="str">
        <f aca="false">IF(Emplacements!$A$145="","",Emplacements!$A$145)</f>
        <v/>
      </c>
    </row>
    <row r="146" customFormat="false" ht="18" hidden="false" customHeight="true" outlineLevel="0" collapsed="false">
      <c r="A146" s="35" t="str">
        <f aca="false">IF(Emplacements!$A$144="","",Emplacements!$F$144)</f>
        <v/>
      </c>
      <c r="C146" s="35" t="str">
        <f aca="false">IF(Emplacements!$A$145="","",Emplacements!$F$145)</f>
        <v/>
      </c>
    </row>
    <row r="147" customFormat="false" ht="43.5" hidden="false" customHeight="true" outlineLevel="0" collapsed="false">
      <c r="A147" s="34" t="str">
        <f aca="false">IF(Emplacements!$A$146="","",Emplacements!$A$146)</f>
        <v/>
      </c>
      <c r="C147" s="34" t="str">
        <f aca="false">IF(Emplacements!$A$147="","",Emplacements!$A$147)</f>
        <v/>
      </c>
    </row>
    <row r="148" customFormat="false" ht="18" hidden="false" customHeight="true" outlineLevel="0" collapsed="false">
      <c r="A148" s="35" t="str">
        <f aca="false">IF(Emplacements!$A$146="","",Emplacements!$F$146)</f>
        <v/>
      </c>
      <c r="C148" s="35" t="str">
        <f aca="false">IF(Emplacements!$A$147="","",Emplacements!$F$147)</f>
        <v/>
      </c>
    </row>
    <row r="149" customFormat="false" ht="43.5" hidden="false" customHeight="true" outlineLevel="0" collapsed="false">
      <c r="A149" s="34" t="str">
        <f aca="false">IF(Emplacements!$A$148="","",Emplacements!$A$148)</f>
        <v/>
      </c>
      <c r="C149" s="34" t="str">
        <f aca="false">IF(Emplacements!$A$149="","",Emplacements!$A$149)</f>
        <v/>
      </c>
    </row>
    <row r="150" customFormat="false" ht="18" hidden="false" customHeight="true" outlineLevel="0" collapsed="false">
      <c r="A150" s="35" t="str">
        <f aca="false">IF(Emplacements!$A$148="","",Emplacements!$F$148)</f>
        <v/>
      </c>
      <c r="C150" s="35" t="str">
        <f aca="false">IF(Emplacements!$A$149="","",Emplacements!$F$149)</f>
        <v/>
      </c>
    </row>
    <row r="151" customFormat="false" ht="43.5" hidden="false" customHeight="true" outlineLevel="0" collapsed="false">
      <c r="A151" s="34" t="str">
        <f aca="false">IF(Emplacements!$A$150="","",Emplacements!$A$150)</f>
        <v/>
      </c>
      <c r="C151" s="34" t="str">
        <f aca="false">IF(Emplacements!$A$151="","",Emplacements!$A$151)</f>
        <v/>
      </c>
    </row>
    <row r="152" customFormat="false" ht="18" hidden="false" customHeight="true" outlineLevel="0" collapsed="false">
      <c r="A152" s="35" t="str">
        <f aca="false">IF(Emplacements!$A$150="","",Emplacements!$F$150)</f>
        <v/>
      </c>
      <c r="C152" s="35" t="str">
        <f aca="false">IF(Emplacements!$A$151="","",Emplacements!$F$151)</f>
        <v/>
      </c>
    </row>
    <row r="153" customFormat="false" ht="43.5" hidden="false" customHeight="true" outlineLevel="0" collapsed="false">
      <c r="A153" s="34" t="str">
        <f aca="false">IF(Emplacements!$A$152="","",Emplacements!$A$152)</f>
        <v/>
      </c>
      <c r="C153" s="34" t="str">
        <f aca="false">IF(Emplacements!$A$153="","",Emplacements!$A$153)</f>
        <v/>
      </c>
    </row>
    <row r="154" customFormat="false" ht="18" hidden="false" customHeight="true" outlineLevel="0" collapsed="false">
      <c r="A154" s="35" t="str">
        <f aca="false">IF(Emplacements!$A$152="","",Emplacements!$F$152)</f>
        <v/>
      </c>
      <c r="C154" s="35" t="str">
        <f aca="false">IF(Emplacements!$A$153="","",Emplacements!$F$153)</f>
        <v/>
      </c>
    </row>
    <row r="155" customFormat="false" ht="43.5" hidden="false" customHeight="true" outlineLevel="0" collapsed="false">
      <c r="A155" s="34" t="str">
        <f aca="false">IF(Emplacements!$A$154="","",Emplacements!$A$154)</f>
        <v/>
      </c>
      <c r="C155" s="34" t="str">
        <f aca="false">IF(Emplacements!$A$155="","",Emplacements!$A$155)</f>
        <v/>
      </c>
    </row>
    <row r="156" customFormat="false" ht="18" hidden="false" customHeight="true" outlineLevel="0" collapsed="false">
      <c r="A156" s="35" t="str">
        <f aca="false">IF(Emplacements!$A$154="","",Emplacements!$F$154)</f>
        <v/>
      </c>
      <c r="C156" s="35" t="str">
        <f aca="false">IF(Emplacements!$A$155="","",Emplacements!$F$155)</f>
        <v/>
      </c>
    </row>
    <row r="157" customFormat="false" ht="43.5" hidden="false" customHeight="true" outlineLevel="0" collapsed="false">
      <c r="A157" s="34" t="str">
        <f aca="false">IF(Emplacements!$A$156="","",Emplacements!$A$156)</f>
        <v/>
      </c>
      <c r="C157" s="34" t="str">
        <f aca="false">IF(Emplacements!$A$157="","",Emplacements!$A$157)</f>
        <v/>
      </c>
    </row>
    <row r="158" customFormat="false" ht="18" hidden="false" customHeight="true" outlineLevel="0" collapsed="false">
      <c r="A158" s="35" t="str">
        <f aca="false">IF(Emplacements!$A$156="","",Emplacements!$F$156)</f>
        <v/>
      </c>
      <c r="C158" s="35" t="str">
        <f aca="false">IF(Emplacements!$A$157="","",Emplacements!$F$157)</f>
        <v/>
      </c>
    </row>
    <row r="159" customFormat="false" ht="43.5" hidden="false" customHeight="true" outlineLevel="0" collapsed="false">
      <c r="A159" s="34" t="str">
        <f aca="false">IF(Emplacements!$A$158="","",Emplacements!$A$158)</f>
        <v/>
      </c>
      <c r="C159" s="34" t="str">
        <f aca="false">IF(Emplacements!$A$159="","",Emplacements!$A$159)</f>
        <v/>
      </c>
    </row>
    <row r="160" customFormat="false" ht="18" hidden="false" customHeight="true" outlineLevel="0" collapsed="false">
      <c r="A160" s="35" t="str">
        <f aca="false">IF(Emplacements!$A$158="","",Emplacements!$F$158)</f>
        <v/>
      </c>
      <c r="C160" s="35" t="str">
        <f aca="false">IF(Emplacements!$A$159="","",Emplacements!$F$159)</f>
        <v/>
      </c>
    </row>
    <row r="161" customFormat="false" ht="43.5" hidden="false" customHeight="true" outlineLevel="0" collapsed="false">
      <c r="A161" s="34" t="str">
        <f aca="false">IF(Emplacements!$A$160="","",Emplacements!$A$160)</f>
        <v/>
      </c>
      <c r="C161" s="34" t="str">
        <f aca="false">IF(Emplacements!$A$161="","",Emplacements!$A$161)</f>
        <v/>
      </c>
    </row>
    <row r="162" customFormat="false" ht="18" hidden="false" customHeight="true" outlineLevel="0" collapsed="false">
      <c r="A162" s="35" t="str">
        <f aca="false">IF(Emplacements!$A$160="","",Emplacements!$F$160)</f>
        <v/>
      </c>
      <c r="C162" s="35" t="str">
        <f aca="false">IF(Emplacements!$A$161="","",Emplacements!$F$161)</f>
        <v/>
      </c>
    </row>
    <row r="163" customFormat="false" ht="43.5" hidden="false" customHeight="true" outlineLevel="0" collapsed="false">
      <c r="A163" s="34" t="str">
        <f aca="false">IF(Emplacements!$A$162="","",Emplacements!$A$162)</f>
        <v/>
      </c>
      <c r="C163" s="34" t="str">
        <f aca="false">IF(Emplacements!$A$163="","",Emplacements!$A$163)</f>
        <v/>
      </c>
    </row>
    <row r="164" customFormat="false" ht="18" hidden="false" customHeight="true" outlineLevel="0" collapsed="false">
      <c r="A164" s="35" t="str">
        <f aca="false">IF(Emplacements!$A$162="","",Emplacements!$F$162)</f>
        <v/>
      </c>
      <c r="C164" s="35" t="str">
        <f aca="false">IF(Emplacements!$A$163="","",Emplacements!$F$163)</f>
        <v/>
      </c>
    </row>
    <row r="165" customFormat="false" ht="43.5" hidden="false" customHeight="true" outlineLevel="0" collapsed="false">
      <c r="A165" s="34" t="str">
        <f aca="false">IF(Emplacements!$A$164="","",Emplacements!$A$164)</f>
        <v/>
      </c>
      <c r="C165" s="34" t="str">
        <f aca="false">IF(Emplacements!$A$165="","",Emplacements!$A$165)</f>
        <v/>
      </c>
    </row>
    <row r="166" customFormat="false" ht="18" hidden="false" customHeight="true" outlineLevel="0" collapsed="false">
      <c r="A166" s="35" t="str">
        <f aca="false">IF(Emplacements!$A$164="","",Emplacements!$F$164)</f>
        <v/>
      </c>
      <c r="C166" s="35" t="str">
        <f aca="false">IF(Emplacements!$A$165="","",Emplacements!$F$165)</f>
        <v/>
      </c>
    </row>
    <row r="167" customFormat="false" ht="43.5" hidden="false" customHeight="true" outlineLevel="0" collapsed="false">
      <c r="A167" s="34" t="str">
        <f aca="false">IF(Emplacements!$A$166="","",Emplacements!$A$166)</f>
        <v/>
      </c>
      <c r="C167" s="34" t="str">
        <f aca="false">IF(Emplacements!$A$167="","",Emplacements!$A$167)</f>
        <v/>
      </c>
    </row>
    <row r="168" customFormat="false" ht="18" hidden="false" customHeight="true" outlineLevel="0" collapsed="false">
      <c r="A168" s="35" t="str">
        <f aca="false">IF(Emplacements!$A$166="","",Emplacements!$F$166)</f>
        <v/>
      </c>
      <c r="C168" s="35" t="str">
        <f aca="false">IF(Emplacements!$A$167="","",Emplacements!$F$167)</f>
        <v/>
      </c>
    </row>
    <row r="169" customFormat="false" ht="43.5" hidden="false" customHeight="true" outlineLevel="0" collapsed="false">
      <c r="A169" s="34" t="str">
        <f aca="false">IF(Emplacements!$A$168="","",Emplacements!$A$168)</f>
        <v/>
      </c>
      <c r="C169" s="34" t="str">
        <f aca="false">IF(Emplacements!$A$169="","",Emplacements!$A$169)</f>
        <v/>
      </c>
    </row>
    <row r="170" customFormat="false" ht="18" hidden="false" customHeight="true" outlineLevel="0" collapsed="false">
      <c r="A170" s="35" t="str">
        <f aca="false">IF(Emplacements!$A$168="","",Emplacements!$F$168)</f>
        <v/>
      </c>
      <c r="C170" s="35" t="str">
        <f aca="false">IF(Emplacements!$A$169="","",Emplacements!$F$169)</f>
        <v/>
      </c>
    </row>
    <row r="171" customFormat="false" ht="43.5" hidden="false" customHeight="true" outlineLevel="0" collapsed="false">
      <c r="A171" s="34" t="str">
        <f aca="false">IF(Emplacements!$A$170="","",Emplacements!$A$170)</f>
        <v/>
      </c>
      <c r="C171" s="34" t="str">
        <f aca="false">IF(Emplacements!$A$171="","",Emplacements!$A$171)</f>
        <v/>
      </c>
    </row>
    <row r="172" customFormat="false" ht="18" hidden="false" customHeight="true" outlineLevel="0" collapsed="false">
      <c r="A172" s="35" t="str">
        <f aca="false">IF(Emplacements!$A$170="","",Emplacements!$F$170)</f>
        <v/>
      </c>
      <c r="C172" s="35" t="str">
        <f aca="false">IF(Emplacements!$A$171="","",Emplacements!$F$171)</f>
        <v/>
      </c>
    </row>
    <row r="173" customFormat="false" ht="43.5" hidden="false" customHeight="true" outlineLevel="0" collapsed="false">
      <c r="A173" s="34" t="str">
        <f aca="false">IF(Emplacements!$A$172="","",Emplacements!$A$172)</f>
        <v/>
      </c>
      <c r="C173" s="34" t="str">
        <f aca="false">IF(Emplacements!$A$173="","",Emplacements!$A$173)</f>
        <v/>
      </c>
    </row>
    <row r="174" customFormat="false" ht="18" hidden="false" customHeight="true" outlineLevel="0" collapsed="false">
      <c r="A174" s="35" t="str">
        <f aca="false">IF(Emplacements!$A$172="","",Emplacements!$F$172)</f>
        <v/>
      </c>
      <c r="C174" s="35" t="str">
        <f aca="false">IF(Emplacements!$A$173="","",Emplacements!$F$173)</f>
        <v/>
      </c>
    </row>
    <row r="175" customFormat="false" ht="43.5" hidden="false" customHeight="true" outlineLevel="0" collapsed="false">
      <c r="A175" s="34" t="str">
        <f aca="false">IF(Emplacements!$A$174="","",Emplacements!$A$174)</f>
        <v/>
      </c>
      <c r="C175" s="34" t="str">
        <f aca="false">IF(Emplacements!$A$175="","",Emplacements!$A$175)</f>
        <v/>
      </c>
    </row>
    <row r="176" customFormat="false" ht="18" hidden="false" customHeight="true" outlineLevel="0" collapsed="false">
      <c r="A176" s="35" t="str">
        <f aca="false">IF(Emplacements!$A$174="","",Emplacements!$F$174)</f>
        <v/>
      </c>
      <c r="C176" s="35" t="str">
        <f aca="false">IF(Emplacements!$A$175="","",Emplacements!$F$175)</f>
        <v/>
      </c>
    </row>
    <row r="177" customFormat="false" ht="43.5" hidden="false" customHeight="true" outlineLevel="0" collapsed="false">
      <c r="A177" s="34" t="str">
        <f aca="false">IF(Emplacements!$A$176="","",Emplacements!$A$176)</f>
        <v/>
      </c>
      <c r="C177" s="34" t="str">
        <f aca="false">IF(Emplacements!$A$177="","",Emplacements!$A$177)</f>
        <v/>
      </c>
    </row>
    <row r="178" customFormat="false" ht="18" hidden="false" customHeight="true" outlineLevel="0" collapsed="false">
      <c r="A178" s="35" t="str">
        <f aca="false">IF(Emplacements!$A$176="","",Emplacements!$F$176)</f>
        <v/>
      </c>
      <c r="C178" s="35" t="str">
        <f aca="false">IF(Emplacements!$A$177="","",Emplacements!$F$177)</f>
        <v/>
      </c>
    </row>
    <row r="179" customFormat="false" ht="43.5" hidden="false" customHeight="true" outlineLevel="0" collapsed="false">
      <c r="A179" s="34" t="str">
        <f aca="false">IF(Emplacements!$A$178="","",Emplacements!$A$178)</f>
        <v/>
      </c>
      <c r="C179" s="34" t="str">
        <f aca="false">IF(Emplacements!$A$179="","",Emplacements!$A$179)</f>
        <v/>
      </c>
    </row>
    <row r="180" customFormat="false" ht="18" hidden="false" customHeight="true" outlineLevel="0" collapsed="false">
      <c r="A180" s="35" t="str">
        <f aca="false">IF(Emplacements!$A$178="","",Emplacements!$F$178)</f>
        <v/>
      </c>
      <c r="C180" s="35" t="str">
        <f aca="false">IF(Emplacements!$A$179="","",Emplacements!$F$179)</f>
        <v/>
      </c>
    </row>
    <row r="181" customFormat="false" ht="43.5" hidden="false" customHeight="true" outlineLevel="0" collapsed="false">
      <c r="A181" s="34" t="str">
        <f aca="false">IF(Emplacements!$A$180="","",Emplacements!$A$180)</f>
        <v/>
      </c>
      <c r="C181" s="34" t="str">
        <f aca="false">IF(Emplacements!$A$181="","",Emplacements!$A$181)</f>
        <v/>
      </c>
    </row>
    <row r="182" customFormat="false" ht="18" hidden="false" customHeight="true" outlineLevel="0" collapsed="false">
      <c r="A182" s="35" t="str">
        <f aca="false">IF(Emplacements!$A$180="","",Emplacements!$F$180)</f>
        <v/>
      </c>
      <c r="C182" s="35" t="str">
        <f aca="false">IF(Emplacements!$A$181="","",Emplacements!$F$181)</f>
        <v/>
      </c>
    </row>
    <row r="183" customFormat="false" ht="43.5" hidden="false" customHeight="true" outlineLevel="0" collapsed="false">
      <c r="A183" s="34" t="str">
        <f aca="false">IF(Emplacements!$A$182="","",Emplacements!$A$182)</f>
        <v/>
      </c>
      <c r="C183" s="34" t="str">
        <f aca="false">IF(Emplacements!$A$183="","",Emplacements!$A$183)</f>
        <v/>
      </c>
    </row>
    <row r="184" customFormat="false" ht="18" hidden="false" customHeight="true" outlineLevel="0" collapsed="false">
      <c r="A184" s="35" t="str">
        <f aca="false">IF(Emplacements!$A$182="","",Emplacements!$F$182)</f>
        <v/>
      </c>
      <c r="C184" s="35" t="str">
        <f aca="false">IF(Emplacements!$A$183="","",Emplacements!$F$183)</f>
        <v/>
      </c>
    </row>
    <row r="185" customFormat="false" ht="43.5" hidden="false" customHeight="true" outlineLevel="0" collapsed="false">
      <c r="A185" s="34" t="str">
        <f aca="false">IF(Emplacements!$A$184="","",Emplacements!$A$184)</f>
        <v/>
      </c>
      <c r="C185" s="34" t="str">
        <f aca="false">IF(Emplacements!$A$185="","",Emplacements!$A$185)</f>
        <v/>
      </c>
    </row>
    <row r="186" customFormat="false" ht="18" hidden="false" customHeight="true" outlineLevel="0" collapsed="false">
      <c r="A186" s="35" t="str">
        <f aca="false">IF(Emplacements!$A$184="","",Emplacements!$F$184)</f>
        <v/>
      </c>
      <c r="C186" s="35" t="str">
        <f aca="false">IF(Emplacements!$A$185="","",Emplacements!$F$185)</f>
        <v/>
      </c>
    </row>
    <row r="187" customFormat="false" ht="43.5" hidden="false" customHeight="true" outlineLevel="0" collapsed="false">
      <c r="A187" s="34" t="str">
        <f aca="false">IF(Emplacements!$A$186="","",Emplacements!$A$186)</f>
        <v/>
      </c>
      <c r="C187" s="34" t="str">
        <f aca="false">IF(Emplacements!$A$187="","",Emplacements!$A$187)</f>
        <v/>
      </c>
    </row>
    <row r="188" customFormat="false" ht="18" hidden="false" customHeight="true" outlineLevel="0" collapsed="false">
      <c r="A188" s="35" t="str">
        <f aca="false">IF(Emplacements!$A$186="","",Emplacements!$F$186)</f>
        <v/>
      </c>
      <c r="C188" s="35" t="str">
        <f aca="false">IF(Emplacements!$A$187="","",Emplacements!$F$187)</f>
        <v/>
      </c>
    </row>
    <row r="189" customFormat="false" ht="43.5" hidden="false" customHeight="true" outlineLevel="0" collapsed="false">
      <c r="A189" s="34" t="str">
        <f aca="false">IF(Emplacements!$A$188="","",Emplacements!$A$188)</f>
        <v/>
      </c>
      <c r="C189" s="34" t="str">
        <f aca="false">IF(Emplacements!$A$189="","",Emplacements!$A$189)</f>
        <v/>
      </c>
    </row>
    <row r="190" customFormat="false" ht="18" hidden="false" customHeight="true" outlineLevel="0" collapsed="false">
      <c r="A190" s="35" t="str">
        <f aca="false">IF(Emplacements!$A$188="","",Emplacements!$F$188)</f>
        <v/>
      </c>
      <c r="C190" s="35" t="str">
        <f aca="false">IF(Emplacements!$A$189="","",Emplacements!$F$189)</f>
        <v/>
      </c>
    </row>
    <row r="191" customFormat="false" ht="43.5" hidden="false" customHeight="true" outlineLevel="0" collapsed="false">
      <c r="A191" s="34" t="str">
        <f aca="false">IF(Emplacements!$A$190="","",Emplacements!$A$190)</f>
        <v/>
      </c>
      <c r="C191" s="34" t="str">
        <f aca="false">IF(Emplacements!$A$191="","",Emplacements!$A$191)</f>
        <v/>
      </c>
    </row>
    <row r="192" customFormat="false" ht="18" hidden="false" customHeight="true" outlineLevel="0" collapsed="false">
      <c r="A192" s="35" t="str">
        <f aca="false">IF(Emplacements!$A$190="","",Emplacements!$F$190)</f>
        <v/>
      </c>
      <c r="C192" s="35" t="str">
        <f aca="false">IF(Emplacements!$A$191="","",Emplacements!$F$191)</f>
        <v/>
      </c>
    </row>
    <row r="193" customFormat="false" ht="43.5" hidden="false" customHeight="true" outlineLevel="0" collapsed="false">
      <c r="A193" s="34" t="str">
        <f aca="false">IF(Emplacements!$A$192="","",Emplacements!$A$192)</f>
        <v/>
      </c>
      <c r="C193" s="34" t="str">
        <f aca="false">IF(Emplacements!$A$193="","",Emplacements!$A$193)</f>
        <v/>
      </c>
    </row>
    <row r="194" customFormat="false" ht="18" hidden="false" customHeight="true" outlineLevel="0" collapsed="false">
      <c r="A194" s="35" t="str">
        <f aca="false">IF(Emplacements!$A$192="","",Emplacements!$F$192)</f>
        <v/>
      </c>
      <c r="C194" s="35" t="str">
        <f aca="false">IF(Emplacements!$A$193="","",Emplacements!$F$193)</f>
        <v/>
      </c>
    </row>
    <row r="195" customFormat="false" ht="43.5" hidden="false" customHeight="true" outlineLevel="0" collapsed="false">
      <c r="A195" s="34" t="str">
        <f aca="false">IF(Emplacements!$A$194="","",Emplacements!$A$194)</f>
        <v/>
      </c>
      <c r="C195" s="34" t="str">
        <f aca="false">IF(Emplacements!$A$195="","",Emplacements!$A$195)</f>
        <v/>
      </c>
    </row>
    <row r="196" customFormat="false" ht="18" hidden="false" customHeight="true" outlineLevel="0" collapsed="false">
      <c r="A196" s="35" t="str">
        <f aca="false">IF(Emplacements!$A$194="","",Emplacements!$F$194)</f>
        <v/>
      </c>
      <c r="C196" s="35" t="str">
        <f aca="false">IF(Emplacements!$A$195="","",Emplacements!$F$195)</f>
        <v/>
      </c>
    </row>
    <row r="197" customFormat="false" ht="43.5" hidden="false" customHeight="true" outlineLevel="0" collapsed="false">
      <c r="A197" s="34" t="str">
        <f aca="false">IF(Emplacements!$A$196="","",Emplacements!$A$196)</f>
        <v/>
      </c>
      <c r="C197" s="34" t="str">
        <f aca="false">IF(Emplacements!$A$197="","",Emplacements!$A$197)</f>
        <v/>
      </c>
    </row>
    <row r="198" customFormat="false" ht="18" hidden="false" customHeight="true" outlineLevel="0" collapsed="false">
      <c r="A198" s="35" t="str">
        <f aca="false">IF(Emplacements!$A$196="","",Emplacements!$F$196)</f>
        <v/>
      </c>
      <c r="C198" s="35" t="str">
        <f aca="false">IF(Emplacements!$A$197="","",Emplacements!$F$197)</f>
        <v/>
      </c>
    </row>
    <row r="199" customFormat="false" ht="43.5" hidden="false" customHeight="true" outlineLevel="0" collapsed="false">
      <c r="A199" s="34" t="str">
        <f aca="false">IF(Emplacements!$A$198="","",Emplacements!$A$198)</f>
        <v/>
      </c>
      <c r="C199" s="34" t="str">
        <f aca="false">IF(Emplacements!$A$199="","",Emplacements!$A$199)</f>
        <v/>
      </c>
    </row>
    <row r="200" customFormat="false" ht="18" hidden="false" customHeight="true" outlineLevel="0" collapsed="false">
      <c r="A200" s="35" t="str">
        <f aca="false">IF(Emplacements!$A$198="","",Emplacements!$F$198)</f>
        <v/>
      </c>
      <c r="C200" s="35" t="str">
        <f aca="false">IF(Emplacements!$A$199="","",Emplacements!$F$199)</f>
        <v/>
      </c>
    </row>
    <row r="201" customFormat="false" ht="43.5" hidden="false" customHeight="true" outlineLevel="0" collapsed="false">
      <c r="A201" s="34" t="str">
        <f aca="false">IF(Emplacements!$A$200="","",Emplacements!$A$200)</f>
        <v/>
      </c>
      <c r="C201" s="34" t="str">
        <f aca="false">IF(Emplacements!$A$201="","",Emplacements!$A$201)</f>
        <v/>
      </c>
    </row>
    <row r="202" customFormat="false" ht="18" hidden="false" customHeight="true" outlineLevel="0" collapsed="false">
      <c r="A202" s="35" t="str">
        <f aca="false">IF(Emplacements!$A$200="","",Emplacements!$F$200)</f>
        <v/>
      </c>
      <c r="C202" s="35" t="str">
        <f aca="false">IF(Emplacements!$A$201="","",Emplacements!$F$201)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2026-10-06T08:51:51Z</dcterms:created>
  <dc:creator>openpyxl</dc:creator>
  <dc:description/>
  <dc:language>en-US</dc:language>
  <cp:lastModifiedBy/>
  <dcterms:modified xsi:type="dcterms:W3CDTF">2026-10-06T08:51:53Z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